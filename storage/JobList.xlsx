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namedSheetViews/namedSheetView3.xml" ContentType="application/vnd.ms-excel.namedsheetview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woloshyn.ADS\Downloads\"/>
    </mc:Choice>
  </mc:AlternateContent>
  <xr:revisionPtr revIDLastSave="0" documentId="13_ncr:1_{301C3811-68A1-4215-9D35-F9710D2CC961}" xr6:coauthVersionLast="47" xr6:coauthVersionMax="47" xr10:uidLastSave="{00000000-0000-0000-0000-000000000000}"/>
  <bookViews>
    <workbookView xWindow="-120" yWindow="-120" windowWidth="29040" windowHeight="15720" activeTab="2" xr2:uid="{9BE5E9F1-D90E-40A2-9269-73FB19EC7DD4}"/>
  </bookViews>
  <sheets>
    <sheet name="Quotes" sheetId="8" r:id="rId1"/>
    <sheet name="Tasks" sheetId="5" r:id="rId2"/>
    <sheet name="Projects" sheetId="3" r:id="rId3"/>
    <sheet name="Parts and Services" sheetId="2" r:id="rId4"/>
    <sheet name="Checks and Stats" sheetId="6" r:id="rId5"/>
    <sheet name="Ebay Listing" sheetId="7" r:id="rId6"/>
  </sheets>
  <definedNames>
    <definedName name="_xlnm._FilterDatabase" localSheetId="5" hidden="1">'Ebay Listing'!$A$1:$E$199</definedName>
    <definedName name="_Hlk169617268">Quotes!$E$575</definedName>
    <definedName name="_Hlk84432143">Quotes!$E$605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5" i="7" l="1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6" i="7"/>
  <c r="A3" i="7"/>
  <c r="A2" i="7"/>
  <c r="B4" i="6" a="1"/>
  <c r="H15" i="6"/>
  <c r="L4" i="6" a="1"/>
  <c r="L4" i="6"/>
  <c r="T4" i="6"/>
  <c r="T5" i="6"/>
  <c r="T6" i="6"/>
  <c r="T2" i="6"/>
  <c r="T3" i="6"/>
  <c r="J22" i="6"/>
  <c r="J23" i="6"/>
  <c r="H23" i="6"/>
  <c r="F22" i="6"/>
  <c r="F23" i="6"/>
  <c r="D22" i="6"/>
  <c r="C22" i="6"/>
  <c r="D23" i="6"/>
  <c r="B4" i="6"/>
  <c r="F4" i="6"/>
  <c r="H22" i="6"/>
  <c r="C23" i="6"/>
  <c r="D5" i="6"/>
  <c r="F5" i="6"/>
  <c r="H5" i="6"/>
  <c r="J5" i="6"/>
  <c r="D6" i="6"/>
  <c r="F6" i="6"/>
  <c r="H6" i="6"/>
  <c r="J6" i="6"/>
  <c r="D7" i="6"/>
  <c r="F7" i="6"/>
  <c r="H7" i="6"/>
  <c r="J7" i="6"/>
  <c r="D8" i="6"/>
  <c r="F8" i="6"/>
  <c r="H8" i="6"/>
  <c r="J8" i="6"/>
  <c r="D9" i="6"/>
  <c r="F9" i="6"/>
  <c r="H9" i="6"/>
  <c r="J9" i="6"/>
  <c r="D10" i="6"/>
  <c r="F10" i="6"/>
  <c r="H10" i="6"/>
  <c r="J10" i="6"/>
  <c r="D11" i="6"/>
  <c r="F11" i="6"/>
  <c r="H11" i="6"/>
  <c r="J11" i="6"/>
  <c r="D12" i="6"/>
  <c r="F12" i="6"/>
  <c r="H12" i="6"/>
  <c r="J12" i="6"/>
  <c r="D13" i="6"/>
  <c r="F13" i="6"/>
  <c r="H13" i="6"/>
  <c r="J13" i="6"/>
  <c r="D14" i="6"/>
  <c r="F14" i="6"/>
  <c r="H14" i="6"/>
  <c r="J14" i="6"/>
  <c r="D15" i="6"/>
  <c r="F15" i="6"/>
  <c r="J15" i="6"/>
  <c r="D16" i="6"/>
  <c r="F16" i="6"/>
  <c r="H16" i="6"/>
  <c r="J16" i="6"/>
  <c r="D17" i="6"/>
  <c r="F17" i="6"/>
  <c r="Q17" i="6"/>
  <c r="H17" i="6"/>
  <c r="J17" i="6"/>
  <c r="D18" i="6"/>
  <c r="F18" i="6"/>
  <c r="H18" i="6"/>
  <c r="J18" i="6"/>
  <c r="D19" i="6"/>
  <c r="F19" i="6"/>
  <c r="H19" i="6"/>
  <c r="J19" i="6"/>
  <c r="D20" i="6"/>
  <c r="F20" i="6"/>
  <c r="H20" i="6"/>
  <c r="J20" i="6"/>
  <c r="D21" i="6"/>
  <c r="F21" i="6"/>
  <c r="H21" i="6"/>
  <c r="J21" i="6"/>
  <c r="C5" i="6"/>
  <c r="P5" i="6"/>
  <c r="C6" i="6"/>
  <c r="C7" i="6"/>
  <c r="C8" i="6"/>
  <c r="N8" i="6"/>
  <c r="C9" i="6"/>
  <c r="N9" i="6"/>
  <c r="C10" i="6"/>
  <c r="N10" i="6"/>
  <c r="C11" i="6"/>
  <c r="C12" i="6"/>
  <c r="C13" i="6"/>
  <c r="C14" i="6"/>
  <c r="C15" i="6"/>
  <c r="C16" i="6"/>
  <c r="C17" i="6"/>
  <c r="C18" i="6"/>
  <c r="C19" i="6"/>
  <c r="C20" i="6"/>
  <c r="C21" i="6"/>
  <c r="N12" i="6"/>
  <c r="C4" i="6"/>
  <c r="O13" i="6"/>
  <c r="O5" i="6"/>
  <c r="D4" i="6"/>
  <c r="J4" i="6"/>
  <c r="Q21" i="6"/>
  <c r="N5" i="6"/>
  <c r="Q16" i="6"/>
  <c r="H4" i="6"/>
  <c r="Q23" i="6"/>
  <c r="Q22" i="6"/>
  <c r="P10" i="6"/>
  <c r="N13" i="6"/>
  <c r="E23" i="6"/>
  <c r="G23" i="6"/>
  <c r="I23" i="6"/>
  <c r="K23" i="6"/>
  <c r="K22" i="6"/>
  <c r="G22" i="6"/>
  <c r="E22" i="6"/>
  <c r="I22" i="6"/>
  <c r="O9" i="6"/>
  <c r="O10" i="6"/>
  <c r="O6" i="6"/>
  <c r="P12" i="6"/>
  <c r="P9" i="6"/>
  <c r="K6" i="6"/>
  <c r="G6" i="6"/>
  <c r="E6" i="6"/>
  <c r="I6" i="6"/>
  <c r="Q20" i="6"/>
  <c r="M12" i="6"/>
  <c r="Q12" i="6"/>
  <c r="E12" i="6"/>
  <c r="K12" i="6"/>
  <c r="I12" i="6"/>
  <c r="G12" i="6"/>
  <c r="P8" i="6"/>
  <c r="P13" i="6"/>
  <c r="P11" i="6"/>
  <c r="E8" i="6"/>
  <c r="K8" i="6"/>
  <c r="I8" i="6"/>
  <c r="G8" i="6"/>
  <c r="O7" i="6"/>
  <c r="O12" i="6"/>
  <c r="I18" i="6"/>
  <c r="G18" i="6"/>
  <c r="E18" i="6"/>
  <c r="K18" i="6"/>
  <c r="I14" i="6"/>
  <c r="G14" i="6"/>
  <c r="E14" i="6"/>
  <c r="K14" i="6"/>
  <c r="M11" i="6"/>
  <c r="Q11" i="6"/>
  <c r="K17" i="6"/>
  <c r="I17" i="6"/>
  <c r="G17" i="6"/>
  <c r="E17" i="6"/>
  <c r="Q13" i="6"/>
  <c r="M13" i="6"/>
  <c r="G19" i="6"/>
  <c r="E19" i="6"/>
  <c r="K19" i="6"/>
  <c r="I19" i="6"/>
  <c r="Q18" i="6"/>
  <c r="Q10" i="6"/>
  <c r="M10" i="6"/>
  <c r="I10" i="6"/>
  <c r="G10" i="6"/>
  <c r="E10" i="6"/>
  <c r="K10" i="6"/>
  <c r="K21" i="6"/>
  <c r="I21" i="6"/>
  <c r="G21" i="6"/>
  <c r="E21" i="6"/>
  <c r="N11" i="6"/>
  <c r="M8" i="6"/>
  <c r="Q8" i="6"/>
  <c r="G15" i="6"/>
  <c r="E15" i="6"/>
  <c r="K15" i="6"/>
  <c r="I15" i="6"/>
  <c r="Q6" i="6"/>
  <c r="M6" i="6"/>
  <c r="K11" i="6"/>
  <c r="I11" i="6"/>
  <c r="G11" i="6"/>
  <c r="E11" i="6"/>
  <c r="K7" i="6"/>
  <c r="I7" i="6"/>
  <c r="G7" i="6"/>
  <c r="E7" i="6"/>
  <c r="P7" i="6"/>
  <c r="Q19" i="6"/>
  <c r="O11" i="6"/>
  <c r="G13" i="6"/>
  <c r="E13" i="6"/>
  <c r="K13" i="6"/>
  <c r="I13" i="6"/>
  <c r="O8" i="6"/>
  <c r="G5" i="6"/>
  <c r="E5" i="6"/>
  <c r="K5" i="6"/>
  <c r="I5" i="6"/>
  <c r="P6" i="6"/>
  <c r="E20" i="6"/>
  <c r="K20" i="6"/>
  <c r="I20" i="6"/>
  <c r="G20" i="6"/>
  <c r="G9" i="6"/>
  <c r="E9" i="6"/>
  <c r="K9" i="6"/>
  <c r="I9" i="6"/>
  <c r="N7" i="6"/>
  <c r="M7" i="6"/>
  <c r="Q7" i="6"/>
  <c r="E16" i="6"/>
  <c r="K16" i="6"/>
  <c r="I16" i="6"/>
  <c r="G16" i="6"/>
  <c r="Q9" i="6"/>
  <c r="M9" i="6"/>
  <c r="N6" i="6"/>
  <c r="Q14" i="6"/>
  <c r="M5" i="6"/>
  <c r="Q5" i="6"/>
  <c r="J1" i="6"/>
  <c r="P4" i="6"/>
  <c r="K4" i="6"/>
  <c r="O4" i="6"/>
  <c r="I4" i="6"/>
  <c r="H1" i="6"/>
  <c r="N4" i="6"/>
  <c r="G4" i="6"/>
  <c r="F1" i="6"/>
  <c r="M4" i="6"/>
  <c r="E4" i="6"/>
  <c r="D1" i="6"/>
  <c r="Q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Baker</author>
  </authors>
  <commentList>
    <comment ref="F2" authorId="0" shapeId="0" xr:uid="{FA77F7C2-886D-45FC-8FF1-ABE3F28B0B6E}">
      <text>
        <r>
          <rPr>
            <b/>
            <sz val="9"/>
            <color indexed="81"/>
            <rFont val="Tahoma"/>
            <family val="2"/>
          </rPr>
          <t>Brandon Baker:</t>
        </r>
        <r>
          <rPr>
            <sz val="9"/>
            <color indexed="81"/>
            <rFont val="Tahoma"/>
            <family val="2"/>
          </rPr>
          <t xml:space="preserve">
1 = Critical
2 = High
3 = Medium
4 = Low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Farabella</author>
  </authors>
  <commentList>
    <comment ref="J468" authorId="0" shapeId="0" xr:uid="{8F0ECFC1-C7FF-4455-9F0E-FCB51E1F9BDC}">
      <text>
        <r>
          <rPr>
            <sz val="11"/>
            <color theme="1"/>
            <rFont val="Calibri"/>
            <family val="2"/>
            <scheme val="minor"/>
          </rPr>
          <t>Christina Farabella:
Need to fix once company name is known in QB's and Job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<sst xmlns="http://schemas.openxmlformats.org/spreadsheetml/2006/main" count="24121" uniqueCount="8150">
  <si>
    <t>Quote Num.</t>
  </si>
  <si>
    <t>Created By</t>
  </si>
  <si>
    <t>Customer</t>
  </si>
  <si>
    <t>Cust. Contact</t>
  </si>
  <si>
    <t>Description</t>
  </si>
  <si>
    <t>Start Date</t>
  </si>
  <si>
    <t>Due Date</t>
  </si>
  <si>
    <t>Maturity Date</t>
  </si>
  <si>
    <t>Quote Status</t>
  </si>
  <si>
    <t>In L Drive</t>
  </si>
  <si>
    <t>Latest Rev</t>
  </si>
  <si>
    <t>Column1</t>
  </si>
  <si>
    <t>Q06</t>
  </si>
  <si>
    <t>JT</t>
  </si>
  <si>
    <t>RSA</t>
  </si>
  <si>
    <t>Jon Trembley</t>
  </si>
  <si>
    <t xml:space="preserve">Example Quote </t>
  </si>
  <si>
    <t>Not Accepted</t>
  </si>
  <si>
    <t>No</t>
  </si>
  <si>
    <t>Q07</t>
  </si>
  <si>
    <t>Avient</t>
  </si>
  <si>
    <t>Aaron Johnson</t>
  </si>
  <si>
    <t>Line C Acrison Takeover</t>
  </si>
  <si>
    <t>Q08</t>
  </si>
  <si>
    <t>TF</t>
  </si>
  <si>
    <t>Upstate Batavia</t>
  </si>
  <si>
    <t>Oleg S.</t>
  </si>
  <si>
    <t>Vacuum Cups</t>
  </si>
  <si>
    <t>PO Received</t>
  </si>
  <si>
    <t>Yes</t>
  </si>
  <si>
    <t>Q09</t>
  </si>
  <si>
    <t>JRW</t>
  </si>
  <si>
    <t>Cedars</t>
  </si>
  <si>
    <t>Scara Robot Case Packing</t>
  </si>
  <si>
    <t>Q010</t>
  </si>
  <si>
    <t xml:space="preserve">Iberdrola </t>
  </si>
  <si>
    <t>Dan Arcangeli</t>
  </si>
  <si>
    <t>SAP Bing, Can., Geneva</t>
  </si>
  <si>
    <t>Q011</t>
  </si>
  <si>
    <t>AMI Filmore</t>
  </si>
  <si>
    <t>Q012</t>
  </si>
  <si>
    <t>AMI Mechanicville, Lockport</t>
  </si>
  <si>
    <t>Q013</t>
  </si>
  <si>
    <t>Natures Fynd</t>
  </si>
  <si>
    <t>Sunny</t>
  </si>
  <si>
    <t>MCV 3000 Service Kit</t>
  </si>
  <si>
    <t>Q014</t>
  </si>
  <si>
    <t>Precision Process</t>
  </si>
  <si>
    <t>Scott Morrow</t>
  </si>
  <si>
    <t>Inital Design Labor for PPI Line</t>
  </si>
  <si>
    <t>Q015</t>
  </si>
  <si>
    <t>Engineered Thermal Solutions</t>
  </si>
  <si>
    <t>Chris Imiola</t>
  </si>
  <si>
    <t>Cement Cooling Water Tank &amp; Panel Skid</t>
  </si>
  <si>
    <t>Q016</t>
  </si>
  <si>
    <t>Sweetworks</t>
  </si>
  <si>
    <t>Guy Caccavaio</t>
  </si>
  <si>
    <t>Imperial Line ABB Support</t>
  </si>
  <si>
    <t>Q017</t>
  </si>
  <si>
    <t>CPM Service Kit</t>
  </si>
  <si>
    <t>Q018</t>
  </si>
  <si>
    <t>Chuck Marchetta</t>
  </si>
  <si>
    <t>Kopple PA Cooling Water Controls</t>
  </si>
  <si>
    <t>Q019</t>
  </si>
  <si>
    <t>Lydall</t>
  </si>
  <si>
    <t xml:space="preserve">Mike Sanguinito </t>
  </si>
  <si>
    <t>Machine Guarding for Coating Line</t>
  </si>
  <si>
    <t>Q020</t>
  </si>
  <si>
    <t>Steam Trap Spares</t>
  </si>
  <si>
    <t>Q021</t>
  </si>
  <si>
    <t>Hans Kissle</t>
  </si>
  <si>
    <t>Nick Piccolo</t>
  </si>
  <si>
    <t>Level Control for Trial Pump</t>
  </si>
  <si>
    <t>Q022</t>
  </si>
  <si>
    <t>Saint- Gobain Niagra</t>
  </si>
  <si>
    <t>Jeffe Villont</t>
  </si>
  <si>
    <t>Gel Extruder Abrasive Line</t>
  </si>
  <si>
    <t>Q023</t>
  </si>
  <si>
    <t>Saint Gobain Albion</t>
  </si>
  <si>
    <t>Ron Paeth</t>
  </si>
  <si>
    <t>FibaTape Packing Line Automation</t>
  </si>
  <si>
    <t>Q024</t>
  </si>
  <si>
    <t>V38 Mixing Line Ingredient Depalletizing Automation</t>
  </si>
  <si>
    <t>Q025</t>
  </si>
  <si>
    <t>Curaleaf</t>
  </si>
  <si>
    <t>Luke Burwell</t>
  </si>
  <si>
    <t>CIP System</t>
  </si>
  <si>
    <t>Q026</t>
  </si>
  <si>
    <t>Saint Gobain NF</t>
  </si>
  <si>
    <t>Sean Gokey, Wyatt Wolf</t>
  </si>
  <si>
    <t>Spray Dryer #2 Recontrol</t>
  </si>
  <si>
    <t>Q027</t>
  </si>
  <si>
    <t>Spackle Line Printing Solution</t>
  </si>
  <si>
    <t>Q028</t>
  </si>
  <si>
    <t>Thrive Foods</t>
  </si>
  <si>
    <t>Jacob Demaray</t>
  </si>
  <si>
    <t>Tray Washer Modification</t>
  </si>
  <si>
    <t>Q029</t>
  </si>
  <si>
    <t>Tray Cart</t>
  </si>
  <si>
    <t>Q030</t>
  </si>
  <si>
    <t xml:space="preserve">Chem Aqua </t>
  </si>
  <si>
    <t>Nick Valente</t>
  </si>
  <si>
    <t>Nebraska Ozone</t>
  </si>
  <si>
    <t>Q031</t>
  </si>
  <si>
    <t>Aries</t>
  </si>
  <si>
    <t>Dan Doyle</t>
  </si>
  <si>
    <t>Seal Water Overflow Switch</t>
  </si>
  <si>
    <t>Q032</t>
  </si>
  <si>
    <t xml:space="preserve">Bulkheads </t>
  </si>
  <si>
    <t>Q033</t>
  </si>
  <si>
    <t>Saint Gobain CertainTeed</t>
  </si>
  <si>
    <t>John Marciniak</t>
  </si>
  <si>
    <t>20:1 Gearbox Difference - In Job 3501 Quote Folder</t>
  </si>
  <si>
    <t>Q034</t>
  </si>
  <si>
    <t>Spare Parts for Ozone</t>
  </si>
  <si>
    <t>Q035</t>
  </si>
  <si>
    <t>Liberty Tubulars Tower Control Panel</t>
  </si>
  <si>
    <t>Q036</t>
  </si>
  <si>
    <t>MCC and Switch Gear Alternatives</t>
  </si>
  <si>
    <t>Q037</t>
  </si>
  <si>
    <t>T&amp;M Not to exceed update - In Job 3594 Folder</t>
  </si>
  <si>
    <t>Q038</t>
  </si>
  <si>
    <t>Fresenius Kabi</t>
  </si>
  <si>
    <t>Andrey Svintozelsky</t>
  </si>
  <si>
    <t>CIP Flowmeter Replacement</t>
  </si>
  <si>
    <t>Q039</t>
  </si>
  <si>
    <t>Avangrid</t>
  </si>
  <si>
    <t>SAP Hornell Liberty</t>
  </si>
  <si>
    <t>Q040</t>
  </si>
  <si>
    <t xml:space="preserve">WIFI Antenna Modification </t>
  </si>
  <si>
    <t>Q041</t>
  </si>
  <si>
    <t>Vrushank Patel</t>
  </si>
  <si>
    <t>Filler Drain Leg</t>
  </si>
  <si>
    <t>Rev1</t>
  </si>
  <si>
    <t>Q042</t>
  </si>
  <si>
    <t>JW</t>
  </si>
  <si>
    <t>McAlpin</t>
  </si>
  <si>
    <t>John Wilcox</t>
  </si>
  <si>
    <t>Robot 23 PLC Programming Changes</t>
  </si>
  <si>
    <t>Q043</t>
  </si>
  <si>
    <t>Saw Panel Drive Upgrade to Allen Bradley</t>
  </si>
  <si>
    <t>Q044</t>
  </si>
  <si>
    <t>Pump Skid for Cooling Water</t>
  </si>
  <si>
    <t>Q045</t>
  </si>
  <si>
    <t>Q046</t>
  </si>
  <si>
    <t>FlexScreen Robot Cover</t>
  </si>
  <si>
    <t>Q047</t>
  </si>
  <si>
    <t>Adam Bush</t>
  </si>
  <si>
    <t>HMI Firmware Upgrade</t>
  </si>
  <si>
    <t>Q048</t>
  </si>
  <si>
    <t>Curt Walby</t>
  </si>
  <si>
    <t>Imperial Line Integration</t>
  </si>
  <si>
    <t>Q049</t>
  </si>
  <si>
    <t>Historian Enterprise on AWS</t>
  </si>
  <si>
    <t>Q050</t>
  </si>
  <si>
    <t>Replacement Parts for Vac Panel</t>
  </si>
  <si>
    <t>Q051</t>
  </si>
  <si>
    <t>AMI Project Hornell and Liberty Additional Kits</t>
  </si>
  <si>
    <t>Q052</t>
  </si>
  <si>
    <t>Saint Gobain Adfors</t>
  </si>
  <si>
    <t>Mitch Van Lieshout</t>
  </si>
  <si>
    <t>Knitter trimming drive addition</t>
  </si>
  <si>
    <t>Q053</t>
  </si>
  <si>
    <t>Campbell</t>
  </si>
  <si>
    <t>Pete Imhoff</t>
  </si>
  <si>
    <t>Flow Plate Hold Tube</t>
  </si>
  <si>
    <t>Q054</t>
  </si>
  <si>
    <t>BV</t>
  </si>
  <si>
    <t>New Castle Chili</t>
  </si>
  <si>
    <t>Guy</t>
  </si>
  <si>
    <t>Additional RTDs with splitters and patch cables</t>
  </si>
  <si>
    <t>Q055</t>
  </si>
  <si>
    <t>Canopy Foods</t>
  </si>
  <si>
    <t>Mark Burke</t>
  </si>
  <si>
    <t>500 gal and 600 gal Kettles</t>
  </si>
  <si>
    <t>Q056</t>
  </si>
  <si>
    <t>JT/RS</t>
  </si>
  <si>
    <t>Upstate Rochester</t>
  </si>
  <si>
    <t>Pat Weed</t>
  </si>
  <si>
    <t>Filler Safety and Adjustment Upgrades</t>
  </si>
  <si>
    <t>Q057</t>
  </si>
  <si>
    <t>Replacement 16A Contactors</t>
  </si>
  <si>
    <t>Q058</t>
  </si>
  <si>
    <t>Phinney Tool &amp; Die</t>
  </si>
  <si>
    <t>Cliff Fuller</t>
  </si>
  <si>
    <t>AB Safety Sensor</t>
  </si>
  <si>
    <t>Q059</t>
  </si>
  <si>
    <t>JLM Sales and Marketing</t>
  </si>
  <si>
    <t>Steve Garren</t>
  </si>
  <si>
    <t>Kettles</t>
  </si>
  <si>
    <t>Q060</t>
  </si>
  <si>
    <t>Dynisco</t>
  </si>
  <si>
    <t>Jeff Lundgren</t>
  </si>
  <si>
    <t>2022 DAS</t>
  </si>
  <si>
    <t>Q061</t>
  </si>
  <si>
    <t>EES Systems</t>
  </si>
  <si>
    <t xml:space="preserve">Paco </t>
  </si>
  <si>
    <t>Interposing Relay Box</t>
  </si>
  <si>
    <t>Q062</t>
  </si>
  <si>
    <t>AMI Elmira</t>
  </si>
  <si>
    <t>Q063</t>
  </si>
  <si>
    <t>AMI Plattsburg</t>
  </si>
  <si>
    <t>Q064</t>
  </si>
  <si>
    <t>AMI Lancaster</t>
  </si>
  <si>
    <t>Q065</t>
  </si>
  <si>
    <t>AMI Aubrun</t>
  </si>
  <si>
    <t>Q066</t>
  </si>
  <si>
    <t>AMI Oneonta</t>
  </si>
  <si>
    <t>Q067</t>
  </si>
  <si>
    <t>AMI Bulkheads</t>
  </si>
  <si>
    <t>Q068</t>
  </si>
  <si>
    <t>Siagn Industries</t>
  </si>
  <si>
    <t>Jas Sra</t>
  </si>
  <si>
    <t>500 gal Kettle</t>
  </si>
  <si>
    <t>Q069</t>
  </si>
  <si>
    <t>600 gal Kettle</t>
  </si>
  <si>
    <t>Q070</t>
  </si>
  <si>
    <t>(Rheem) Miguel Garcia, Cliff Fuller</t>
  </si>
  <si>
    <t>Rheem TS120 Software Update to second press + Industrial PC replacement</t>
  </si>
  <si>
    <t>Q071</t>
  </si>
  <si>
    <t>MM</t>
  </si>
  <si>
    <t>Guy Blume</t>
  </si>
  <si>
    <t>Modulating Control Valves</t>
  </si>
  <si>
    <t>Q072</t>
  </si>
  <si>
    <t>JW/SD</t>
  </si>
  <si>
    <t>Alexander Kinney</t>
  </si>
  <si>
    <t>3D Printed Cup Holders</t>
  </si>
  <si>
    <t>Q073</t>
  </si>
  <si>
    <t>SweetWorks</t>
  </si>
  <si>
    <t>Imperial Line Season Startup Support</t>
  </si>
  <si>
    <t>Q074</t>
  </si>
  <si>
    <t>JT/TF/NE</t>
  </si>
  <si>
    <t>David Stowell</t>
  </si>
  <si>
    <t>QTY 4 24VDC 002I-C (2023)</t>
  </si>
  <si>
    <t>Q075</t>
  </si>
  <si>
    <t>JT/DP</t>
  </si>
  <si>
    <t>Aasted Depositer Level Control</t>
  </si>
  <si>
    <t>Q076</t>
  </si>
  <si>
    <t xml:space="preserve">Labor for Z Axis Replacement </t>
  </si>
  <si>
    <t>Q077</t>
  </si>
  <si>
    <t>Bob Taubmann</t>
  </si>
  <si>
    <t xml:space="preserve">2 Door Gate for Coater Line </t>
  </si>
  <si>
    <t>Q078</t>
  </si>
  <si>
    <t>Concord</t>
  </si>
  <si>
    <t>Alvin Seenath</t>
  </si>
  <si>
    <t>Cook Station Raw Material Upgrade</t>
  </si>
  <si>
    <t>Q079</t>
  </si>
  <si>
    <t>Buffalo Games</t>
  </si>
  <si>
    <t>David Rice</t>
  </si>
  <si>
    <t>Puzzle Packer Line #2</t>
  </si>
  <si>
    <t>Q080</t>
  </si>
  <si>
    <t>JST Global Tower Control Panel</t>
  </si>
  <si>
    <t>Q081</t>
  </si>
  <si>
    <t>Oatka</t>
  </si>
  <si>
    <t>Jason Brown</t>
  </si>
  <si>
    <t>Paletizer Safety Interlock</t>
  </si>
  <si>
    <t>Q082</t>
  </si>
  <si>
    <t>RS/MM</t>
  </si>
  <si>
    <t>Archer Daniels Midland</t>
  </si>
  <si>
    <t>Vinod Amar</t>
  </si>
  <si>
    <t>P&amp;ID for Flour bleaching process</t>
  </si>
  <si>
    <t>Q083</t>
  </si>
  <si>
    <t>Mark Grundy</t>
  </si>
  <si>
    <t>Steam Pressure Relief</t>
  </si>
  <si>
    <t>Q084</t>
  </si>
  <si>
    <t>Campbells</t>
  </si>
  <si>
    <t>Holly Masclans</t>
  </si>
  <si>
    <t>Blender Valves</t>
  </si>
  <si>
    <t>Q085</t>
  </si>
  <si>
    <t>AMI - Additional Antennas for Liberty SAP</t>
  </si>
  <si>
    <t>Q086</t>
  </si>
  <si>
    <t>AMI- SAP Kits for Filmore</t>
  </si>
  <si>
    <t>Q087</t>
  </si>
  <si>
    <t xml:space="preserve">AMI SAP Kits for Mechanicville </t>
  </si>
  <si>
    <t>Q088</t>
  </si>
  <si>
    <t>AMI SAP Kits for Elmira</t>
  </si>
  <si>
    <t>Q089</t>
  </si>
  <si>
    <t>AMI SAP Kits for Plattsburgh</t>
  </si>
  <si>
    <t>Q090</t>
  </si>
  <si>
    <t>AMI SAP Kits for Lancaster</t>
  </si>
  <si>
    <t>Q091</t>
  </si>
  <si>
    <t>AMI SAP Kits for Oneonta</t>
  </si>
  <si>
    <t>Q092</t>
  </si>
  <si>
    <t>EJ Gallow</t>
  </si>
  <si>
    <t>Tom Rice</t>
  </si>
  <si>
    <t>Hartness Case Packer Recontrol</t>
  </si>
  <si>
    <t>Q093</t>
  </si>
  <si>
    <t>Pete Stritzinger</t>
  </si>
  <si>
    <t>50 Large Cabinets</t>
  </si>
  <si>
    <t>Q094</t>
  </si>
  <si>
    <t>Imerys</t>
  </si>
  <si>
    <t>John Karcz</t>
  </si>
  <si>
    <t>PLC Upgrade/Backup Plan and Training</t>
  </si>
  <si>
    <t>Q095</t>
  </si>
  <si>
    <t>Freeze-Dry</t>
  </si>
  <si>
    <t xml:space="preserve">Tom Burton </t>
  </si>
  <si>
    <t>Tray Repairs</t>
  </si>
  <si>
    <t>Q096</t>
  </si>
  <si>
    <t>Brightmark</t>
  </si>
  <si>
    <t>Erik Darling</t>
  </si>
  <si>
    <t>Controls work on Boxler PC - reinstalling historian</t>
  </si>
  <si>
    <t>Q097</t>
  </si>
  <si>
    <t>Town of Hartland</t>
  </si>
  <si>
    <t>Chris Kushner</t>
  </si>
  <si>
    <t>IT Contract Services for the Town of Hartland</t>
  </si>
  <si>
    <t>Q098</t>
  </si>
  <si>
    <t>150 and 250 gal Kettle</t>
  </si>
  <si>
    <t>Q099</t>
  </si>
  <si>
    <t>Pressure Sensor Programming</t>
  </si>
  <si>
    <t>Q0100</t>
  </si>
  <si>
    <t>Moley Magnetics</t>
  </si>
  <si>
    <t>John Moley</t>
  </si>
  <si>
    <t>NF Air Field Modbus to BacNet Gateway</t>
  </si>
  <si>
    <t>Q0101</t>
  </si>
  <si>
    <t>MM/TF/RS</t>
  </si>
  <si>
    <t>Jenna LaRosa</t>
  </si>
  <si>
    <t>CIP Skid</t>
  </si>
  <si>
    <t>Q0102</t>
  </si>
  <si>
    <t>TF/MM/RS</t>
  </si>
  <si>
    <t>Pilot Plant Media Make-up</t>
  </si>
  <si>
    <t>Q0103</t>
  </si>
  <si>
    <t>TurnKey Automation Solutions</t>
  </si>
  <si>
    <t>Kevin Nicoletta</t>
  </si>
  <si>
    <t>Dental Trays And Covers</t>
  </si>
  <si>
    <t>Q0104</t>
  </si>
  <si>
    <t>RS</t>
  </si>
  <si>
    <t>Matt Knights</t>
  </si>
  <si>
    <t>Sanitation Skid - Engineering</t>
  </si>
  <si>
    <t>Q0105</t>
  </si>
  <si>
    <t>GEA</t>
  </si>
  <si>
    <t>Joe Connell</t>
  </si>
  <si>
    <t>Quebec Homogenizer Drawing</t>
  </si>
  <si>
    <t>Q0106</t>
  </si>
  <si>
    <t xml:space="preserve">Oleg </t>
  </si>
  <si>
    <t xml:space="preserve">Drum Cart </t>
  </si>
  <si>
    <t>Q0107</t>
  </si>
  <si>
    <t xml:space="preserve">TF </t>
  </si>
  <si>
    <t xml:space="preserve">Additional Kits for Liberty </t>
  </si>
  <si>
    <t>Q0108</t>
  </si>
  <si>
    <t>Cascades</t>
  </si>
  <si>
    <t>Ian</t>
  </si>
  <si>
    <t>Roll Wrapper SLC Recontrol</t>
  </si>
  <si>
    <t>Q0109</t>
  </si>
  <si>
    <t>Differential Pressure Racks for Linden</t>
  </si>
  <si>
    <t>Q0110</t>
  </si>
  <si>
    <t>Joe Pippard</t>
  </si>
  <si>
    <t>Onsite Services, per day per tech</t>
  </si>
  <si>
    <t>Q0111</t>
  </si>
  <si>
    <t>JT, NE, DP</t>
  </si>
  <si>
    <t>Rick Stacey</t>
  </si>
  <si>
    <t>Emerson KEP vs RSA Batcher</t>
  </si>
  <si>
    <t>Q0112</t>
  </si>
  <si>
    <t>Callie Baily-Wickins</t>
  </si>
  <si>
    <t>V38 5th storage tank commissioning parts and labor</t>
  </si>
  <si>
    <t>Q0113</t>
  </si>
  <si>
    <t>Dan Stevenovik</t>
  </si>
  <si>
    <t>M11 Controls Upgrade</t>
  </si>
  <si>
    <t>Q0114</t>
  </si>
  <si>
    <t>Etching and Rinse-Dry Manual Lines</t>
  </si>
  <si>
    <t>Q0115</t>
  </si>
  <si>
    <t>Trip to UofN</t>
  </si>
  <si>
    <t>Q0116</t>
  </si>
  <si>
    <t>Transfer Table</t>
  </si>
  <si>
    <t>Q0117</t>
  </si>
  <si>
    <t>Antenna Quote</t>
  </si>
  <si>
    <t>Q0118</t>
  </si>
  <si>
    <t>Parking Lot Expansion</t>
  </si>
  <si>
    <t>Q0119</t>
  </si>
  <si>
    <t>Sevenson Deepwater FUSRAP WWTP</t>
  </si>
  <si>
    <t>Q0120</t>
  </si>
  <si>
    <t>QTY 3 300HP VFD Cabinets</t>
  </si>
  <si>
    <t>Q0121</t>
  </si>
  <si>
    <t>Cooling Tower Screens</t>
  </si>
  <si>
    <t>Q0122</t>
  </si>
  <si>
    <t>JW/JT</t>
  </si>
  <si>
    <t>Machine 11 Installation Services</t>
  </si>
  <si>
    <t>Q0123</t>
  </si>
  <si>
    <t>Cooling Line Filter</t>
  </si>
  <si>
    <t>Q0124</t>
  </si>
  <si>
    <t>Raw Material PLC</t>
  </si>
  <si>
    <t>RFQ</t>
  </si>
  <si>
    <t>Q0125</t>
  </si>
  <si>
    <t>Baush lomb</t>
  </si>
  <si>
    <t>Chris Pattison</t>
  </si>
  <si>
    <t xml:space="preserve">1500L </t>
  </si>
  <si>
    <t>Quote Sent</t>
  </si>
  <si>
    <t>Q0126</t>
  </si>
  <si>
    <t>Drum Washer</t>
  </si>
  <si>
    <t>In Progress</t>
  </si>
  <si>
    <t>Q0127</t>
  </si>
  <si>
    <t>Matthew Norton</t>
  </si>
  <si>
    <t>OSG Enclosure RFP</t>
  </si>
  <si>
    <t>Q0128</t>
  </si>
  <si>
    <t>Lidestri</t>
  </si>
  <si>
    <t>Mike Rheinheimer</t>
  </si>
  <si>
    <t>HPP Conveyor Programming</t>
  </si>
  <si>
    <t>Q0129</t>
  </si>
  <si>
    <t>Mike Kennedy</t>
  </si>
  <si>
    <t>NF Air Reject Station</t>
  </si>
  <si>
    <t>Q0130</t>
  </si>
  <si>
    <t>Q0131</t>
  </si>
  <si>
    <t>Installation Materials</t>
  </si>
  <si>
    <t>Q0132</t>
  </si>
  <si>
    <t>Lemon Filler</t>
  </si>
  <si>
    <t>Q0133</t>
  </si>
  <si>
    <t>Corn Syrup Pump &amp; Meter, Possibly Include Raw Material PLC</t>
  </si>
  <si>
    <t>Q0134</t>
  </si>
  <si>
    <t>Thermo Fisher</t>
  </si>
  <si>
    <t>Mitch Miller</t>
  </si>
  <si>
    <t>Automated Bottle Filling Cell</t>
  </si>
  <si>
    <t>Q0135</t>
  </si>
  <si>
    <t>Mizkan</t>
  </si>
  <si>
    <t>Tom Meyers</t>
  </si>
  <si>
    <t>Line 1 Filler Gaurding Electrical Install</t>
  </si>
  <si>
    <t>Q0136</t>
  </si>
  <si>
    <t xml:space="preserve">Can-line Cooling Tower Track </t>
  </si>
  <si>
    <t>Q0137</t>
  </si>
  <si>
    <t>TF, RSJ</t>
  </si>
  <si>
    <t>Automated Oil Fill RIg</t>
  </si>
  <si>
    <t>Q0138</t>
  </si>
  <si>
    <t>RS, SD</t>
  </si>
  <si>
    <t>Mike Scott</t>
  </si>
  <si>
    <t>CTM Labeler</t>
  </si>
  <si>
    <t>Q0139</t>
  </si>
  <si>
    <t>Maddison Matthews</t>
  </si>
  <si>
    <t>Flow Meter Control Panel and Installation</t>
  </si>
  <si>
    <t>Q0140</t>
  </si>
  <si>
    <t>Additonal Ap/Relay Kits for NYSEG</t>
  </si>
  <si>
    <t>Q0141</t>
  </si>
  <si>
    <t>Javlyn</t>
  </si>
  <si>
    <t>Victor Tifone</t>
  </si>
  <si>
    <t>E2E3 Panel Build to Print</t>
  </si>
  <si>
    <t>Q0142</t>
  </si>
  <si>
    <t>KR</t>
  </si>
  <si>
    <t>replace cabinet latches with hoffmans and custom striker plates</t>
  </si>
  <si>
    <t>Q0143</t>
  </si>
  <si>
    <t>PROCESS ELECTRICAL HOME BAKE I/O PANEL CC-200</t>
  </si>
  <si>
    <t>Q0144</t>
  </si>
  <si>
    <t>KR, MM, JW</t>
  </si>
  <si>
    <t>Freeze Dry</t>
  </si>
  <si>
    <t>Plastic Parts</t>
  </si>
  <si>
    <t>Q0145</t>
  </si>
  <si>
    <t>Grates for 150 and 250 gal Kettles</t>
  </si>
  <si>
    <t>Q0146</t>
  </si>
  <si>
    <t>Electrical Panels</t>
  </si>
  <si>
    <t>Q0147</t>
  </si>
  <si>
    <t>Zach Gultz</t>
  </si>
  <si>
    <t>Trial Parts</t>
  </si>
  <si>
    <t>Q0148</t>
  </si>
  <si>
    <t>NYSEG SAP Overage</t>
  </si>
  <si>
    <t>Q0149</t>
  </si>
  <si>
    <t>RGE AP Relay Spares Overage</t>
  </si>
  <si>
    <t>Q0150</t>
  </si>
  <si>
    <t>RGE SAP Spares</t>
  </si>
  <si>
    <t>Q0151</t>
  </si>
  <si>
    <t>5G-LTE Cabinet</t>
  </si>
  <si>
    <t>Q0152</t>
  </si>
  <si>
    <t xml:space="preserve">Preengineering for Pilot Plant </t>
  </si>
  <si>
    <t>Q0153</t>
  </si>
  <si>
    <t>Guillermo Casanova</t>
  </si>
  <si>
    <t>Breddo Likwifier</t>
  </si>
  <si>
    <t>Q0154</t>
  </si>
  <si>
    <t>Base for 5G LTE Cabinet</t>
  </si>
  <si>
    <t>Q0155</t>
  </si>
  <si>
    <t>Saint Gobain Ceramics</t>
  </si>
  <si>
    <t>Sean Gokey</t>
  </si>
  <si>
    <t>Attrition Mill #5 Controls</t>
  </si>
  <si>
    <t>Q0156</t>
  </si>
  <si>
    <t>Update on QETS022219</t>
  </si>
  <si>
    <t>Q0157</t>
  </si>
  <si>
    <t>Update on QETS030619</t>
  </si>
  <si>
    <t>Q0158</t>
  </si>
  <si>
    <t>Cap Mold Drawings</t>
  </si>
  <si>
    <t>Q0159</t>
  </si>
  <si>
    <t>RDS</t>
  </si>
  <si>
    <t>Tom Angell</t>
  </si>
  <si>
    <t xml:space="preserve">Barcode Panel Dips 3 </t>
  </si>
  <si>
    <t>Q0160</t>
  </si>
  <si>
    <t xml:space="preserve">TF, RS </t>
  </si>
  <si>
    <t>Chem Aqua</t>
  </si>
  <si>
    <t>Brian Dunbar</t>
  </si>
  <si>
    <t>Genesee Brewery Ozone</t>
  </si>
  <si>
    <t>Q0161</t>
  </si>
  <si>
    <t>Raghu Kallam</t>
  </si>
  <si>
    <t>Palamatic Bag Compactor Control</t>
  </si>
  <si>
    <t>Q0162</t>
  </si>
  <si>
    <t>CNC Router Table</t>
  </si>
  <si>
    <t>Q0163</t>
  </si>
  <si>
    <t>Emergency Point I/O Parts</t>
  </si>
  <si>
    <t>Q0164</t>
  </si>
  <si>
    <t>Oil Fill Station</t>
  </si>
  <si>
    <t>Q0165</t>
  </si>
  <si>
    <t>TF, CK</t>
  </si>
  <si>
    <t>Davis Standard</t>
  </si>
  <si>
    <t>Jarrod Stone</t>
  </si>
  <si>
    <t>Weldment and Machining</t>
  </si>
  <si>
    <t>Q0166</t>
  </si>
  <si>
    <t>Mettler Toledo Display Boxes</t>
  </si>
  <si>
    <t>Q0167</t>
  </si>
  <si>
    <t>NE</t>
  </si>
  <si>
    <t>Ricky Stacey</t>
  </si>
  <si>
    <t>New HMI and POE Switch Cabinet</t>
  </si>
  <si>
    <t>Q0168</t>
  </si>
  <si>
    <t>Staging Room Ventilation</t>
  </si>
  <si>
    <t>Q0169</t>
  </si>
  <si>
    <t>Surge Tank Stairs</t>
  </si>
  <si>
    <t>Q0170</t>
  </si>
  <si>
    <t>Mary A Miller</t>
  </si>
  <si>
    <t>T&amp;M Rate for Preffed Contractor</t>
  </si>
  <si>
    <t>Q0171</t>
  </si>
  <si>
    <t>Upstate Niagara (Fulton Ave)</t>
  </si>
  <si>
    <t>Brian Reigle</t>
  </si>
  <si>
    <t>Filler Room PLC Upgrades</t>
  </si>
  <si>
    <t>Q0172</t>
  </si>
  <si>
    <t>TF, RS</t>
  </si>
  <si>
    <t>Grober</t>
  </si>
  <si>
    <t>Charlie Balko</t>
  </si>
  <si>
    <t xml:space="preserve">Pit Waste Water </t>
  </si>
  <si>
    <t>Q0173</t>
  </si>
  <si>
    <t xml:space="preserve"> Additional AP-Relay Kits for NYSEG</t>
  </si>
  <si>
    <t>Q0174</t>
  </si>
  <si>
    <t>Andrew Hoffman</t>
  </si>
  <si>
    <t>Rockwell Systems Upgrade</t>
  </si>
  <si>
    <t>Q0175</t>
  </si>
  <si>
    <t>Level Measurement</t>
  </si>
  <si>
    <t>Q0176</t>
  </si>
  <si>
    <t>Henkel</t>
  </si>
  <si>
    <t>Ryan Sandroni</t>
  </si>
  <si>
    <t>Line 50</t>
  </si>
  <si>
    <t>Q0177</t>
  </si>
  <si>
    <t>Edible Gardens</t>
  </si>
  <si>
    <t>Scott Prendergast</t>
  </si>
  <si>
    <t>Vertical Grow Wall</t>
  </si>
  <si>
    <t>Q0178</t>
  </si>
  <si>
    <t>Delta Sonic</t>
  </si>
  <si>
    <t>Nick Cultrara</t>
  </si>
  <si>
    <t>Batching System Design</t>
  </si>
  <si>
    <t>Q0179</t>
  </si>
  <si>
    <t>JW, RS</t>
  </si>
  <si>
    <t>Pride Pak</t>
  </si>
  <si>
    <t>Mike Moriarty</t>
  </si>
  <si>
    <t>Salad Conainter Packing Cell</t>
  </si>
  <si>
    <t>Q0180</t>
  </si>
  <si>
    <t>Q0181</t>
  </si>
  <si>
    <t>AMI Mounting Plates</t>
  </si>
  <si>
    <t>Q0182</t>
  </si>
  <si>
    <t>AMI Polyphasers</t>
  </si>
  <si>
    <t>Q0183</t>
  </si>
  <si>
    <t>Flex Screen Robot Cleaning Routine Programming</t>
  </si>
  <si>
    <t>Q0184</t>
  </si>
  <si>
    <t>Onion Line Modifications</t>
  </si>
  <si>
    <t>Q0185</t>
  </si>
  <si>
    <t>Tom Burton</t>
  </si>
  <si>
    <t>Drain Covers</t>
  </si>
  <si>
    <t>Q0186</t>
  </si>
  <si>
    <t>Ampco</t>
  </si>
  <si>
    <t>Brian Creech</t>
  </si>
  <si>
    <t>2HP VFD Panel</t>
  </si>
  <si>
    <t>Q0187</t>
  </si>
  <si>
    <t>Town of Oakfield</t>
  </si>
  <si>
    <t>Matt Martin</t>
  </si>
  <si>
    <t>Elroy Parkins Memorial Park Surveillance</t>
  </si>
  <si>
    <t>Q0188</t>
  </si>
  <si>
    <t>Power &amp; Ethernet Cables</t>
  </si>
  <si>
    <t>Q0189</t>
  </si>
  <si>
    <t>Intrinsically Safe Barriers</t>
  </si>
  <si>
    <t>Q0190</t>
  </si>
  <si>
    <t>1500L Ultra Clean Tank Skid</t>
  </si>
  <si>
    <t>Q0191</t>
  </si>
  <si>
    <t>Ciaran Sanderson</t>
  </si>
  <si>
    <t>20,000L Automation for Marina Crossing</t>
  </si>
  <si>
    <t>Q0192</t>
  </si>
  <si>
    <t>Loading Platform Modifications</t>
  </si>
  <si>
    <t>Q0193</t>
  </si>
  <si>
    <t>TF, JW</t>
  </si>
  <si>
    <t>Molly Ferris</t>
  </si>
  <si>
    <t>Decapper/Filler</t>
  </si>
  <si>
    <t>Q0194</t>
  </si>
  <si>
    <t xml:space="preserve">EJ Gallo </t>
  </si>
  <si>
    <t>Tom Rice/ Matthew Knight</t>
  </si>
  <si>
    <t>Hartness Long Lead time items Part Sale</t>
  </si>
  <si>
    <t>Q0195</t>
  </si>
  <si>
    <t>Sunny Wang</t>
  </si>
  <si>
    <t>DDK Side vale</t>
  </si>
  <si>
    <t>Q0196</t>
  </si>
  <si>
    <t xml:space="preserve">Zach / Mike Kennedy </t>
  </si>
  <si>
    <t xml:space="preserve">NF Contherm addition </t>
  </si>
  <si>
    <t>Q0197</t>
  </si>
  <si>
    <t>Chuck Marcheta</t>
  </si>
  <si>
    <t>2957 rebuild</t>
  </si>
  <si>
    <t>Q0198</t>
  </si>
  <si>
    <t>Keith Gray</t>
  </si>
  <si>
    <t>Yellow Jacket Historian Service</t>
  </si>
  <si>
    <t>Q0199</t>
  </si>
  <si>
    <t>David Carpenter</t>
  </si>
  <si>
    <t>Romicon Stack Light</t>
  </si>
  <si>
    <t>Q0200</t>
  </si>
  <si>
    <t>TF,RSJ</t>
  </si>
  <si>
    <t>Fluke Techtronics</t>
  </si>
  <si>
    <t>Vijay Akella</t>
  </si>
  <si>
    <t>Testing Station</t>
  </si>
  <si>
    <t>Q0201</t>
  </si>
  <si>
    <t>West Rock Coffee</t>
  </si>
  <si>
    <t>Andy Werner</t>
  </si>
  <si>
    <t>Q0202</t>
  </si>
  <si>
    <t>Combi Case Eractor Service</t>
  </si>
  <si>
    <t>Q0203</t>
  </si>
  <si>
    <t>Saint Gobain Niagra Falls</t>
  </si>
  <si>
    <t>Wyatt Wolf</t>
  </si>
  <si>
    <t>Armor Press Automation</t>
  </si>
  <si>
    <t>Q0204</t>
  </si>
  <si>
    <t>Barrette Outdoor Living</t>
  </si>
  <si>
    <t>Mark Suchyna</t>
  </si>
  <si>
    <t>Router 12 New Posts and Cutouts</t>
  </si>
  <si>
    <t>Q0205</t>
  </si>
  <si>
    <t>Sludge Containment Pit</t>
  </si>
  <si>
    <t>Q0206</t>
  </si>
  <si>
    <t>Pcore Electric</t>
  </si>
  <si>
    <t>Carlos Bu</t>
  </si>
  <si>
    <t>Resin Flow Controller</t>
  </si>
  <si>
    <t>Q0207</t>
  </si>
  <si>
    <t>DP</t>
  </si>
  <si>
    <t>Muncie Tower Cooling Panel</t>
  </si>
  <si>
    <t>Q0208</t>
  </si>
  <si>
    <t>Palletizer Gate</t>
  </si>
  <si>
    <t>Q0209</t>
  </si>
  <si>
    <t>Cold Shrink</t>
  </si>
  <si>
    <t>Q0210</t>
  </si>
  <si>
    <t>Oleg Stezherinskiy</t>
  </si>
  <si>
    <t>Wastewater Piping</t>
  </si>
  <si>
    <t>Q0211</t>
  </si>
  <si>
    <t>Onsite HMI Services</t>
  </si>
  <si>
    <t>Q0212</t>
  </si>
  <si>
    <t>Sean Fryover</t>
  </si>
  <si>
    <t>Spare Parts Ozone Quote</t>
  </si>
  <si>
    <t>Q0213</t>
  </si>
  <si>
    <t xml:space="preserve">Sanitation Skid </t>
  </si>
  <si>
    <t>Q0214</t>
  </si>
  <si>
    <t>Pressure Relief Valves</t>
  </si>
  <si>
    <t>Q0215</t>
  </si>
  <si>
    <t>Gate Install</t>
  </si>
  <si>
    <t>Q0216</t>
  </si>
  <si>
    <t>Vertical Lift Kit Build to Print</t>
  </si>
  <si>
    <t>Q0217</t>
  </si>
  <si>
    <t>Town of Albion</t>
  </si>
  <si>
    <t>Mike</t>
  </si>
  <si>
    <t>Waste Water Pit Basket</t>
  </si>
  <si>
    <t>Q0218</t>
  </si>
  <si>
    <t>Replacement Actuator</t>
  </si>
  <si>
    <t>Q0219</t>
  </si>
  <si>
    <t xml:space="preserve">Antenna Quote </t>
  </si>
  <si>
    <t>Q0220</t>
  </si>
  <si>
    <t>Ron Paeth Consulting?</t>
  </si>
  <si>
    <t>Winder Panel</t>
  </si>
  <si>
    <t>Q0221</t>
  </si>
  <si>
    <t>Controls for new scrim machine</t>
  </si>
  <si>
    <t>Q0222</t>
  </si>
  <si>
    <t>Tank Blower Header</t>
  </si>
  <si>
    <t>Q0223</t>
  </si>
  <si>
    <t>Tetra Pak</t>
  </si>
  <si>
    <t>San Antonio Aseptic Plant Process and Controls</t>
  </si>
  <si>
    <t>Q0224</t>
  </si>
  <si>
    <t>Chip Shield Actuator</t>
  </si>
  <si>
    <t>Q0225</t>
  </si>
  <si>
    <t>Robert Gwin</t>
  </si>
  <si>
    <t>Mix Valves</t>
  </si>
  <si>
    <t>Q0226</t>
  </si>
  <si>
    <t>rds</t>
  </si>
  <si>
    <t>Hartness Labor</t>
  </si>
  <si>
    <t>Q0227</t>
  </si>
  <si>
    <t>Northeast Industrial</t>
  </si>
  <si>
    <t>Pete Shaffer</t>
  </si>
  <si>
    <t>12" Performance PanelView</t>
  </si>
  <si>
    <t>Q0228</t>
  </si>
  <si>
    <t xml:space="preserve">Brian </t>
  </si>
  <si>
    <t>1.5HP &amp; 20HP Pump Panel</t>
  </si>
  <si>
    <t>Q0229</t>
  </si>
  <si>
    <t>CSC Sugar</t>
  </si>
  <si>
    <t>Charles Jordan</t>
  </si>
  <si>
    <t>LFV-530 Shaft</t>
  </si>
  <si>
    <t>Q0230</t>
  </si>
  <si>
    <t>Build to Print Panel</t>
  </si>
  <si>
    <t>Q0231</t>
  </si>
  <si>
    <t>Vertical Actuator for Router</t>
  </si>
  <si>
    <t>Q0232</t>
  </si>
  <si>
    <t>15" PanelView Plus 7 Standard</t>
  </si>
  <si>
    <t>Q0233</t>
  </si>
  <si>
    <t>2024 - 3 New Auto Lidding Lines</t>
  </si>
  <si>
    <t>Q0234</t>
  </si>
  <si>
    <t>Drain Tempering Valves</t>
  </si>
  <si>
    <t>Q0235</t>
  </si>
  <si>
    <t>757 Seals</t>
  </si>
  <si>
    <t>Q0236</t>
  </si>
  <si>
    <t>MM, TF</t>
  </si>
  <si>
    <t>Abigail Grabowski</t>
  </si>
  <si>
    <t>Flow Plate</t>
  </si>
  <si>
    <t>Q0237</t>
  </si>
  <si>
    <t>Cleated Belt Mold Cover</t>
  </si>
  <si>
    <t>Q0238</t>
  </si>
  <si>
    <t>Jason Bunk</t>
  </si>
  <si>
    <t>CIP Skid Software Support</t>
  </si>
  <si>
    <t>Q0239</t>
  </si>
  <si>
    <t>Matheson Rebuild</t>
  </si>
  <si>
    <t>Q0240</t>
  </si>
  <si>
    <t>SD</t>
  </si>
  <si>
    <t>Parts</t>
  </si>
  <si>
    <t>Q0241</t>
  </si>
  <si>
    <t>UOP Callidus - Test Lab</t>
  </si>
  <si>
    <t>Q0242</t>
  </si>
  <si>
    <t>C1D2 Saulsbury Cooling Tower Panel</t>
  </si>
  <si>
    <t>Q0243</t>
  </si>
  <si>
    <t>RJ, JW</t>
  </si>
  <si>
    <t>Sandblasting Automation, Pick and Place</t>
  </si>
  <si>
    <t>Q0244</t>
  </si>
  <si>
    <t>RSJ</t>
  </si>
  <si>
    <t>York Chillers</t>
  </si>
  <si>
    <t>Q0245</t>
  </si>
  <si>
    <t>Yogurt Tank - 1500 gal</t>
  </si>
  <si>
    <t>Q0246</t>
  </si>
  <si>
    <t>Line 7 Picket Stacker Modification</t>
  </si>
  <si>
    <t>Q0247</t>
  </si>
  <si>
    <t>Router 12 Live Roller Modification</t>
  </si>
  <si>
    <t>Q0248</t>
  </si>
  <si>
    <t>Evgeni</t>
  </si>
  <si>
    <t>Palletizing Robot Cells</t>
  </si>
  <si>
    <t>Q0249</t>
  </si>
  <si>
    <t>JT, NE</t>
  </si>
  <si>
    <t>NEMA 7 Drive Enclosure</t>
  </si>
  <si>
    <t>Q0250</t>
  </si>
  <si>
    <t>JT, MM</t>
  </si>
  <si>
    <t>Key Switches for Retort System</t>
  </si>
  <si>
    <t>Q0251</t>
  </si>
  <si>
    <t>SD, RS, TF</t>
  </si>
  <si>
    <t>1,500 Gallon Vertical Insulated 'EPC' Process Batch Tank</t>
  </si>
  <si>
    <t>Q0252</t>
  </si>
  <si>
    <t>Tool Brackets</t>
  </si>
  <si>
    <t>Q0253</t>
  </si>
  <si>
    <t xml:space="preserve">Box Rotator </t>
  </si>
  <si>
    <t>Q0254</t>
  </si>
  <si>
    <t>Industrial Fabrics Inc.</t>
  </si>
  <si>
    <t>Trim Winders</t>
  </si>
  <si>
    <t>Q0255</t>
  </si>
  <si>
    <t>Dynabrade</t>
  </si>
  <si>
    <t>James Rose</t>
  </si>
  <si>
    <t>Replacement Conveyor Belts</t>
  </si>
  <si>
    <t>Q0256</t>
  </si>
  <si>
    <t>Jessica Donovan</t>
  </si>
  <si>
    <t>70 CE-006-002i-C-24</t>
  </si>
  <si>
    <t>Q0257</t>
  </si>
  <si>
    <t>45 Antennas and brackets</t>
  </si>
  <si>
    <t>Q0258</t>
  </si>
  <si>
    <t>Rink Wheeler</t>
  </si>
  <si>
    <t>Air Assist</t>
  </si>
  <si>
    <t>Q0259</t>
  </si>
  <si>
    <t>Welch's</t>
  </si>
  <si>
    <t>Bart Leonard</t>
  </si>
  <si>
    <t>Q0260</t>
  </si>
  <si>
    <t>Ian Marrett</t>
  </si>
  <si>
    <t>Upgrade to L83ES</t>
  </si>
  <si>
    <t>Q0261</t>
  </si>
  <si>
    <t>HEPA Spare Parts</t>
  </si>
  <si>
    <t>Q0262</t>
  </si>
  <si>
    <t>Nick Moley</t>
  </si>
  <si>
    <t>Ground Well Pump Controls</t>
  </si>
  <si>
    <t>Q0263</t>
  </si>
  <si>
    <t>John M</t>
  </si>
  <si>
    <t>Saint Gobain</t>
  </si>
  <si>
    <t>SGB Delware Stackers</t>
  </si>
  <si>
    <t>Q0264</t>
  </si>
  <si>
    <t>SD, JT</t>
  </si>
  <si>
    <t>Daniel Stevanovik</t>
  </si>
  <si>
    <t>V38 Main Mixing Motor Upgrade</t>
  </si>
  <si>
    <t>Q0265</t>
  </si>
  <si>
    <t>kr</t>
  </si>
  <si>
    <t>jason brown</t>
  </si>
  <si>
    <t>oatka</t>
  </si>
  <si>
    <t>lighting controls</t>
  </si>
  <si>
    <t>Q0266</t>
  </si>
  <si>
    <t>IFF</t>
  </si>
  <si>
    <t>Austin Swartz</t>
  </si>
  <si>
    <t>Likwifier</t>
  </si>
  <si>
    <t>Q0267</t>
  </si>
  <si>
    <t>50 Antennas</t>
  </si>
  <si>
    <t>Q0268</t>
  </si>
  <si>
    <t>MonuMedical</t>
  </si>
  <si>
    <t>Tom Davis</t>
  </si>
  <si>
    <t>Medical Valve Assembly Cell</t>
  </si>
  <si>
    <t>Q0269</t>
  </si>
  <si>
    <t>Motor starter panel</t>
  </si>
  <si>
    <t>Q0270</t>
  </si>
  <si>
    <t>Smuckers Milkbone</t>
  </si>
  <si>
    <t>New Line</t>
  </si>
  <si>
    <t>Q0271</t>
  </si>
  <si>
    <t>david Arroyo</t>
  </si>
  <si>
    <t xml:space="preserve">Automation Panels </t>
  </si>
  <si>
    <t>Q0272</t>
  </si>
  <si>
    <t>PAVE Mix Batching System</t>
  </si>
  <si>
    <t>Q0273</t>
  </si>
  <si>
    <t xml:space="preserve">Gowtham Sundar </t>
  </si>
  <si>
    <t>Constant Duty/Variable Duty 10HP AB VFD Cabinet for ZPSM Cart</t>
  </si>
  <si>
    <t>Q0274</t>
  </si>
  <si>
    <t>Precision process</t>
  </si>
  <si>
    <t>Amtrex Plating Line Recontrol</t>
  </si>
  <si>
    <t>Q0275</t>
  </si>
  <si>
    <t>Oatka waste water PLC VFD upgrade on DAF</t>
  </si>
  <si>
    <t>Q0276</t>
  </si>
  <si>
    <t>Pressure Pump Panel and Software</t>
  </si>
  <si>
    <t>Q0277</t>
  </si>
  <si>
    <t>Wet Sac Cooling Tower Panel</t>
  </si>
  <si>
    <t>Q0278</t>
  </si>
  <si>
    <t>C1D2 California Fluid Cooler</t>
  </si>
  <si>
    <t>Q0279</t>
  </si>
  <si>
    <t>MM, JT</t>
  </si>
  <si>
    <t>Mix Tanks 250 gallon and 2000 gallon</t>
  </si>
  <si>
    <t>Q0280</t>
  </si>
  <si>
    <t>Schneider Breakers</t>
  </si>
  <si>
    <t>Q0281</t>
  </si>
  <si>
    <t>Dave Carpenter</t>
  </si>
  <si>
    <t>Turbidity Meter Tie-In</t>
  </si>
  <si>
    <t>Q0282</t>
  </si>
  <si>
    <t xml:space="preserve">Dan </t>
  </si>
  <si>
    <t>AMI Installation</t>
  </si>
  <si>
    <t>Q0283</t>
  </si>
  <si>
    <t>HXV Control Panels</t>
  </si>
  <si>
    <t>Q0284</t>
  </si>
  <si>
    <t xml:space="preserve">RDS </t>
  </si>
  <si>
    <t>barrette</t>
  </si>
  <si>
    <t>Stacker Quote</t>
  </si>
  <si>
    <t>Q0285</t>
  </si>
  <si>
    <t xml:space="preserve">Seal Replacement </t>
  </si>
  <si>
    <t>Q0286</t>
  </si>
  <si>
    <t>Boiler tank feed</t>
  </si>
  <si>
    <t> </t>
  </si>
  <si>
    <t>Q0287</t>
  </si>
  <si>
    <t>Zach Karl</t>
  </si>
  <si>
    <t>Valve Bank Seperation</t>
  </si>
  <si>
    <t>Q0288</t>
  </si>
  <si>
    <t>Catch Basin</t>
  </si>
  <si>
    <t>Q0289</t>
  </si>
  <si>
    <t>Quincy Exact Solutions</t>
  </si>
  <si>
    <t>Brian Lansing</t>
  </si>
  <si>
    <t>Coffee Creamer Case Packing</t>
  </si>
  <si>
    <t>Q0290</t>
  </si>
  <si>
    <t>Gowtham Sundar</t>
  </si>
  <si>
    <t>C1D2 10HP NEMA 4X VFD</t>
  </si>
  <si>
    <t>Q0291</t>
  </si>
  <si>
    <t>Sanitary Coupling O-Ring</t>
  </si>
  <si>
    <t>Q0292</t>
  </si>
  <si>
    <t>Mayer Brothers</t>
  </si>
  <si>
    <t>Ozone quote</t>
  </si>
  <si>
    <t>Q0293</t>
  </si>
  <si>
    <t>RLH Equipment</t>
  </si>
  <si>
    <t>Q0294</t>
  </si>
  <si>
    <t xml:space="preserve">Telcom Stock Materials </t>
  </si>
  <si>
    <t>Q0295</t>
  </si>
  <si>
    <t>Q0296</t>
  </si>
  <si>
    <t>Replacement Fuse for DA Kit</t>
  </si>
  <si>
    <t>Q0297</t>
  </si>
  <si>
    <t>Chemical Dosing Install Cedars</t>
  </si>
  <si>
    <t>Q0298</t>
  </si>
  <si>
    <t>John Blemel</t>
  </si>
  <si>
    <t>Body Armor Sports Drink Cap Verification</t>
  </si>
  <si>
    <t>Q0299</t>
  </si>
  <si>
    <t xml:space="preserve">CIP Return Pump </t>
  </si>
  <si>
    <t>Q0300</t>
  </si>
  <si>
    <t>Stairway</t>
  </si>
  <si>
    <t>Q0301</t>
  </si>
  <si>
    <t>Conductivity Sensor</t>
  </si>
  <si>
    <t>Q0302</t>
  </si>
  <si>
    <t xml:space="preserve">OAKTA </t>
  </si>
  <si>
    <t>JASON BROWN</t>
  </si>
  <si>
    <t>COOLING TOWER</t>
  </si>
  <si>
    <t>Q0303</t>
  </si>
  <si>
    <t>Emergency 1HP VFD and HIM</t>
  </si>
  <si>
    <t>Q0304</t>
  </si>
  <si>
    <t>TF,RS,MM</t>
  </si>
  <si>
    <t>Frank Mack</t>
  </si>
  <si>
    <t>Q0305</t>
  </si>
  <si>
    <t>SD, RDS</t>
  </si>
  <si>
    <t>Toppings Room HMI Panel</t>
  </si>
  <si>
    <t>Q0306</t>
  </si>
  <si>
    <t>MM, RS</t>
  </si>
  <si>
    <t>Rochester District Heating Cooperative</t>
  </si>
  <si>
    <t>Stephanie Samuel</t>
  </si>
  <si>
    <t>Steam Line Metering</t>
  </si>
  <si>
    <t>Q0307</t>
  </si>
  <si>
    <t>Oleg</t>
  </si>
  <si>
    <t>Automated Pallet Dispenser</t>
  </si>
  <si>
    <t>Q0308</t>
  </si>
  <si>
    <t>Coax Entry</t>
  </si>
  <si>
    <t>Q0309</t>
  </si>
  <si>
    <t xml:space="preserve">Drain Valves </t>
  </si>
  <si>
    <t>Q0310</t>
  </si>
  <si>
    <t>CPI</t>
  </si>
  <si>
    <t>Andy Vacanti</t>
  </si>
  <si>
    <t>Actuator Mounting Brackets</t>
  </si>
  <si>
    <t>Q0311</t>
  </si>
  <si>
    <t>Monzeal Slide Supports</t>
  </si>
  <si>
    <t>Q0312</t>
  </si>
  <si>
    <t>SAP Post Design</t>
  </si>
  <si>
    <t>Q0313</t>
  </si>
  <si>
    <t>Monzeal Wand</t>
  </si>
  <si>
    <t>Q0314</t>
  </si>
  <si>
    <t>EJ Gallo</t>
  </si>
  <si>
    <t>Parker Estep</t>
  </si>
  <si>
    <t>Knockout Tank Controls</t>
  </si>
  <si>
    <t>Q0315</t>
  </si>
  <si>
    <t>TF, SD</t>
  </si>
  <si>
    <t>Pole Topper</t>
  </si>
  <si>
    <t>Q0316</t>
  </si>
  <si>
    <t>Hold Tube</t>
  </si>
  <si>
    <t>Q0317</t>
  </si>
  <si>
    <t>Processor Skid</t>
  </si>
  <si>
    <t>Q0318</t>
  </si>
  <si>
    <t>barrette outdoor</t>
  </si>
  <si>
    <t xml:space="preserve">John Marciniak </t>
  </si>
  <si>
    <t xml:space="preserve">Mold </t>
  </si>
  <si>
    <t>Q0319</t>
  </si>
  <si>
    <t>Machine Doors</t>
  </si>
  <si>
    <t>Q0320</t>
  </si>
  <si>
    <t>E &amp; J Gallo</t>
  </si>
  <si>
    <t>Maddie Wittwer</t>
  </si>
  <si>
    <t>Line 9 Case Packer Password Protection Service</t>
  </si>
  <si>
    <t>Q0321</t>
  </si>
  <si>
    <t>Stephanie Morrissey</t>
  </si>
  <si>
    <t>Pump Repiping</t>
  </si>
  <si>
    <t>Q0322</t>
  </si>
  <si>
    <t>Air Line Modifications</t>
  </si>
  <si>
    <t>Q0323</t>
  </si>
  <si>
    <t>NexTier Tower Control Panel</t>
  </si>
  <si>
    <t>Q0324</t>
  </si>
  <si>
    <t>???</t>
  </si>
  <si>
    <t>Rick</t>
  </si>
  <si>
    <t>Vape Filler Recontrol</t>
  </si>
  <si>
    <t>Q0325</t>
  </si>
  <si>
    <t>Raw Recieving Panel</t>
  </si>
  <si>
    <t>Q0326</t>
  </si>
  <si>
    <t>GTI Fabrication</t>
  </si>
  <si>
    <t>Dan Stevanovik</t>
  </si>
  <si>
    <t>Sumitomo 1273 Drawing Review</t>
  </si>
  <si>
    <t>Q0327</t>
  </si>
  <si>
    <t xml:space="preserve">Bulk Materials </t>
  </si>
  <si>
    <t>Q0328</t>
  </si>
  <si>
    <t xml:space="preserve">Panel Return </t>
  </si>
  <si>
    <t>Q0329</t>
  </si>
  <si>
    <t>V8 Line</t>
  </si>
  <si>
    <t>Q0330</t>
  </si>
  <si>
    <t>Xueli Feng</t>
  </si>
  <si>
    <t>Ancillary Radio Equipment</t>
  </si>
  <si>
    <t>Q0331</t>
  </si>
  <si>
    <t>Fanuc Programming Service</t>
  </si>
  <si>
    <t>Q0332</t>
  </si>
  <si>
    <t>WR31 Replacement Kits</t>
  </si>
  <si>
    <t>Q0333</t>
  </si>
  <si>
    <t>HEPA UV Units</t>
  </si>
  <si>
    <t>Q0334</t>
  </si>
  <si>
    <t>Rich Products</t>
  </si>
  <si>
    <t>Abhijit Choudhury</t>
  </si>
  <si>
    <t>Panning &amp; Depanning Operation</t>
  </si>
  <si>
    <t>Q0335</t>
  </si>
  <si>
    <t>Daniel Orejel</t>
  </si>
  <si>
    <t>Canandaigua Concentrate Project</t>
  </si>
  <si>
    <t>Q0336</t>
  </si>
  <si>
    <t>Orleans County Jail</t>
  </si>
  <si>
    <t>Craig Lane</t>
  </si>
  <si>
    <t xml:space="preserve">Jail Door Repair </t>
  </si>
  <si>
    <t>Q0337</t>
  </si>
  <si>
    <t>Bulk Material Order -2</t>
  </si>
  <si>
    <t>Q0338</t>
  </si>
  <si>
    <t>Alvin S</t>
  </si>
  <si>
    <t xml:space="preserve">Lee Onsite Programming </t>
  </si>
  <si>
    <t>Q0339</t>
  </si>
  <si>
    <t>2 Cell (3 Fan Dual Pump) Tower Panel</t>
  </si>
  <si>
    <t>Q0340</t>
  </si>
  <si>
    <t xml:space="preserve">DIN RAIL </t>
  </si>
  <si>
    <t>Q0341</t>
  </si>
  <si>
    <t xml:space="preserve">RPM Packer </t>
  </si>
  <si>
    <t>Q0342</t>
  </si>
  <si>
    <t>NYSEG and Oneonta Overage</t>
  </si>
  <si>
    <t>Q0343</t>
  </si>
  <si>
    <t>RGE Overage</t>
  </si>
  <si>
    <t>Q0344</t>
  </si>
  <si>
    <t>NYSEG SAP Rework</t>
  </si>
  <si>
    <t>Q0345</t>
  </si>
  <si>
    <t>RGE SAP Rework</t>
  </si>
  <si>
    <t>Q0346</t>
  </si>
  <si>
    <t>NYSEG SAP Spares</t>
  </si>
  <si>
    <t>Q0347</t>
  </si>
  <si>
    <t>Q0348</t>
  </si>
  <si>
    <t>Billitier Electric</t>
  </si>
  <si>
    <t>Dan Bamann</t>
  </si>
  <si>
    <t>UofR Lab Door 2</t>
  </si>
  <si>
    <t>Q0349</t>
  </si>
  <si>
    <t>Lisa Ashley</t>
  </si>
  <si>
    <t>PanelView 800s</t>
  </si>
  <si>
    <t>Q0350</t>
  </si>
  <si>
    <t>EO</t>
  </si>
  <si>
    <t>HP Hood</t>
  </si>
  <si>
    <t>3x Drip Pans</t>
  </si>
  <si>
    <t>Q0351</t>
  </si>
  <si>
    <t>Capital Equipment</t>
  </si>
  <si>
    <t>Q0352</t>
  </si>
  <si>
    <t xml:space="preserve">Juan Sanchez </t>
  </si>
  <si>
    <t>Custom Large enclosure</t>
  </si>
  <si>
    <t>Q0353</t>
  </si>
  <si>
    <t>James Allen</t>
  </si>
  <si>
    <t>5G LTE Cabinet</t>
  </si>
  <si>
    <t>Q0354</t>
  </si>
  <si>
    <t xml:space="preserve">Replacement Batteries </t>
  </si>
  <si>
    <t>Q0355</t>
  </si>
  <si>
    <t>Samuel Francis</t>
  </si>
  <si>
    <t>Q0356</t>
  </si>
  <si>
    <t>Q0357</t>
  </si>
  <si>
    <t>July Materials</t>
  </si>
  <si>
    <t>Q0358</t>
  </si>
  <si>
    <t>TF,RS</t>
  </si>
  <si>
    <t>CocoJune</t>
  </si>
  <si>
    <t>James Lackman</t>
  </si>
  <si>
    <t>Modern Filler Nitrogen Fill</t>
  </si>
  <si>
    <t>Q0359</t>
  </si>
  <si>
    <t>Breaker Dist. Panel</t>
  </si>
  <si>
    <t>Q0360</t>
  </si>
  <si>
    <t>Wastewater Pit Pump</t>
  </si>
  <si>
    <t>Q0361</t>
  </si>
  <si>
    <t>Wastewater Pit Pump- Perminate install</t>
  </si>
  <si>
    <t>Q0362</t>
  </si>
  <si>
    <t>Wastewater Pit Pump- Perminate install- Pipe stands</t>
  </si>
  <si>
    <t>Q0363</t>
  </si>
  <si>
    <t>Hood</t>
  </si>
  <si>
    <t>Wheel Shaft</t>
  </si>
  <si>
    <t>Q0364</t>
  </si>
  <si>
    <t>Manus BIO</t>
  </si>
  <si>
    <t>Mike Koch</t>
  </si>
  <si>
    <t>Bulk Bag Handling and Material Transport System</t>
  </si>
  <si>
    <t>Q0365</t>
  </si>
  <si>
    <t>David Ramirez</t>
  </si>
  <si>
    <t>Q0192 Update - 2957 Rebuild</t>
  </si>
  <si>
    <t>Q0366</t>
  </si>
  <si>
    <t>Positive Displacement Pump</t>
  </si>
  <si>
    <t>Q0367</t>
  </si>
  <si>
    <t>Jail Door Rail Repair and Current Reader</t>
  </si>
  <si>
    <t>Q0368</t>
  </si>
  <si>
    <t>Evgeni Khabursky</t>
  </si>
  <si>
    <t>Variety Pack Chip Packing</t>
  </si>
  <si>
    <t>Q0369</t>
  </si>
  <si>
    <t>Tank Outlet Valve</t>
  </si>
  <si>
    <t>Q0370</t>
  </si>
  <si>
    <t>CIP Retrofit</t>
  </si>
  <si>
    <t>Q0371</t>
  </si>
  <si>
    <t>Q0372</t>
  </si>
  <si>
    <t>2x6 Mandrels</t>
  </si>
  <si>
    <t>Q0373</t>
  </si>
  <si>
    <t>industrial Fabrics</t>
  </si>
  <si>
    <t>Ron Pathe</t>
  </si>
  <si>
    <t>Winder Gaurd</t>
  </si>
  <si>
    <t>Q0374</t>
  </si>
  <si>
    <t xml:space="preserve">Upstate Batavia </t>
  </si>
  <si>
    <t>Craig Vancassele</t>
  </si>
  <si>
    <t>Equipment Rigging</t>
  </si>
  <si>
    <t>Q0375</t>
  </si>
  <si>
    <t>Brain Reigle</t>
  </si>
  <si>
    <t>Blow Mold Modification addition thermocouples</t>
  </si>
  <si>
    <t>Q0376</t>
  </si>
  <si>
    <t>PTC Librty Tubulars</t>
  </si>
  <si>
    <t>Brandon Sivley</t>
  </si>
  <si>
    <t>Onsite Training</t>
  </si>
  <si>
    <t>Q0377</t>
  </si>
  <si>
    <t>Can Line Filler Assist Lift</t>
  </si>
  <si>
    <t>Q0378</t>
  </si>
  <si>
    <t>SD / JT</t>
  </si>
  <si>
    <t>Barrette Outdoor</t>
  </si>
  <si>
    <t>Interroll Recontrol</t>
  </si>
  <si>
    <t>Q0379</t>
  </si>
  <si>
    <t>Bag in Box Rebuild</t>
  </si>
  <si>
    <t>Q0380</t>
  </si>
  <si>
    <t>Tetrapak</t>
  </si>
  <si>
    <t>Sonam Patel</t>
  </si>
  <si>
    <t>FairLife Skids</t>
  </si>
  <si>
    <t>Q0381</t>
  </si>
  <si>
    <t>Upgrade Fan Starters to VFDs</t>
  </si>
  <si>
    <t>Q0382</t>
  </si>
  <si>
    <t>EO/RDS</t>
  </si>
  <si>
    <t>Upgrade drive and controller</t>
  </si>
  <si>
    <t>Q0383</t>
  </si>
  <si>
    <t>Tank Hose Connections</t>
  </si>
  <si>
    <t>Q0384</t>
  </si>
  <si>
    <t>Upstate Bottle Return</t>
  </si>
  <si>
    <t>Can Sorter Conveyor</t>
  </si>
  <si>
    <t>Q0385</t>
  </si>
  <si>
    <t>Goldfish Drop Packer</t>
  </si>
  <si>
    <t>Q0386</t>
  </si>
  <si>
    <t>Sensor Mount</t>
  </si>
  <si>
    <t>Q0387</t>
  </si>
  <si>
    <t>4in. Mandrel Puller</t>
  </si>
  <si>
    <t>Q0388</t>
  </si>
  <si>
    <t>12AWG VFD Cable</t>
  </si>
  <si>
    <t>Q0389</t>
  </si>
  <si>
    <t>JT, TF</t>
  </si>
  <si>
    <t>Romicon Flow Totalizer</t>
  </si>
  <si>
    <t>Q0390</t>
  </si>
  <si>
    <t>Sludge Pump Building Wall Removal</t>
  </si>
  <si>
    <t>Q0391</t>
  </si>
  <si>
    <t>Spare Kits</t>
  </si>
  <si>
    <t>Q0392</t>
  </si>
  <si>
    <t>Onsite Services for Level Transmitter Programming</t>
  </si>
  <si>
    <t>Q0393</t>
  </si>
  <si>
    <t>RDS / JT</t>
  </si>
  <si>
    <t>Jeremy Edwards</t>
  </si>
  <si>
    <t>Factory Talk SE Server Upgrade</t>
  </si>
  <si>
    <t>Q0394</t>
  </si>
  <si>
    <t>Used CIP Skid</t>
  </si>
  <si>
    <t>Q0395</t>
  </si>
  <si>
    <t>Milk Bone</t>
  </si>
  <si>
    <t xml:space="preserve">Tim Ellie </t>
  </si>
  <si>
    <t>ABB Robot Programming</t>
  </si>
  <si>
    <t>Q0396</t>
  </si>
  <si>
    <t xml:space="preserve">Delta Sonic </t>
  </si>
  <si>
    <t>Nick C</t>
  </si>
  <si>
    <t>Bulk Powder Mixing</t>
  </si>
  <si>
    <t>Q0397</t>
  </si>
  <si>
    <t>RDS, JW</t>
  </si>
  <si>
    <t xml:space="preserve">Fresenius </t>
  </si>
  <si>
    <t xml:space="preserve">Capping B1 Inspection and Auto Rejection </t>
  </si>
  <si>
    <t>Q0398</t>
  </si>
  <si>
    <t xml:space="preserve">Palletizer sprayer install </t>
  </si>
  <si>
    <t>Q0399</t>
  </si>
  <si>
    <t xml:space="preserve">Cocojune </t>
  </si>
  <si>
    <t xml:space="preserve">Nitrogen Sparge </t>
  </si>
  <si>
    <t>Q0400</t>
  </si>
  <si>
    <t>RDS, JT</t>
  </si>
  <si>
    <t>Andre Svintozelski</t>
  </si>
  <si>
    <t>FactoryTalk Historian Work</t>
  </si>
  <si>
    <t>Q0401</t>
  </si>
  <si>
    <t>Steven Reynolds</t>
  </si>
  <si>
    <t>Carbon Filter</t>
  </si>
  <si>
    <t>Q0402</t>
  </si>
  <si>
    <t>Concord Foods</t>
  </si>
  <si>
    <t>Change the IP Address Scheme on Cook Station 5 so that we can access the HMI on the ENG Network</t>
  </si>
  <si>
    <t>Q0403</t>
  </si>
  <si>
    <t>FactoryTalk View Studio for ME</t>
  </si>
  <si>
    <t>Q0404</t>
  </si>
  <si>
    <t>Powered Roller Conveyor Crossover</t>
  </si>
  <si>
    <t>Q0405</t>
  </si>
  <si>
    <t>Dough Smoothing Trial</t>
  </si>
  <si>
    <t>Q0406</t>
  </si>
  <si>
    <t>Dough Smoothing System</t>
  </si>
  <si>
    <t>Q0407</t>
  </si>
  <si>
    <t>Ammonia Chiller Pump Down Modification</t>
  </si>
  <si>
    <t>Q0408</t>
  </si>
  <si>
    <t>Anderson Negele</t>
  </si>
  <si>
    <t>Automatic Gauge Filling Cell</t>
  </si>
  <si>
    <t>Q0409</t>
  </si>
  <si>
    <t>Cheese System</t>
  </si>
  <si>
    <t>Q0410</t>
  </si>
  <si>
    <t>SE Network Distributed Server</t>
  </si>
  <si>
    <t>Q0411</t>
  </si>
  <si>
    <t>Onsite Startup for Nitrogen Sparge</t>
  </si>
  <si>
    <t>Q0412</t>
  </si>
  <si>
    <t>RDS/JT</t>
  </si>
  <si>
    <t>Line 11 Case Packer Elevator Upgrade</t>
  </si>
  <si>
    <t>Q0413</t>
  </si>
  <si>
    <t>Breakers</t>
  </si>
  <si>
    <t>Q0414</t>
  </si>
  <si>
    <t>Line 9 Case Packer Lug Chain Service</t>
  </si>
  <si>
    <t>Q0415</t>
  </si>
  <si>
    <t>Antenna Brackets</t>
  </si>
  <si>
    <t>Q0416</t>
  </si>
  <si>
    <t>Condensers and Ejectors</t>
  </si>
  <si>
    <t>Q0417</t>
  </si>
  <si>
    <t>RTDs</t>
  </si>
  <si>
    <t>Q0418</t>
  </si>
  <si>
    <t>trolley</t>
  </si>
  <si>
    <t>work complete but no PO</t>
  </si>
  <si>
    <t>Q0419</t>
  </si>
  <si>
    <t>Air supply to Tool balancers- MACC receiving bay</t>
  </si>
  <si>
    <t>Q0420</t>
  </si>
  <si>
    <t>Air supply to Tool balancers- UF receiving bay</t>
  </si>
  <si>
    <t>Q0421</t>
  </si>
  <si>
    <t>Daf 2 panel cover</t>
  </si>
  <si>
    <t>Q0422</t>
  </si>
  <si>
    <t>Soap Plant Piping</t>
  </si>
  <si>
    <t>Q0423</t>
  </si>
  <si>
    <t>Bread Loaf Automation</t>
  </si>
  <si>
    <t>Q0424</t>
  </si>
  <si>
    <t>U2 30 Pump</t>
  </si>
  <si>
    <t>Q0425</t>
  </si>
  <si>
    <t>Line 1 KHS Labeler PLC Upgrade</t>
  </si>
  <si>
    <t>Q0426</t>
  </si>
  <si>
    <t>Derek Porto</t>
  </si>
  <si>
    <t>300L Tank Skid</t>
  </si>
  <si>
    <t>Q0427</t>
  </si>
  <si>
    <t>Ipex Valves</t>
  </si>
  <si>
    <t>Q0428</t>
  </si>
  <si>
    <t>Dan Erbacher</t>
  </si>
  <si>
    <t>SEI Package UL 508A Review</t>
  </si>
  <si>
    <t>Q0429</t>
  </si>
  <si>
    <t>JT Onsite week of 1/19</t>
  </si>
  <si>
    <t>Q0430</t>
  </si>
  <si>
    <t>Anthony Ambrosino</t>
  </si>
  <si>
    <t>D-Sub Valve Manifold</t>
  </si>
  <si>
    <t>Q0431</t>
  </si>
  <si>
    <t xml:space="preserve">Case packer 11 Onsite Commisioning and Debug </t>
  </si>
  <si>
    <t>Q0432</t>
  </si>
  <si>
    <t>JT, RDS</t>
  </si>
  <si>
    <t xml:space="preserve">New Castle Canning </t>
  </si>
  <si>
    <t>John Vanasdale</t>
  </si>
  <si>
    <t>Programming update Service Call</t>
  </si>
  <si>
    <t>Q0433</t>
  </si>
  <si>
    <t>Guarding for Line 1 Capper</t>
  </si>
  <si>
    <t>Q0434</t>
  </si>
  <si>
    <t>2000L Valve Kits</t>
  </si>
  <si>
    <t>Q0435</t>
  </si>
  <si>
    <t>Hot Water Jacket Circuit</t>
  </si>
  <si>
    <t>Q0436</t>
  </si>
  <si>
    <t>FRANK</t>
  </si>
  <si>
    <t>FILTER HOUSING</t>
  </si>
  <si>
    <t>Q0437</t>
  </si>
  <si>
    <t>OATKA</t>
  </si>
  <si>
    <t>MARK</t>
  </si>
  <si>
    <t>SEALER</t>
  </si>
  <si>
    <t>Q0438</t>
  </si>
  <si>
    <t>Move Tank 20 and repipe</t>
  </si>
  <si>
    <t>Q0439</t>
  </si>
  <si>
    <t>Hartness Robot Cable Replacement</t>
  </si>
  <si>
    <t>Q0440</t>
  </si>
  <si>
    <t>Ethercat Gateway for Saw Panels</t>
  </si>
  <si>
    <t>Q0441</t>
  </si>
  <si>
    <t>CIP Skid 2</t>
  </si>
  <si>
    <t>Q0442</t>
  </si>
  <si>
    <t>PTC Liberty Tubulars</t>
  </si>
  <si>
    <t>Travis Peeler</t>
  </si>
  <si>
    <t>Ajax Line Remote Support Services</t>
  </si>
  <si>
    <t>Q0443</t>
  </si>
  <si>
    <t>Penta Control Panel</t>
  </si>
  <si>
    <t>Q0444</t>
  </si>
  <si>
    <t>Kr</t>
  </si>
  <si>
    <t>Steps for the waste water trailer</t>
  </si>
  <si>
    <t>Q0445</t>
  </si>
  <si>
    <t>Som Dhital</t>
  </si>
  <si>
    <t>Siemens VFD Enclosure</t>
  </si>
  <si>
    <t>Q0446</t>
  </si>
  <si>
    <t>trolley in UF receiving room</t>
  </si>
  <si>
    <t>Q0447</t>
  </si>
  <si>
    <t>Filler Supply Pump Controls</t>
  </si>
  <si>
    <t>Q0448</t>
  </si>
  <si>
    <t>TF,RDS</t>
  </si>
  <si>
    <t>Manus Packaging System</t>
  </si>
  <si>
    <t>Q0449</t>
  </si>
  <si>
    <t>emergency eye wash station and shower- Hot water heater ann piping</t>
  </si>
  <si>
    <t>Q0450</t>
  </si>
  <si>
    <t>emergency eye wash station and shower-Eye wash piping</t>
  </si>
  <si>
    <t>Q0451</t>
  </si>
  <si>
    <t>Joseph Pierro</t>
  </si>
  <si>
    <t>(2) 4-Port Flow Plates</t>
  </si>
  <si>
    <t>Q0452</t>
  </si>
  <si>
    <t>Engine Room 2 Controls Upgread</t>
  </si>
  <si>
    <t>Q0453</t>
  </si>
  <si>
    <t>Compressed airline bypass</t>
  </si>
  <si>
    <t>Q0454</t>
  </si>
  <si>
    <t>james m</t>
  </si>
  <si>
    <t>plate</t>
  </si>
  <si>
    <t>Q0455</t>
  </si>
  <si>
    <t>ADFORS SGB</t>
  </si>
  <si>
    <t>Callie (Bailey-Wickins)</t>
  </si>
  <si>
    <t>Software Change for adding Age to Fifth Tank</t>
  </si>
  <si>
    <t>Q0456</t>
  </si>
  <si>
    <t>Callie Stadler</t>
  </si>
  <si>
    <t xml:space="preserve">Mixer Evaulation </t>
  </si>
  <si>
    <t>Q0457</t>
  </si>
  <si>
    <t xml:space="preserve">565 Tank Automation </t>
  </si>
  <si>
    <t>Q0458</t>
  </si>
  <si>
    <t>Mitchell  Van Lieshout</t>
  </si>
  <si>
    <t xml:space="preserve">Labor for Gaurding </t>
  </si>
  <si>
    <t>Q0459</t>
  </si>
  <si>
    <t>railings and a ladder for Alvey Palletizer</t>
  </si>
  <si>
    <t xml:space="preserve"> </t>
  </si>
  <si>
    <t>roller bar for  Alvey Palletizer</t>
  </si>
  <si>
    <t>Q0461</t>
  </si>
  <si>
    <t>pickle fork break system for  Alvey Palletizer rollers</t>
  </si>
  <si>
    <t>Q0462</t>
  </si>
  <si>
    <t>Pipe stand and materials for meter installation</t>
  </si>
  <si>
    <t>Q0463</t>
  </si>
  <si>
    <t>Water Softener Install</t>
  </si>
  <si>
    <t>Q0464</t>
  </si>
  <si>
    <t>SouthCo</t>
  </si>
  <si>
    <t>Steve Bagley</t>
  </si>
  <si>
    <t>Post Press Automation</t>
  </si>
  <si>
    <t>Q0465</t>
  </si>
  <si>
    <t>Warehouse Cart Service</t>
  </si>
  <si>
    <t>Q0466</t>
  </si>
  <si>
    <t xml:space="preserve"> Maddie Wittwer</t>
  </si>
  <si>
    <t>Line 9 Case Packer Service</t>
  </si>
  <si>
    <t>Q0467</t>
  </si>
  <si>
    <t>Bottle Vision Install</t>
  </si>
  <si>
    <t>Q0468</t>
  </si>
  <si>
    <t>rsa</t>
  </si>
  <si>
    <t>rick</t>
  </si>
  <si>
    <t>draw vending machines</t>
  </si>
  <si>
    <t>Q0469</t>
  </si>
  <si>
    <t>Brian</t>
  </si>
  <si>
    <t>Sweet Water Lines for Press</t>
  </si>
  <si>
    <t>Q0470</t>
  </si>
  <si>
    <t xml:space="preserve">Hot Water Set Flow meter Intregration </t>
  </si>
  <si>
    <t>Q0471</t>
  </si>
  <si>
    <t>Small Ethernet Valve Manifold</t>
  </si>
  <si>
    <t>Q0472</t>
  </si>
  <si>
    <t>Q0473</t>
  </si>
  <si>
    <t>IFM SMF421 Flow Meter</t>
  </si>
  <si>
    <t>Q0474</t>
  </si>
  <si>
    <t>PIPESTANDS FOR MBBR</t>
  </si>
  <si>
    <t>Q0475</t>
  </si>
  <si>
    <t>Baumann Valve Assembly</t>
  </si>
  <si>
    <t>Q0476</t>
  </si>
  <si>
    <t>Dave Rice</t>
  </si>
  <si>
    <t>Box Nesting Reverese Engineering</t>
  </si>
  <si>
    <t>Q0477</t>
  </si>
  <si>
    <t>RDS,JT</t>
  </si>
  <si>
    <t>Tenaris Kopple</t>
  </si>
  <si>
    <t>Q0478</t>
  </si>
  <si>
    <t>Kaleb ST. Clair</t>
  </si>
  <si>
    <t xml:space="preserve">Riverter Modifcations </t>
  </si>
  <si>
    <t>Q0479</t>
  </si>
  <si>
    <t>frank mack III</t>
  </si>
  <si>
    <t>blower motor shaft, machine shop time, disassembly and installation</t>
  </si>
  <si>
    <t>Q0480</t>
  </si>
  <si>
    <t>EP</t>
  </si>
  <si>
    <t>CS5 Remote I/O Panel</t>
  </si>
  <si>
    <t>Q0481</t>
  </si>
  <si>
    <t>Performance Manufacturing</t>
  </si>
  <si>
    <t>Tim Werth</t>
  </si>
  <si>
    <t>Sheet Metal Parts</t>
  </si>
  <si>
    <t>Q0482</t>
  </si>
  <si>
    <t>Sigma Motor</t>
  </si>
  <si>
    <t>Don Heschke</t>
  </si>
  <si>
    <t>Grounding Rings</t>
  </si>
  <si>
    <t>Q0483</t>
  </si>
  <si>
    <t>make a shaft gaurd</t>
  </si>
  <si>
    <t>Q0484</t>
  </si>
  <si>
    <t>Screen and Seals</t>
  </si>
  <si>
    <t>Q0485</t>
  </si>
  <si>
    <t>Starter Panel</t>
  </si>
  <si>
    <t>Q0486</t>
  </si>
  <si>
    <t>MM,RDS</t>
  </si>
  <si>
    <t>Penta Skid</t>
  </si>
  <si>
    <t>Q0487</t>
  </si>
  <si>
    <t>Milk Carton Packing Machine</t>
  </si>
  <si>
    <t>Q0488</t>
  </si>
  <si>
    <t>6th Ward Controls Update</t>
  </si>
  <si>
    <t>Q0489</t>
  </si>
  <si>
    <t>Ventilation Project</t>
  </si>
  <si>
    <t>Q0490</t>
  </si>
  <si>
    <t>pride pack</t>
  </si>
  <si>
    <t>mike</t>
  </si>
  <si>
    <t>pulverizor and pumping project</t>
  </si>
  <si>
    <t>Q0491</t>
  </si>
  <si>
    <t>Screen repair on an 8x9 ft door</t>
  </si>
  <si>
    <t>Q0492</t>
  </si>
  <si>
    <t>Replacable screens for frames in place</t>
  </si>
  <si>
    <t>Q0493</t>
  </si>
  <si>
    <t>Technofil - Houston exchanger pump packages</t>
  </si>
  <si>
    <t>Q0494</t>
  </si>
  <si>
    <t>Fruit Blending Skid</t>
  </si>
  <si>
    <t>Q0495</t>
  </si>
  <si>
    <t>mike M</t>
  </si>
  <si>
    <t>gear box parts sale</t>
  </si>
  <si>
    <t>Q0496</t>
  </si>
  <si>
    <t>two mobile offices</t>
  </si>
  <si>
    <t>Q0497</t>
  </si>
  <si>
    <t>ac unit for wate water trailer</t>
  </si>
  <si>
    <t>Q0498</t>
  </si>
  <si>
    <t>hydraulic turn table and conveyor</t>
  </si>
  <si>
    <t>Q0499</t>
  </si>
  <si>
    <t>Goulds pump installation at wastewater</t>
  </si>
  <si>
    <t>Q0500</t>
  </si>
  <si>
    <t>Safety railing swing gates</t>
  </si>
  <si>
    <t>Q0501</t>
  </si>
  <si>
    <t>Safety Latch Tie In</t>
  </si>
  <si>
    <t>Q0502</t>
  </si>
  <si>
    <t>AVANGRID</t>
  </si>
  <si>
    <t>Dan Arcangili</t>
  </si>
  <si>
    <t>Spare Parts</t>
  </si>
  <si>
    <t>Q0503</t>
  </si>
  <si>
    <t>Jessica Donavan</t>
  </si>
  <si>
    <t>Q0504</t>
  </si>
  <si>
    <t>Hot Water pumps</t>
  </si>
  <si>
    <t>Q0505</t>
  </si>
  <si>
    <t>Batteries</t>
  </si>
  <si>
    <t>Q0506</t>
  </si>
  <si>
    <t>Katie Zullo</t>
  </si>
  <si>
    <t>Telecoms Engineering Services RFP 2025-2028 Round 1</t>
  </si>
  <si>
    <t>Q0507</t>
  </si>
  <si>
    <t>Replacment Touchscreen for L1 Vision System</t>
  </si>
  <si>
    <t>Q0508</t>
  </si>
  <si>
    <t xml:space="preserve">Mizkan </t>
  </si>
  <si>
    <t>Indicator Light for Operator L1</t>
  </si>
  <si>
    <t>Q0509</t>
  </si>
  <si>
    <t>Telecoms Installation, Construction, and Maintenance RFP</t>
  </si>
  <si>
    <t>Q0510</t>
  </si>
  <si>
    <t>Steve Gross</t>
  </si>
  <si>
    <t>Trio Motion Licenses</t>
  </si>
  <si>
    <t>Q0511</t>
  </si>
  <si>
    <t>Oakta blending shelf</t>
  </si>
  <si>
    <t>shelf for blender</t>
  </si>
  <si>
    <t>Q0512</t>
  </si>
  <si>
    <t>Industrial Fabrics</t>
  </si>
  <si>
    <t>Gabe Nagy</t>
  </si>
  <si>
    <t xml:space="preserve">2 Day onsite Service </t>
  </si>
  <si>
    <t>Q0513</t>
  </si>
  <si>
    <t>Valve Replacement</t>
  </si>
  <si>
    <t>Q0514</t>
  </si>
  <si>
    <t>Replacement Y2 (Gantry 3) Drive and Motor</t>
  </si>
  <si>
    <t>Q0515</t>
  </si>
  <si>
    <t>Martin Ramos</t>
  </si>
  <si>
    <t>Telescoping Box Stands</t>
  </si>
  <si>
    <t>Q0516</t>
  </si>
  <si>
    <t>VFD Control Panel - EnergyX</t>
  </si>
  <si>
    <t>Q0517</t>
  </si>
  <si>
    <t>Ben Schneider</t>
  </si>
  <si>
    <t>Queso Filling Line</t>
  </si>
  <si>
    <t>Q0518</t>
  </si>
  <si>
    <t>JT, ENP</t>
  </si>
  <si>
    <t>Technofil - Houston Tower Control Panels</t>
  </si>
  <si>
    <t>Q0519</t>
  </si>
  <si>
    <t>Welding Labor</t>
  </si>
  <si>
    <t>Q0520</t>
  </si>
  <si>
    <t>Tank Ferrule Install</t>
  </si>
  <si>
    <t>Q0521</t>
  </si>
  <si>
    <t xml:space="preserve">Case Packer 11 Electrical Drawings </t>
  </si>
  <si>
    <t>Q0522</t>
  </si>
  <si>
    <t>JECT</t>
  </si>
  <si>
    <t>Schneider PLC Replacement</t>
  </si>
  <si>
    <t>Q0523</t>
  </si>
  <si>
    <t>Marcus Enas</t>
  </si>
  <si>
    <t>Line 7 Camera Addition</t>
  </si>
  <si>
    <t>Q0524</t>
  </si>
  <si>
    <t>5/21 Controls Service Request</t>
  </si>
  <si>
    <t>Q0525</t>
  </si>
  <si>
    <t>World Water Works 25209</t>
  </si>
  <si>
    <t>Q0526</t>
  </si>
  <si>
    <t>Sanitation SKid 2</t>
  </si>
  <si>
    <t>Q0527</t>
  </si>
  <si>
    <t>Buffalo Pumps</t>
  </si>
  <si>
    <t xml:space="preserve">Solid Modeling </t>
  </si>
  <si>
    <t>Q0528</t>
  </si>
  <si>
    <t>Ryan Wheaton</t>
  </si>
  <si>
    <t>G1 Guarding Safety Integration</t>
  </si>
  <si>
    <t>Q0529</t>
  </si>
  <si>
    <t xml:space="preserve">Valve Kit </t>
  </si>
  <si>
    <t>Q0530</t>
  </si>
  <si>
    <t>Tiffany Wilson</t>
  </si>
  <si>
    <t>Sauce Depositing</t>
  </si>
  <si>
    <t>Q0531</t>
  </si>
  <si>
    <t>Viking Pump</t>
  </si>
  <si>
    <t>Q0532</t>
  </si>
  <si>
    <t>ABB Plating Line Controls</t>
  </si>
  <si>
    <t>Q0533</t>
  </si>
  <si>
    <t>C1 &amp; C2 Batching Panels</t>
  </si>
  <si>
    <t>Q0534</t>
  </si>
  <si>
    <t>Konrad Kenn</t>
  </si>
  <si>
    <t>Collaborative Pallet Feeder</t>
  </si>
  <si>
    <t>Q0535</t>
  </si>
  <si>
    <t>Additional Telescoping Stands</t>
  </si>
  <si>
    <t>Q0536</t>
  </si>
  <si>
    <t>Wahoo Locker</t>
  </si>
  <si>
    <t>Corbin Hilger</t>
  </si>
  <si>
    <t>Ampco ZP3 quote</t>
  </si>
  <si>
    <t>Q0537</t>
  </si>
  <si>
    <t>ZP3 Pump for Brekki</t>
  </si>
  <si>
    <t>Q0538</t>
  </si>
  <si>
    <t>300L Spare Parts</t>
  </si>
  <si>
    <t>Q0539</t>
  </si>
  <si>
    <t>TF,MM</t>
  </si>
  <si>
    <t>ZP2 30/45 pump assembly</t>
  </si>
  <si>
    <t>Q0540</t>
  </si>
  <si>
    <t>Hugo Electric</t>
  </si>
  <si>
    <t>Mike Coatsworth</t>
  </si>
  <si>
    <t>Samco Brine Supply Manifold Control Panel</t>
  </si>
  <si>
    <t>Q0541</t>
  </si>
  <si>
    <t xml:space="preserve">Hans Kissle </t>
  </si>
  <si>
    <t xml:space="preserve">David Gaudet </t>
  </si>
  <si>
    <t>1 Day service Call for Retort Audit</t>
  </si>
  <si>
    <t>Q0542</t>
  </si>
  <si>
    <t xml:space="preserve">U of R Ozone </t>
  </si>
  <si>
    <t>Q0543</t>
  </si>
  <si>
    <t xml:space="preserve">Valve header and Anti Foam Inlets </t>
  </si>
  <si>
    <t>Q0544</t>
  </si>
  <si>
    <t>1 Gal Filler</t>
  </si>
  <si>
    <t>Q0545</t>
  </si>
  <si>
    <t>Diaphragm pump Stands</t>
  </si>
  <si>
    <t>Q0546</t>
  </si>
  <si>
    <t>Corning</t>
  </si>
  <si>
    <t>Rita</t>
  </si>
  <si>
    <t xml:space="preserve">10128 - Pipe Weldment Fabrication </t>
  </si>
  <si>
    <t>Q0547</t>
  </si>
  <si>
    <t xml:space="preserve">Oatka </t>
  </si>
  <si>
    <t>Air Handling Unit</t>
  </si>
  <si>
    <t>Q0548</t>
  </si>
  <si>
    <t>EnergyX Demo Control Panel</t>
  </si>
  <si>
    <t>Q0549</t>
  </si>
  <si>
    <t>Samco Control Dbaps Waste Treatment Control PAnel</t>
  </si>
  <si>
    <t>Q0550</t>
  </si>
  <si>
    <t>Hoist Vacuum Lift</t>
  </si>
  <si>
    <t>Q0551</t>
  </si>
  <si>
    <t xml:space="preserve">Duracirc pumps </t>
  </si>
  <si>
    <t>Q0552</t>
  </si>
  <si>
    <t>David Remirez</t>
  </si>
  <si>
    <t>Modifications to E3868</t>
  </si>
  <si>
    <t>Q0553</t>
  </si>
  <si>
    <t>SM</t>
  </si>
  <si>
    <t>Box reject pusher</t>
  </si>
  <si>
    <t>Q0554</t>
  </si>
  <si>
    <t>Q0555</t>
  </si>
  <si>
    <t>Avangrid/Iberdrola</t>
  </si>
  <si>
    <t>Spare Kits for AMI</t>
  </si>
  <si>
    <t>Q0556</t>
  </si>
  <si>
    <t>Retort Control Panels</t>
  </si>
  <si>
    <t>Q0557</t>
  </si>
  <si>
    <t>John Berg Onsite Service</t>
  </si>
  <si>
    <t>Q0558</t>
  </si>
  <si>
    <t>Clements Foods</t>
  </si>
  <si>
    <t>John Miller</t>
  </si>
  <si>
    <t>HEX Assembly Parts</t>
  </si>
  <si>
    <t>Q0559</t>
  </si>
  <si>
    <t>Eastman cuts</t>
  </si>
  <si>
    <t>Tom Moran</t>
  </si>
  <si>
    <t>Laser Recontrol</t>
  </si>
  <si>
    <t>Q0560</t>
  </si>
  <si>
    <t>RSJ, BV, JT</t>
  </si>
  <si>
    <t>Shane Franklin</t>
  </si>
  <si>
    <t>Project 25370 Control Panel</t>
  </si>
  <si>
    <t>Q0561</t>
  </si>
  <si>
    <t>Floor Shaft Doors</t>
  </si>
  <si>
    <t>Q0562</t>
  </si>
  <si>
    <t>Homogenizer Condition monitoring</t>
  </si>
  <si>
    <t>Q0563</t>
  </si>
  <si>
    <t>Duracirc Pump</t>
  </si>
  <si>
    <t>Q0564</t>
  </si>
  <si>
    <t>Auto Lidder EOAT Build</t>
  </si>
  <si>
    <t>Ready for Review</t>
  </si>
  <si>
    <t>Q0565</t>
  </si>
  <si>
    <t>TJ,RDS,RS</t>
  </si>
  <si>
    <t>Niagara Industrial Metals</t>
  </si>
  <si>
    <t>Rich Hickman</t>
  </si>
  <si>
    <t>United Materials Concrete Controls for Rotating Feed Conveyor</t>
  </si>
  <si>
    <t>Q0566</t>
  </si>
  <si>
    <t xml:space="preserve">RSJ, </t>
  </si>
  <si>
    <t>1 Day service Call for Process Audit</t>
  </si>
  <si>
    <t>Q0567</t>
  </si>
  <si>
    <t>Omron Proximity Sensors</t>
  </si>
  <si>
    <t>Q0568</t>
  </si>
  <si>
    <t>Electrical Installation Services</t>
  </si>
  <si>
    <t>Q0569</t>
  </si>
  <si>
    <t>Zachary Karl</t>
  </si>
  <si>
    <t>Check Valve</t>
  </si>
  <si>
    <t>Q0570</t>
  </si>
  <si>
    <t>David Belias</t>
  </si>
  <si>
    <t>Bulk Bag Unloader</t>
  </si>
  <si>
    <t>Q0571</t>
  </si>
  <si>
    <t>Chiller Service - Level column</t>
  </si>
  <si>
    <t>Q0572</t>
  </si>
  <si>
    <t>Motor Disconnects</t>
  </si>
  <si>
    <t>Q0573</t>
  </si>
  <si>
    <t>Cedars Foods</t>
  </si>
  <si>
    <t>Alan Wlodyka</t>
  </si>
  <si>
    <t>Chick Pea Dumper Hydrolics</t>
  </si>
  <si>
    <t>Q0574</t>
  </si>
  <si>
    <t>JT, EP</t>
  </si>
  <si>
    <t>Hoist IO Panels</t>
  </si>
  <si>
    <t>Q0575</t>
  </si>
  <si>
    <t xml:space="preserve">Robotic Packing Line </t>
  </si>
  <si>
    <t>Q0576</t>
  </si>
  <si>
    <t xml:space="preserve">Modern Filler Startup </t>
  </si>
  <si>
    <t>Q0577</t>
  </si>
  <si>
    <t>BMP</t>
  </si>
  <si>
    <t>JUSTIN W. POPEK</t>
  </si>
  <si>
    <t>Vacuum Former Troubleshooting</t>
  </si>
  <si>
    <t>Q0578</t>
  </si>
  <si>
    <t>Colloid Mill</t>
  </si>
  <si>
    <t>Q0579</t>
  </si>
  <si>
    <t>Nutrablend</t>
  </si>
  <si>
    <t>Larry Wilkins</t>
  </si>
  <si>
    <t>Blender 1 HMI Replacement</t>
  </si>
  <si>
    <t>Q0580</t>
  </si>
  <si>
    <t>Cass County Control Panels</t>
  </si>
  <si>
    <t>Q0581</t>
  </si>
  <si>
    <t>TSL Project Control Panels</t>
  </si>
  <si>
    <t>Q0582</t>
  </si>
  <si>
    <t xml:space="preserve">Frank Mack </t>
  </si>
  <si>
    <t>Vacuum Filter System</t>
  </si>
  <si>
    <t>Q0583</t>
  </si>
  <si>
    <t>Wire Furnace Encoder</t>
  </si>
  <si>
    <t>Q0584</t>
  </si>
  <si>
    <t>Hoist IO Panel with VFD</t>
  </si>
  <si>
    <t>Q0585</t>
  </si>
  <si>
    <t>associated estate</t>
  </si>
  <si>
    <t>Watch Case</t>
  </si>
  <si>
    <t>Q0586</t>
  </si>
  <si>
    <t>RDS, MM</t>
  </si>
  <si>
    <t>Dora's Naturals</t>
  </si>
  <si>
    <t>Bruce Goria</t>
  </si>
  <si>
    <t>Pudding Line - Hot Fill</t>
  </si>
  <si>
    <t>Q0587</t>
  </si>
  <si>
    <t>JT, RDS, RS</t>
  </si>
  <si>
    <t>Myron Deputat</t>
  </si>
  <si>
    <t>CIP Pinning Charts Development</t>
  </si>
  <si>
    <t>Q0588</t>
  </si>
  <si>
    <t>Engineering Services for ABB Line</t>
  </si>
  <si>
    <t>Q0589</t>
  </si>
  <si>
    <t>Temp Transmitters for C1/C2</t>
  </si>
  <si>
    <t>Q0590</t>
  </si>
  <si>
    <t>Piping Adapters</t>
  </si>
  <si>
    <t>Q0591</t>
  </si>
  <si>
    <t>Stan Horozko</t>
  </si>
  <si>
    <t>Dive Addition to Nester Cabinets</t>
  </si>
  <si>
    <t>Q0592</t>
  </si>
  <si>
    <t xml:space="preserve">Nitrogen Spare </t>
  </si>
  <si>
    <t>Q0593</t>
  </si>
  <si>
    <t>Dan Shirley</t>
  </si>
  <si>
    <t>Filler Guarding</t>
  </si>
  <si>
    <t>Q0594</t>
  </si>
  <si>
    <t>Alvey Air Lockouts</t>
  </si>
  <si>
    <t>Q0595</t>
  </si>
  <si>
    <t>Rochester Silver Works</t>
  </si>
  <si>
    <t>Heat Exchanger Lid</t>
  </si>
  <si>
    <t>Q0596</t>
  </si>
  <si>
    <t>ADM</t>
  </si>
  <si>
    <t xml:space="preserve">Siradas, George </t>
  </si>
  <si>
    <t xml:space="preserve">Meter Calibration </t>
  </si>
  <si>
    <t>Q0597</t>
  </si>
  <si>
    <t>Kurt Walby</t>
  </si>
  <si>
    <t>Conveyor Parts</t>
  </si>
  <si>
    <t>Q0598</t>
  </si>
  <si>
    <t xml:space="preserve">RDS, MM </t>
  </si>
  <si>
    <t>Craig V</t>
  </si>
  <si>
    <t>HTST Pudding</t>
  </si>
  <si>
    <t>Q0599</t>
  </si>
  <si>
    <t>HTST Modifications for Current Process</t>
  </si>
  <si>
    <t>Q0600</t>
  </si>
  <si>
    <t>New City Microcreamery</t>
  </si>
  <si>
    <t>Michael Kasseris</t>
  </si>
  <si>
    <t>New Plant Engineering</t>
  </si>
  <si>
    <t>Q0601</t>
  </si>
  <si>
    <t>MM, TO</t>
  </si>
  <si>
    <t>Progressive Machine &amp; Design</t>
  </si>
  <si>
    <t>Corning 10128 Weldments</t>
  </si>
  <si>
    <t>Q0602</t>
  </si>
  <si>
    <t>E3948-ECO1 - Breaker Auxilaries and Voltage Monitoring</t>
  </si>
  <si>
    <t>Q0603</t>
  </si>
  <si>
    <t>TF, RDS</t>
  </si>
  <si>
    <t>Modern Filler Evaluation</t>
  </si>
  <si>
    <t>Q0604</t>
  </si>
  <si>
    <t>JT, JW</t>
  </si>
  <si>
    <t>Stainless Troughs for C1 C2</t>
  </si>
  <si>
    <t>Q0605</t>
  </si>
  <si>
    <t>Jimmy Rosa</t>
  </si>
  <si>
    <t xml:space="preserve">Floor Drains </t>
  </si>
  <si>
    <t>Q0606</t>
  </si>
  <si>
    <t>Jessica Donnavan</t>
  </si>
  <si>
    <t>Q0607</t>
  </si>
  <si>
    <t>Onsite Services - Retort Recommissioning</t>
  </si>
  <si>
    <t>Q0608</t>
  </si>
  <si>
    <t xml:space="preserve">Saint Gobain </t>
  </si>
  <si>
    <t>Spray Ball</t>
  </si>
  <si>
    <t>Q0609</t>
  </si>
  <si>
    <t>Niagara Industrial Mechanical</t>
  </si>
  <si>
    <t>Scott Swarthout</t>
  </si>
  <si>
    <t>Spool Pieces</t>
  </si>
  <si>
    <t>Q0610</t>
  </si>
  <si>
    <t>Fructose Pump Trial</t>
  </si>
  <si>
    <t>Q0611</t>
  </si>
  <si>
    <t>Dennis Warriner</t>
  </si>
  <si>
    <t>Magic Carpet Sleever</t>
  </si>
  <si>
    <t>Q0612</t>
  </si>
  <si>
    <t>HTST Modifications for Current Process Estimate</t>
  </si>
  <si>
    <t>Q0613</t>
  </si>
  <si>
    <t>Sam Harvey</t>
  </si>
  <si>
    <t>Press 12 Hydraulic Fluid Temp Transmitter</t>
  </si>
  <si>
    <t>Q0614</t>
  </si>
  <si>
    <t>Q0615</t>
  </si>
  <si>
    <t>Q0616</t>
  </si>
  <si>
    <t>Q0617</t>
  </si>
  <si>
    <t>Q0618</t>
  </si>
  <si>
    <t>Q0619</t>
  </si>
  <si>
    <t>Q0620</t>
  </si>
  <si>
    <t>Q0621</t>
  </si>
  <si>
    <t>Q0622</t>
  </si>
  <si>
    <t>Job</t>
  </si>
  <si>
    <t>Meeting Code</t>
  </si>
  <si>
    <t>Assigned To</t>
  </si>
  <si>
    <t>Priority</t>
  </si>
  <si>
    <t>Deadline</t>
  </si>
  <si>
    <t>Task</t>
  </si>
  <si>
    <t>Status</t>
  </si>
  <si>
    <t>Maturity Timeline</t>
  </si>
  <si>
    <t>Status Notes</t>
  </si>
  <si>
    <t>Phinney</t>
  </si>
  <si>
    <t>3423 - TS-121 Die Press</t>
  </si>
  <si>
    <t>PAN, AD</t>
  </si>
  <si>
    <t>Jon</t>
  </si>
  <si>
    <t>Billing Status</t>
  </si>
  <si>
    <t>Archive</t>
  </si>
  <si>
    <t>Edits reviewed and sent to Christina - invoice pending</t>
  </si>
  <si>
    <t>Billitier</t>
  </si>
  <si>
    <t>P0833 - UR Pharm Door PLC</t>
  </si>
  <si>
    <t>CD, AD</t>
  </si>
  <si>
    <t>Billing</t>
  </si>
  <si>
    <t>Reached out to Dan Bamann on 8/23 for status</t>
  </si>
  <si>
    <t>R &amp; D</t>
  </si>
  <si>
    <t>PAN</t>
  </si>
  <si>
    <t>Brandon, Nick</t>
  </si>
  <si>
    <t>Perform some market research on what UPS units are on the market that support Lithium-ion battery tech</t>
  </si>
  <si>
    <t>Done</t>
  </si>
  <si>
    <t>Have a meeting scheduled with Avangrid on 9/12 to prepare for. No 480V UPS on the market</t>
  </si>
  <si>
    <t>120V Distribution in each MCC</t>
  </si>
  <si>
    <t>QT</t>
  </si>
  <si>
    <t>Quote</t>
  </si>
  <si>
    <t>CertainTeed</t>
  </si>
  <si>
    <t>Macron Gearbox Issue</t>
  </si>
  <si>
    <t>AD</t>
  </si>
  <si>
    <t>Jon, Tom</t>
  </si>
  <si>
    <t>Finish this job NOW!</t>
  </si>
  <si>
    <t>CO PO came in wrong. Need John M to fix</t>
  </si>
  <si>
    <t>3519A - Change Order</t>
  </si>
  <si>
    <t>Ensure we do or do not need to bill this</t>
  </si>
  <si>
    <t>Don't need to bill</t>
  </si>
  <si>
    <t>3562 - NF Expansion</t>
  </si>
  <si>
    <t>Order Parts - 6 Prox junction box with cables; 8 Prox Juntion Box with cables; 16 prox Junction Box with cables</t>
  </si>
  <si>
    <t>P0XXX</t>
  </si>
  <si>
    <t>IT</t>
  </si>
  <si>
    <t>Follow up with Aries IT and perform request</t>
  </si>
  <si>
    <t>3493 - Press 6 Controls System</t>
  </si>
  <si>
    <t>Change Order</t>
  </si>
  <si>
    <t>CC12 (3508 Robot Duplication)</t>
  </si>
  <si>
    <t>Brandon</t>
  </si>
  <si>
    <t>Get an updated cell price from Jim mail and reply to McAlpin's RFQ</t>
  </si>
  <si>
    <t>Meeting with customer 9/12 - request for ballpark pricing</t>
  </si>
  <si>
    <t>Caldwell</t>
  </si>
  <si>
    <t>Billed</t>
  </si>
  <si>
    <t>Delver Depositor Service</t>
  </si>
  <si>
    <t>Write service report and bill</t>
  </si>
  <si>
    <t>RSA to no-quote depositor.</t>
  </si>
  <si>
    <t>Milwalkee</t>
  </si>
  <si>
    <t>Transfer PDF to Excel BOM</t>
  </si>
  <si>
    <t>3444 - CIP Skid</t>
  </si>
  <si>
    <t>Nick</t>
  </si>
  <si>
    <t>Edit Drawing, add terms for door harness</t>
  </si>
  <si>
    <t>3479 - Barcode Scanner</t>
  </si>
  <si>
    <t>Ricky, Jon</t>
  </si>
  <si>
    <t>Pending review with Rick</t>
  </si>
  <si>
    <t>Aries/Riggs</t>
  </si>
  <si>
    <t>Get us paid</t>
  </si>
  <si>
    <t>Renus claims payment by end of month</t>
  </si>
  <si>
    <t>September Remote Support</t>
  </si>
  <si>
    <t>Possible RFQ to support Aries Linden through September Gasifier Run</t>
  </si>
  <si>
    <t>Get details on date range</t>
  </si>
  <si>
    <t>Write service report for Tri-mer HMI System</t>
  </si>
  <si>
    <t>Never Done</t>
  </si>
  <si>
    <t>TakeForm</t>
  </si>
  <si>
    <t>Dust Collection and VAC Pump Panel</t>
  </si>
  <si>
    <t>Quote Panel</t>
  </si>
  <si>
    <t>002I-C Quote Request</t>
  </si>
  <si>
    <t>Tom, Jon</t>
  </si>
  <si>
    <t>Send response to avangrid on RFQ for 002I-C</t>
  </si>
  <si>
    <t>AMI - 3 more locations</t>
  </si>
  <si>
    <t>Tom</t>
  </si>
  <si>
    <t>3 more locations quote</t>
  </si>
  <si>
    <t>Review all Billing</t>
  </si>
  <si>
    <t>Waiting for Christina to review list from James Nesbitt; List has been reviewed once, waiting to review one last report from Brandon</t>
  </si>
  <si>
    <t>ME</t>
  </si>
  <si>
    <t>Mechanical Finalization</t>
  </si>
  <si>
    <t>Pending update from Ricky</t>
  </si>
  <si>
    <t>Next two locations</t>
  </si>
  <si>
    <t>Did we get a response by 9/19?</t>
  </si>
  <si>
    <t>Need to review with Rick</t>
  </si>
  <si>
    <t>Bulk heads</t>
  </si>
  <si>
    <t>Follow Up</t>
  </si>
  <si>
    <t>RFQ out to vendor - will flip when recieved</t>
  </si>
  <si>
    <t>Iberdrola</t>
  </si>
  <si>
    <t>3523 - 100 Cabinet Build</t>
  </si>
  <si>
    <t>Are we supplying Kits? IB102</t>
  </si>
  <si>
    <t>If yes, put together BOM</t>
  </si>
  <si>
    <t>SAP Bing Can Geneva</t>
  </si>
  <si>
    <t xml:space="preserve">Follow up </t>
  </si>
  <si>
    <t>ETS</t>
  </si>
  <si>
    <t>3567 - Argentina</t>
  </si>
  <si>
    <t>Include changes in engineering in change order</t>
  </si>
  <si>
    <t>3562 - NF Line (3 panels)</t>
  </si>
  <si>
    <t>Verify Stock List</t>
  </si>
  <si>
    <t>3470 - 30" Cabinet Re-Work</t>
  </si>
  <si>
    <t>In progress, Pete might want these instead of two new cabinets</t>
  </si>
  <si>
    <t>New P.O. 3470A, finishing two 30" cabinets for Pete</t>
  </si>
  <si>
    <t xml:space="preserve">Baskin Live Stock </t>
  </si>
  <si>
    <t>QT Follow-up</t>
  </si>
  <si>
    <t>CD, QT</t>
  </si>
  <si>
    <t>3547 - Bag Filler</t>
  </si>
  <si>
    <t>Verify Stock List Status</t>
  </si>
  <si>
    <t>3569 - Chiller Cart</t>
  </si>
  <si>
    <t>Bill</t>
  </si>
  <si>
    <t>Checked Numbers 11/9/22 - Christina is clreaed to send Bill to Zach</t>
  </si>
  <si>
    <t>3554 - GEA Homogenizer Controls</t>
  </si>
  <si>
    <t>Finish Electrical Integration with Homogenizer</t>
  </si>
  <si>
    <t>Putting D9P HMI in door</t>
  </si>
  <si>
    <t>PB</t>
  </si>
  <si>
    <t>Electrical Finalization</t>
  </si>
  <si>
    <t>More changes to electrical design need to be made...again</t>
  </si>
  <si>
    <t>3554 - Homog 2</t>
  </si>
  <si>
    <t>Reorder any Canceled Components</t>
  </si>
  <si>
    <t>We're not doing this job</t>
  </si>
  <si>
    <t>ME, PAN, AD</t>
  </si>
  <si>
    <t>Notes</t>
  </si>
  <si>
    <t>Homog 2</t>
  </si>
  <si>
    <t>Documentation - Consoledate under Cedars</t>
  </si>
  <si>
    <t>Network Drawings</t>
  </si>
  <si>
    <t>Change order to finalize</t>
  </si>
  <si>
    <t>3578 - 4 x HEPA UV Units</t>
  </si>
  <si>
    <t>Assemble HEPA enclosures</t>
  </si>
  <si>
    <t>Jason performing some finishing touches / skidding</t>
  </si>
  <si>
    <t>3576 - New Castle Chili</t>
  </si>
  <si>
    <t>AD, PAN</t>
  </si>
  <si>
    <t>Follow up on parts delivery</t>
  </si>
  <si>
    <t>Report in folder</t>
  </si>
  <si>
    <t xml:space="preserve">Brightmark </t>
  </si>
  <si>
    <t>3536 - G300 Meter</t>
  </si>
  <si>
    <t>Schedule trip to swiss w/ Rick (8/23 afternoon or Wednesday), include Jeremy</t>
  </si>
  <si>
    <t>Look at the upgrader pad in the same loop</t>
  </si>
  <si>
    <t>CIP 180 and 190 QT</t>
  </si>
  <si>
    <t>Write Quote</t>
  </si>
  <si>
    <t>Review and approve</t>
  </si>
  <si>
    <t>Follow up on QT today</t>
  </si>
  <si>
    <t>Lost job</t>
  </si>
  <si>
    <t>Cook Station 3 CIP Valves</t>
  </si>
  <si>
    <t>Valve Bank Panel Quote</t>
  </si>
  <si>
    <t>Debrief with Sean</t>
  </si>
  <si>
    <t>Get Osman Paid</t>
  </si>
  <si>
    <t>10% remaining</t>
  </si>
  <si>
    <t>Romicon Recontrol</t>
  </si>
  <si>
    <t>Schedule a visit to review panel loads for full recontrol</t>
  </si>
  <si>
    <t>3479 - Barcode Scanner Panels</t>
  </si>
  <si>
    <t>Finish enclosure</t>
  </si>
  <si>
    <t>Needs terminal labels, power up, finalization</t>
  </si>
  <si>
    <t>TS120 HMI Support</t>
  </si>
  <si>
    <t>HMI Support</t>
  </si>
  <si>
    <t>3579 - Velcro chopper machine</t>
  </si>
  <si>
    <t>Confirm Billing - Make sure we made money</t>
  </si>
  <si>
    <t>Review Drawing Markup</t>
  </si>
  <si>
    <t>Kalsec Software Edits</t>
  </si>
  <si>
    <t>Answer Joe's follow up email on software edits and purchase replacement valves</t>
  </si>
  <si>
    <t>Field Pull Drawing</t>
  </si>
  <si>
    <t>Put Subplate in Panel</t>
  </si>
  <si>
    <t>Assinging today</t>
  </si>
  <si>
    <t>E3616 - 2nd CIP Skid</t>
  </si>
  <si>
    <t>Ben</t>
  </si>
  <si>
    <t>Finalize Panel Design</t>
  </si>
  <si>
    <t>3470A - 2 Cabinets - Final Rev</t>
  </si>
  <si>
    <t>End of Project Checklist - Documentation</t>
  </si>
  <si>
    <t>No open material?</t>
  </si>
  <si>
    <t>Subplate Fab</t>
  </si>
  <si>
    <t>All Nextys equipment delivered.  Waiting on remaining Hoffman cabinets.  Shipping end of year.</t>
  </si>
  <si>
    <t>Follow up on Red Lines</t>
  </si>
  <si>
    <t>Meeting next week Wednesday</t>
  </si>
  <si>
    <t>3576 - 6 Retort System</t>
  </si>
  <si>
    <t>Change order for Software work out of scope - potentially include trip cost</t>
  </si>
  <si>
    <t>No CO needed</t>
  </si>
  <si>
    <t>Write service report for firewall remote support</t>
  </si>
  <si>
    <t>Imperial Line</t>
  </si>
  <si>
    <t>Jon, Jacob</t>
  </si>
  <si>
    <t>Answer Guy and Curt on Robot Programming Availability.</t>
  </si>
  <si>
    <t>Acrison Takeover</t>
  </si>
  <si>
    <t>Quote Line C Acrison Full Take Over</t>
  </si>
  <si>
    <t>CD</t>
  </si>
  <si>
    <t>Gray/Hans Kisstle</t>
  </si>
  <si>
    <t>Quote PLC Control</t>
  </si>
  <si>
    <t>PAN, QT</t>
  </si>
  <si>
    <t>BOM Finalization</t>
  </si>
  <si>
    <t>Electrical Design</t>
  </si>
  <si>
    <t>Figure out what to do with the chart recorder</t>
  </si>
  <si>
    <t>Project Delivery Date</t>
  </si>
  <si>
    <t>Shipping 10/06/2022</t>
  </si>
  <si>
    <t>P&amp;ID</t>
  </si>
  <si>
    <t>Pending Review</t>
  </si>
  <si>
    <t>Mechanical Stock List</t>
  </si>
  <si>
    <t>3540 - Westech</t>
  </si>
  <si>
    <t>Finish Panel Build</t>
  </si>
  <si>
    <t>Ask Jon about tag placement</t>
  </si>
  <si>
    <t>Banbury Full Recontrol</t>
  </si>
  <si>
    <t>Jon, Nick</t>
  </si>
  <si>
    <t>Quote Banbury Full Recontrol</t>
  </si>
  <si>
    <t>Updating electricals with hole seals and cord grip detail</t>
  </si>
  <si>
    <t>Compile Various Numbers and writeups into full proposal</t>
  </si>
  <si>
    <t>Review QT</t>
  </si>
  <si>
    <t>Ricky</t>
  </si>
  <si>
    <t>Process/Code Testing</t>
  </si>
  <si>
    <t>Follow up with Nextus, Follow up on Sheet Metal Parts</t>
  </si>
  <si>
    <t>Eli is working on Sheet Metal Parts. Nextus Responded</t>
  </si>
  <si>
    <t>Digitizing Wire List</t>
  </si>
  <si>
    <t>Order Parts</t>
  </si>
  <si>
    <t>Switching to 850</t>
  </si>
  <si>
    <t>Nick to reclaim nextus and siemens equipment from example 002I-C Cab</t>
  </si>
  <si>
    <t>Assemble Prox Sensor Junctions</t>
  </si>
  <si>
    <t>Follow up with Christina about the BC</t>
  </si>
  <si>
    <t>Electrical Stock List</t>
  </si>
  <si>
    <t>Waiting on report from Christina</t>
  </si>
  <si>
    <t>Compare what we have ordered to what needs to be ordered</t>
  </si>
  <si>
    <t>Electrical Drawings</t>
  </si>
  <si>
    <t>Change Chart Recorder Part Number and send to Silva</t>
  </si>
  <si>
    <t>Drawing Updates</t>
  </si>
  <si>
    <t>Come Up with storeage means for 100 subplates</t>
  </si>
  <si>
    <t>Find Difference in wire estimates from AutoCAD</t>
  </si>
  <si>
    <t>Certainteed</t>
  </si>
  <si>
    <t>3529 - Saw Panels</t>
  </si>
  <si>
    <t>Open Material Reports</t>
  </si>
  <si>
    <t>AMI</t>
  </si>
  <si>
    <t>Clarify AMI schedule with Nick and Jon</t>
  </si>
  <si>
    <t>Jason will be working on AMI 2-3 days a week opposite of Jonas</t>
  </si>
  <si>
    <t>Compressor Recontrol With VFD</t>
  </si>
  <si>
    <t>Mike, Ken</t>
  </si>
  <si>
    <t>Coordinate Welder pending review</t>
  </si>
  <si>
    <t>Stock List</t>
  </si>
  <si>
    <t>Powerup Test</t>
  </si>
  <si>
    <t>3554 - Homog 1</t>
  </si>
  <si>
    <t>Jacob</t>
  </si>
  <si>
    <t>Take apart the pressure relief valve and document measurements</t>
  </si>
  <si>
    <t>Heveron Electric</t>
  </si>
  <si>
    <t>Support Request - Invertek Drives</t>
  </si>
  <si>
    <t>Call Eric Heveron Back</t>
  </si>
  <si>
    <t>Sent email with manual and info - follow up if no feedback</t>
  </si>
  <si>
    <t>VBA for CIP values</t>
  </si>
  <si>
    <t>Parts List with reference to drawing</t>
  </si>
  <si>
    <t>Delver Depositor Recontrol</t>
  </si>
  <si>
    <t>Pull together pictures and scope to schedule a meeting with Modern</t>
  </si>
  <si>
    <t>Air solenoids to be reworked with CS Automation (or to reassign to Brandon or Dave)</t>
  </si>
  <si>
    <t>Put together stock list once panel is built and shipped</t>
  </si>
  <si>
    <t>Confirm placement of ETS Stickers with Chuck</t>
  </si>
  <si>
    <t>Photos in the field</t>
  </si>
  <si>
    <t>Order QTY of stainless hole seals</t>
  </si>
  <si>
    <t>3439A - Historian</t>
  </si>
  <si>
    <t>Historian</t>
  </si>
  <si>
    <t>Completed 11/17</t>
  </si>
  <si>
    <t>3583 - Pump Cart</t>
  </si>
  <si>
    <t>Panel Design</t>
  </si>
  <si>
    <t>Helios Mechanical</t>
  </si>
  <si>
    <t>Contact Jennifer to get meter ETA</t>
  </si>
  <si>
    <t>3479A - Barcode Scanner New Lines</t>
  </si>
  <si>
    <t>Parts Tracking</t>
  </si>
  <si>
    <t>Waiting on reports to be run</t>
  </si>
  <si>
    <t>Start Assembly</t>
  </si>
  <si>
    <t>One panel is complete; Waiting to hear how many panels in total are required</t>
  </si>
  <si>
    <t>Diplicate Task</t>
  </si>
  <si>
    <t>Get list of parts to Tom for Avangrid to bring from Newark</t>
  </si>
  <si>
    <t>RP100, anything else?</t>
  </si>
  <si>
    <t>3610 - Boxler Flare Upgrades</t>
  </si>
  <si>
    <t>Mike, Rick</t>
  </si>
  <si>
    <t>Get PO from George</t>
  </si>
  <si>
    <t>George working on approvals as of 12/5</t>
  </si>
  <si>
    <t>3582 - Processor 7</t>
  </si>
  <si>
    <t>Ask Rick at end of day for the tanks</t>
  </si>
  <si>
    <t>3398 - New Building</t>
  </si>
  <si>
    <t>Figure out how to heat the addition</t>
  </si>
  <si>
    <t>Drawings in progress (not complete)</t>
  </si>
  <si>
    <t>Draft Change Order Request</t>
  </si>
  <si>
    <t>Check on Nextus Equipment Delivery Schedule</t>
  </si>
  <si>
    <t>49 to ship 1st week of September, following up on Power Supplies</t>
  </si>
  <si>
    <t>Reach out to Shand &amp; Jurhs for pipe dimensions</t>
  </si>
  <si>
    <t>Need Pipe Dims.</t>
  </si>
  <si>
    <t>Jon, Brandon</t>
  </si>
  <si>
    <t>PLC has arrived, schedule install/swap</t>
  </si>
  <si>
    <t>Completed 11/30</t>
  </si>
  <si>
    <t>Assign Project Manager and pull together full BOM</t>
  </si>
  <si>
    <t>3493 - Press 6</t>
  </si>
  <si>
    <t>Call Rockwell and get their solutions to the Excessive Position/Speed Faults at startup</t>
  </si>
  <si>
    <t>Network Drawing</t>
  </si>
  <si>
    <t>Order change order components</t>
  </si>
  <si>
    <t>Pending Ricky Timesheet</t>
  </si>
  <si>
    <t>3562A - NF Line (3 panels)</t>
  </si>
  <si>
    <t>Update Electicals for IO map</t>
  </si>
  <si>
    <t>Schedule a panel builder at McAlpin to adjust sensors with Jacob</t>
  </si>
  <si>
    <t>Meet with Mike B. to unify P&amp;ID Numbers</t>
  </si>
  <si>
    <t>Mike Bruns</t>
  </si>
  <si>
    <t>Follow up on tags</t>
  </si>
  <si>
    <t>Panel build</t>
  </si>
  <si>
    <t>1 enclosure done save for door harness, missing main CB and lightning arrestor; 2nd enclosure in process of subplate wiring</t>
  </si>
  <si>
    <t>Go through all 120 cabs and pull all Siemens and Nextus Equipment</t>
  </si>
  <si>
    <t>Fuse Table, Internal Panel Tag, Terminals Tags</t>
  </si>
  <si>
    <t>3588 - CIP 180 &amp; 190</t>
  </si>
  <si>
    <t>Update BOM with deliv. Dates from vendors. Keep BOM updated</t>
  </si>
  <si>
    <t>3516 - Cream Pump</t>
  </si>
  <si>
    <t>Review Controls/Install Scope</t>
  </si>
  <si>
    <t>Pump arrived 8/5</t>
  </si>
  <si>
    <t>Unassigned</t>
  </si>
  <si>
    <t>No Task - waiting for direction; do we bill?</t>
  </si>
  <si>
    <t>Line A Recontrol</t>
  </si>
  <si>
    <t>Quote Line A Full Control</t>
  </si>
  <si>
    <t>3515A - Testing Equipment</t>
  </si>
  <si>
    <t>Find out where we're covering the costs for testing the equipment</t>
  </si>
  <si>
    <t>Might need to be a different letter than "3523A"</t>
  </si>
  <si>
    <t>Check Documentation</t>
  </si>
  <si>
    <t>Source Alternatives</t>
  </si>
  <si>
    <t xml:space="preserve">Pending responces from distributors </t>
  </si>
  <si>
    <t>Ozone</t>
  </si>
  <si>
    <t>Mott's</t>
  </si>
  <si>
    <t>PAN, OZ</t>
  </si>
  <si>
    <t>Update Job Status</t>
  </si>
  <si>
    <t>Run a mid project profit report so Jon can write his change order</t>
  </si>
  <si>
    <t>Pending Reports</t>
  </si>
  <si>
    <t>Touch base with CertainTeed on Delivery</t>
  </si>
  <si>
    <t>Verify internal wiring</t>
  </si>
  <si>
    <t>Jon, Sean</t>
  </si>
  <si>
    <t>Look for upsized drive - its tripping</t>
  </si>
  <si>
    <t>3476 - Mexico</t>
  </si>
  <si>
    <t>See what I/O is on order</t>
  </si>
  <si>
    <t>Report from Christina</t>
  </si>
  <si>
    <t>Power Supply Warranty Replacement</t>
  </si>
  <si>
    <t>Follow up with Jeremy from NAES if you don't hear a request for the power supply</t>
  </si>
  <si>
    <t>3506B and C - Steam Hardware</t>
  </si>
  <si>
    <t>Bill Complete</t>
  </si>
  <si>
    <t>Cold Call</t>
  </si>
  <si>
    <t>Reach out to Omar and see how things are going</t>
  </si>
  <si>
    <t>Tom, Mike, Jacob</t>
  </si>
  <si>
    <t>Mech. Valve BOM</t>
  </si>
  <si>
    <t>Order parts</t>
  </si>
  <si>
    <t>120 Cabinet Review</t>
  </si>
  <si>
    <t>David</t>
  </si>
  <si>
    <t>Compile list of cabinet serial numbers with good Nextus and Siemens Equipment</t>
  </si>
  <si>
    <t>Stock</t>
  </si>
  <si>
    <t>Test 230VAC ebay drive</t>
  </si>
  <si>
    <t>Reply to BAC</t>
  </si>
  <si>
    <t>Update Notes Sheet</t>
  </si>
  <si>
    <t>Create Autosort Button for Notes Sheet</t>
  </si>
  <si>
    <t>VBA and OneDrive do not work well together</t>
  </si>
  <si>
    <t>Nick, Jon</t>
  </si>
  <si>
    <t>Follow up with email response on project status</t>
  </si>
  <si>
    <t>XXXX - Cedars MCC Breakup</t>
  </si>
  <si>
    <t>The other two Conveyor panels originally for Processor 7</t>
  </si>
  <si>
    <t>Product Test Procedures</t>
  </si>
  <si>
    <t>Need to fininsh test procedure for RP100</t>
  </si>
  <si>
    <t>Check on SMC Parts</t>
  </si>
  <si>
    <t>Schedule Shipment with Chuck</t>
  </si>
  <si>
    <t>Waiting to hear from Chuck</t>
  </si>
  <si>
    <t>Powerup Test and Program</t>
  </si>
  <si>
    <t>follow up with Airline Hydraulics Corp on getting lead times</t>
  </si>
  <si>
    <t>Mike from Hydraulics is requesting LT. Last contacted 9/28</t>
  </si>
  <si>
    <t>ChemAqua</t>
  </si>
  <si>
    <t>UofN Ozone System</t>
  </si>
  <si>
    <t>Task is to follow up</t>
  </si>
  <si>
    <t xml:space="preserve">Meeting with university tomorrow afternoon - we're one of three finalists </t>
  </si>
  <si>
    <t>3589 - C3 CIP Valve Panel</t>
  </si>
  <si>
    <t>Kickoff the project</t>
  </si>
  <si>
    <t>Open PO Review</t>
  </si>
  <si>
    <t>Review list from Christina and send back to Aries</t>
  </si>
  <si>
    <t>Duplicate Task</t>
  </si>
  <si>
    <t>Purchase Utility Knives for AMI</t>
  </si>
  <si>
    <t>Bill up to 90%</t>
  </si>
  <si>
    <t>Send Jon Delivery Date of Cabinets. Plan Ship Date</t>
  </si>
  <si>
    <t>Jon, Nick, Mike</t>
  </si>
  <si>
    <t>Call chuck and get more detail</t>
  </si>
  <si>
    <t>Tom, Rick</t>
  </si>
  <si>
    <t xml:space="preserve">estimate for timeframe for delivery and setup of the associated systems </t>
  </si>
  <si>
    <t>Needs to be reviewed</t>
  </si>
  <si>
    <t>New Work from Jeremy</t>
  </si>
  <si>
    <t>Follow Up with Jeremy</t>
  </si>
  <si>
    <t>Quote for 2 30" Cabinets</t>
  </si>
  <si>
    <t>Send Quote</t>
  </si>
  <si>
    <t>3479B - Barcode Scanner phase 3</t>
  </si>
  <si>
    <t>Ricky, Jon, Nick</t>
  </si>
  <si>
    <t>Determine how many we are building - Question centers around Salads</t>
  </si>
  <si>
    <t>Roller Drive Quote</t>
  </si>
  <si>
    <t>Sean</t>
  </si>
  <si>
    <t>Updateing priceson controller and drive, determining if 2m is the max length of cable extension available</t>
  </si>
  <si>
    <t>30m is ideal - Call convo in process</t>
  </si>
  <si>
    <t>Email Response on Alternative Options</t>
  </si>
  <si>
    <t>Status of project</t>
  </si>
  <si>
    <t>Steam Valve Control</t>
  </si>
  <si>
    <t>FAST DELIVERY - 5 RTDs, 10 Steam Stop Valves, PanelView, and PLC - No actual Software, MOA only</t>
  </si>
  <si>
    <t>Hold for feedback on scope from customer</t>
  </si>
  <si>
    <t>Create/Update BOM and prepare for purchasing</t>
  </si>
  <si>
    <t>Waiting to hear from Rexel</t>
  </si>
  <si>
    <t>Meeting Today</t>
  </si>
  <si>
    <t>Labor Report</t>
  </si>
  <si>
    <t>Order Parts - Small SS Panel, VFD and power supply that feeds meter</t>
  </si>
  <si>
    <t>Retort Project</t>
  </si>
  <si>
    <t>Meeting to discuss project with management</t>
  </si>
  <si>
    <t>Verify no parts are missing and reassemble</t>
  </si>
  <si>
    <t>Valve Reassemble, not assembled to homogenizer</t>
  </si>
  <si>
    <t>Update Team on status of waranty claim</t>
  </si>
  <si>
    <t>Warranty denied - Rick and Sean appealing</t>
  </si>
  <si>
    <t>Comparing mechanical installation of new drive and roller to existing drive and roller</t>
  </si>
  <si>
    <t>Damaged Homog</t>
  </si>
  <si>
    <t>Tom, Jacob</t>
  </si>
  <si>
    <t>Write quote to repair and supply homog for Alvin</t>
  </si>
  <si>
    <t>Go over stock list and move some parts to stock, some parts to new Homog job.</t>
  </si>
  <si>
    <t>Order Air Prep and Regulator Bulk Head + 5/16 QD In/Out Bulk Heads</t>
  </si>
  <si>
    <t>Waiting on customer to provide valve tags</t>
  </si>
  <si>
    <t>3580 - Trial Pump Cart</t>
  </si>
  <si>
    <t>Spec panel and order remainder of parts - PF525 25HP w/ pushbutton control andspeed pot</t>
  </si>
  <si>
    <t>25HP VFD enroute</t>
  </si>
  <si>
    <t>Updated Material Report for 3576 and 3576A</t>
  </si>
  <si>
    <t>Panel Delivery Date</t>
  </si>
  <si>
    <t>Scheduled to ship on 10/06/2022</t>
  </si>
  <si>
    <t>Order RTDs</t>
  </si>
  <si>
    <t>BOM Put together - order pending approval</t>
  </si>
  <si>
    <t>3594 - PPI Nickel Plating Line</t>
  </si>
  <si>
    <t>Nick, David</t>
  </si>
  <si>
    <t>Electrical Design for all enclosures</t>
  </si>
  <si>
    <t>Order mechanical components</t>
  </si>
  <si>
    <t>2nd Chopper</t>
  </si>
  <si>
    <t>Determine if we can make money selling the 2nd one for the same price as the first</t>
  </si>
  <si>
    <t>Buy blades after confirming other parts, design and make exit cover</t>
  </si>
  <si>
    <t>Material report</t>
  </si>
  <si>
    <t>Waiting on information from this week</t>
  </si>
  <si>
    <t>3428 - Can Filler #610 Doors</t>
  </si>
  <si>
    <t>Finalize Door Assembly and install</t>
  </si>
  <si>
    <t>Finishing up today, need to schedule shutdown?</t>
  </si>
  <si>
    <t>Talk with customer and schedule shipment</t>
  </si>
  <si>
    <t>Request Use of Components for 3523</t>
  </si>
  <si>
    <t>Send Tom Electricals</t>
  </si>
  <si>
    <t>Billing - Bill both of them</t>
  </si>
  <si>
    <t>End of Project Checklist</t>
  </si>
  <si>
    <t>Jon, Ricky, Sean</t>
  </si>
  <si>
    <t>SHIPPED 8/23/22, Sent Rick report 11/9/22</t>
  </si>
  <si>
    <t>Put together plan for Processor 7 Controls - 2 Conveyor Panels, 1 Processor Panel, 1 Batch Panel, (1 or 2) I-Line, Wall Mount VFDs, and 1 Homog Panel</t>
  </si>
  <si>
    <t>Batch, Processor, Homogenizer, Batch/Homo VB, Balance Tank VB, MPCB, Conveyor 5 &amp; 6 panels done.  Karl Schnell DX not started.  Contherm VB panel to be modified.  IOLink Master panels in progress.</t>
  </si>
  <si>
    <t>Jon, Ricky</t>
  </si>
  <si>
    <t>Shipping 8/23</t>
  </si>
  <si>
    <t>Sean, RIcky</t>
  </si>
  <si>
    <t>Schedule shipment of first conveyor panel</t>
  </si>
  <si>
    <t>Facewasher Sorting Machine Quote</t>
  </si>
  <si>
    <t>See if Justin will bite</t>
  </si>
  <si>
    <t>Justin Bennett</t>
  </si>
  <si>
    <t>40-45k rough estimate</t>
  </si>
  <si>
    <t>Quote CC10 Robot Duplication</t>
  </si>
  <si>
    <t>Suction QT</t>
  </si>
  <si>
    <t>Follow Up with Justin</t>
  </si>
  <si>
    <t>Also want video of process - Followed up 10/5</t>
  </si>
  <si>
    <t>Call Jon for parts order status</t>
  </si>
  <si>
    <t>Follow up</t>
  </si>
  <si>
    <t>Program Chart Recorders</t>
  </si>
  <si>
    <t>Chart recorder 6 has issues</t>
  </si>
  <si>
    <t>Mike, Nick, Jon</t>
  </si>
  <si>
    <t>Attend Weekly Meeting to discuss install progress</t>
  </si>
  <si>
    <t>E&amp;J Gallo</t>
  </si>
  <si>
    <t>Sales Cold Call</t>
  </si>
  <si>
    <t>List of I-line Breakers together for order</t>
  </si>
  <si>
    <t>Ask Nick about Schneider documentation on his desk.  It might pertain to this.</t>
  </si>
  <si>
    <t>Kalsec</t>
  </si>
  <si>
    <t>Trial Pump Cart</t>
  </si>
  <si>
    <t>Finalize Pump Cart Design</t>
  </si>
  <si>
    <t>Talk with Steve about alternatives</t>
  </si>
  <si>
    <t>3574 - Retort/Vac Project</t>
  </si>
  <si>
    <t>Order long lead components</t>
  </si>
  <si>
    <t>Pumps ordered, Graham Ordered, Tower Ordered</t>
  </si>
  <si>
    <t>Follow up with Gram - Need updated quote</t>
  </si>
  <si>
    <t>Go over RIcky's Quote draft</t>
  </si>
  <si>
    <t>Review Pump Skid Design w/ Rick</t>
  </si>
  <si>
    <t>Mike, Jacob</t>
  </si>
  <si>
    <t>Vac Skid Design - Work with Graham on revisions</t>
  </si>
  <si>
    <t>Ceiling on Vac Room is only 8'</t>
  </si>
  <si>
    <t>176 something new rfq</t>
  </si>
  <si>
    <t>Pick 2 or 3 options for 24V UPS and power supplies options</t>
  </si>
  <si>
    <t>Once we have a few selected, Brandon can go out for pricing and availability</t>
  </si>
  <si>
    <t>Update Profit Report, look at what we quoted for onsite time and start change order if needed</t>
  </si>
  <si>
    <t>Requires updated RSA Stock. Then re-assign to Brandon</t>
  </si>
  <si>
    <t>Review P&amp;ID</t>
  </si>
  <si>
    <t>RSA/Electrical Stock list</t>
  </si>
  <si>
    <t>Waiting on material report</t>
  </si>
  <si>
    <t>ME, PM</t>
  </si>
  <si>
    <t>Mike, Jacob, Nick</t>
  </si>
  <si>
    <t>Review final scope of work and proposal</t>
  </si>
  <si>
    <t>Robotic Work</t>
  </si>
  <si>
    <t>Jacob, Jon, Tom</t>
  </si>
  <si>
    <t>Start to put together SCARA cell for case packing</t>
  </si>
  <si>
    <t>Waiting to perform this job at SGB Adfors first</t>
  </si>
  <si>
    <t>Mike, Jacob, Ken</t>
  </si>
  <si>
    <t>Mechanical design for new flare</t>
  </si>
  <si>
    <t>Put together budgetary Allen Bradley Drive solution in replacement of the current drive tech</t>
  </si>
  <si>
    <t>Airline Hydraulics to provide update of delivery 12/7</t>
  </si>
  <si>
    <t>3469 - 30" Cabinet Engineering</t>
  </si>
  <si>
    <t>Nick to Finalize Drawings, Powerup Test, Program Dump</t>
  </si>
  <si>
    <t>Send report to Pete and request permission to use Siemens and Nextus Equipment</t>
  </si>
  <si>
    <t>Count good 26" cabinets (excel sheet)</t>
  </si>
  <si>
    <t>Cabinet availability and or alternatives</t>
  </si>
  <si>
    <t>PAN, ME</t>
  </si>
  <si>
    <t>Design and price fabricating breaker lockout</t>
  </si>
  <si>
    <t xml:space="preserve">Found Alternative, Pete Approved </t>
  </si>
  <si>
    <t>Q0069 - (4) 24VDC 002I-C</t>
  </si>
  <si>
    <t>UPS System</t>
  </si>
  <si>
    <t>UPS for all MCCs for Switches</t>
  </si>
  <si>
    <t>As-builts and photos</t>
  </si>
  <si>
    <t>Need to start change-order conversation with Dale</t>
  </si>
  <si>
    <t>60HP VFD</t>
  </si>
  <si>
    <t>Waiting on feedback from Graybar</t>
  </si>
  <si>
    <t>Software Finalization</t>
  </si>
  <si>
    <t>Remote work for Cook Station 5</t>
  </si>
  <si>
    <t>Jon, see your notes</t>
  </si>
  <si>
    <t>Follow up with Alvin</t>
  </si>
  <si>
    <t>Test equipment pulled from cabinets</t>
  </si>
  <si>
    <t>RS900GP and Siements PS still need to be tested</t>
  </si>
  <si>
    <t>Have a report of T&amp;M Onsite Hours to review with Dale</t>
  </si>
  <si>
    <t>NC Plant</t>
  </si>
  <si>
    <t>Look at involvement with Plant DCS control</t>
  </si>
  <si>
    <t>Q0087 - Case Packer Recontrol</t>
  </si>
  <si>
    <t>Rick, Ricky, Jon</t>
  </si>
  <si>
    <t>Visit site and review the machine</t>
  </si>
  <si>
    <t>Rick and Ricky going to EJ Gallow 3/16</t>
  </si>
  <si>
    <t>3417W - Cook Station 3</t>
  </si>
  <si>
    <t xml:space="preserve">Ensure flow path from carmelizer to ILF2 requests the proper level controller </t>
  </si>
  <si>
    <t>Task welders with battery cabinet mod</t>
  </si>
  <si>
    <t>Half way done being welded as of 10/5</t>
  </si>
  <si>
    <t>3555 - Bagger Gaurds</t>
  </si>
  <si>
    <t>Jason to install final set of bolts</t>
  </si>
  <si>
    <t>Waiting for down day to schedule final install trip</t>
  </si>
  <si>
    <t>Understand MCC mistake</t>
  </si>
  <si>
    <t>Q0077 - Archer Daniels Midland Chem Skid</t>
  </si>
  <si>
    <t>Mike, Ricky, Jon</t>
  </si>
  <si>
    <t>Meet to go over the status of this quote</t>
  </si>
  <si>
    <t>Ship</t>
  </si>
  <si>
    <t>Write battery change order to Pete</t>
  </si>
  <si>
    <t xml:space="preserve">Liberty Pumps </t>
  </si>
  <si>
    <t>Lazer Quote</t>
  </si>
  <si>
    <t>Follow up with Sic oday - Write quote by end of the month</t>
  </si>
  <si>
    <t>Caleb StClair</t>
  </si>
  <si>
    <t>SICK pulling together a quote this week (70-80k turnkey)</t>
  </si>
  <si>
    <t>Inital concept for battery drawer ready to review</t>
  </si>
  <si>
    <t>Respond to Pete's Questions.  What is the build status of this??</t>
  </si>
  <si>
    <t>Panel Labels, Get Pictures, Ship</t>
  </si>
  <si>
    <t>Panel Shipment Deadline</t>
  </si>
  <si>
    <t>Likely done 23rd</t>
  </si>
  <si>
    <t>Set aside MCP</t>
  </si>
  <si>
    <t>Chiller Manual and Mechanical Drawings in folder</t>
  </si>
  <si>
    <t>Program</t>
  </si>
  <si>
    <t>Panel Build</t>
  </si>
  <si>
    <t>3593 - 120V Dist. in MCCs</t>
  </si>
  <si>
    <t>Send Dan sample drawing for 120V Dist.</t>
  </si>
  <si>
    <t>Schedule Panel Builder to go through and label drives</t>
  </si>
  <si>
    <t>Tenaris RFQ</t>
  </si>
  <si>
    <t>Quote what we can complete by end of year</t>
  </si>
  <si>
    <t>Mechanical Design</t>
  </si>
  <si>
    <t>Tag</t>
  </si>
  <si>
    <t>Follow up on potential software help - TJ out sick?</t>
  </si>
  <si>
    <t>IB Kits</t>
  </si>
  <si>
    <t>Were all of these completed at one time??</t>
  </si>
  <si>
    <t>3594B</t>
  </si>
  <si>
    <t>Send Joe Pippard a load list, touch base with Joe on Electrical Tech Involvement</t>
  </si>
  <si>
    <t>Machine Tending Robots</t>
  </si>
  <si>
    <t>Schedule a visit to retouch on machine tending robots</t>
  </si>
  <si>
    <t>Mike Augello</t>
  </si>
  <si>
    <t>Rick reached out 9/12 to schedule meeting</t>
  </si>
  <si>
    <t>Check on partial shipment of valves and cancel unused parts</t>
  </si>
  <si>
    <t>Cross hand valves and fittings</t>
  </si>
  <si>
    <t>Material Report</t>
  </si>
  <si>
    <t>Meeting with customer on functional description</t>
  </si>
  <si>
    <t>Random Support and Debug as needed</t>
  </si>
  <si>
    <t>All software work</t>
  </si>
  <si>
    <t>Look into instrument delivery issues and wrong part numbers</t>
  </si>
  <si>
    <t>Ship Date</t>
  </si>
  <si>
    <t>Was 9/16</t>
  </si>
  <si>
    <t>Laser Quote</t>
  </si>
  <si>
    <t>Laser Etching RFQ Response</t>
  </si>
  <si>
    <t>Kaleb should update by 8/31</t>
  </si>
  <si>
    <t>Source AJ31000110002100 Chart Recorder Single Pen or alternatives</t>
  </si>
  <si>
    <t>Use charts we have here for now</t>
  </si>
  <si>
    <t>Jon, David, Rick</t>
  </si>
  <si>
    <t>Functional Description</t>
  </si>
  <si>
    <t>Ship date of panel and cables</t>
  </si>
  <si>
    <t>Canistoga trailer?</t>
  </si>
  <si>
    <t>Design culinary steam skid</t>
  </si>
  <si>
    <t>stock list confirmation</t>
  </si>
  <si>
    <t>Drawing updates complete.  Waiting on material report</t>
  </si>
  <si>
    <t>Seal Up Panel</t>
  </si>
  <si>
    <t>Welding team has everything they need. Chris is out sick 9/9</t>
  </si>
  <si>
    <t>Lemon Juice Filler</t>
  </si>
  <si>
    <t>Put together quote for Alvin</t>
  </si>
  <si>
    <t>Alvin already had request in at same vendor</t>
  </si>
  <si>
    <t>VMI</t>
  </si>
  <si>
    <t>VFD VMI Shelf</t>
  </si>
  <si>
    <t>Mike, Jon, Ricky</t>
  </si>
  <si>
    <t>Pull bottom plates off of enclosures that have arrived</t>
  </si>
  <si>
    <t>Waiting for remiaining cabinets to be delivered to get started</t>
  </si>
  <si>
    <t>Start putting the electrical BOM together for the project</t>
  </si>
  <si>
    <t>BOM will need to be updated to "As-Built"</t>
  </si>
  <si>
    <t>3482 - Stack Tank Stairs</t>
  </si>
  <si>
    <t>Follow up with Feldmeier</t>
  </si>
  <si>
    <t>Feldmeier Gave FEA -</t>
  </si>
  <si>
    <t>Jon picked up electricals - scope is pushbutton replacement with HMI</t>
  </si>
  <si>
    <t>As-built / Fixture Plate Drawings</t>
  </si>
  <si>
    <t>Jon, David</t>
  </si>
  <si>
    <t>Send approval documentation to Chuck</t>
  </si>
  <si>
    <t>Schedule Production for 11/21</t>
  </si>
  <si>
    <t>Ceders Kettle project for NF</t>
  </si>
  <si>
    <t>Order stainless materials for steam skid</t>
  </si>
  <si>
    <t>Waste Water Piping Job</t>
  </si>
  <si>
    <t>Waiting on drawings from Jason</t>
  </si>
  <si>
    <t>Gerdau - 2 more</t>
  </si>
  <si>
    <t>Sean, Jon</t>
  </si>
  <si>
    <t>Quote ready to send out</t>
  </si>
  <si>
    <t>PTC Liberty - Drive and Control Panel</t>
  </si>
  <si>
    <t>Review Chuck's diagram and call today to ask questions</t>
  </si>
  <si>
    <t>Notes on Electrical System (Read Me) in folder</t>
  </si>
  <si>
    <t>Full material report (open and recv.)</t>
  </si>
  <si>
    <t>Order valves and instrumentation per approved P&amp;ID</t>
  </si>
  <si>
    <t>Updating electricals and ordering parts for chem pump control</t>
  </si>
  <si>
    <t>Parts ordered;  Need to do drawing updates</t>
  </si>
  <si>
    <t>Automated Riveting Cell</t>
  </si>
  <si>
    <t>4 different rivets - want some sort of automation to perform all actions simultaneously. Operator load/unload</t>
  </si>
  <si>
    <t>Welder</t>
  </si>
  <si>
    <t>Skid Assembly</t>
  </si>
  <si>
    <t>Finalize P&amp;ID for Hans/Gray approval</t>
  </si>
  <si>
    <t>Need to verify retort valve sizing per retort design - Push feedbackon retort</t>
  </si>
  <si>
    <t>Christina, Jon</t>
  </si>
  <si>
    <t>Final Billing - Did they Pay?</t>
  </si>
  <si>
    <t>Final invoice sent 10/11 - No PAyment as of 12/9</t>
  </si>
  <si>
    <t>Jacob, Jon</t>
  </si>
  <si>
    <t>Quote for J&amp;J service sent on 12/9</t>
  </si>
  <si>
    <t>Rithin to follow up monday 12/12</t>
  </si>
  <si>
    <t>3515 - 120 Panels Refurbish 002I</t>
  </si>
  <si>
    <t>Ask Christina to run reports</t>
  </si>
  <si>
    <t>Follow up with Chris F and John W on proposed process</t>
  </si>
  <si>
    <t>Build one panel</t>
  </si>
  <si>
    <t>Waiting on parts</t>
  </si>
  <si>
    <t>Riggs</t>
  </si>
  <si>
    <t>3443 - Water Rem</t>
  </si>
  <si>
    <t>Follow up with Joe A. for status, reached out 9/2</t>
  </si>
  <si>
    <t>replied to Joe 8/22. Joe replied that day asking for T&amp;M sheets on Option #1. On 8/23, JT reviewed past emails and T&amp;M documentation. Realizing there was insufficient info in existance, he requested updated full reports from Christina. The plan is to cross reference those reports with the daily schedules to generate requested documents</t>
  </si>
  <si>
    <t>Send P&amp;ID and Updated Valve Descriptions to Customer</t>
  </si>
  <si>
    <t>V38 Operator Station Duplicate</t>
  </si>
  <si>
    <t>Send Dan Stevenovik pricing on operator station duplicate</t>
  </si>
  <si>
    <t>Skid RFQ</t>
  </si>
  <si>
    <t>Jacob to follow up</t>
  </si>
  <si>
    <t>Jacob followed up with additional questions regarding skid package on 10/6 and again on 10/14</t>
  </si>
  <si>
    <t>Ship pump parts with update drawing</t>
  </si>
  <si>
    <t>Capper Recontrol</t>
  </si>
  <si>
    <t>Jon picked up electricals - quote full recontrol</t>
  </si>
  <si>
    <t>Review new spreadhseet from Scott Morrow</t>
  </si>
  <si>
    <t>Build BOM and order for March Delivery</t>
  </si>
  <si>
    <t>Design Complete.  Remaining components to be ordered.  Need to submit change-order for Vacuum Pump panel.</t>
  </si>
  <si>
    <t>Rick, Mike</t>
  </si>
  <si>
    <t>Coordinate Install - Potential change order for install issues due to delay</t>
  </si>
  <si>
    <t>Piping Quotes</t>
  </si>
  <si>
    <t>Piping job - not really chasing</t>
  </si>
  <si>
    <t>Design 3-port flow plate for old vs new cream line selection - IFM Prox's</t>
  </si>
  <si>
    <t>need to order 2 or 3 100m cables</t>
  </si>
  <si>
    <t>Draft potential change order and functional description for TJ</t>
  </si>
  <si>
    <t>Frank Demare</t>
  </si>
  <si>
    <t>Line startup - Bill week of 12/12</t>
  </si>
  <si>
    <t>4015 - IT</t>
  </si>
  <si>
    <t>Set Up PC's</t>
  </si>
  <si>
    <t>Review P&amp;ID - Trip 10/7</t>
  </si>
  <si>
    <t>3592 - DA Tank Platform</t>
  </si>
  <si>
    <t>Review design with Rick</t>
  </si>
  <si>
    <t>Need to get site pictures from Rick</t>
  </si>
  <si>
    <t>Monzeal Hopper Sensors</t>
  </si>
  <si>
    <t>Make sure this job is billed</t>
  </si>
  <si>
    <t>Billed 8/20</t>
  </si>
  <si>
    <t>Nature's Fynd</t>
  </si>
  <si>
    <t>Fermenter</t>
  </si>
  <si>
    <t>Quote Sent - Follow Up?</t>
  </si>
  <si>
    <t>3533 - TS123</t>
  </si>
  <si>
    <t>Ebay Sourcing on Open Materials</t>
  </si>
  <si>
    <t>WAITING ON MIAH FOR 25-COMM-E2P ADAPTER</t>
  </si>
  <si>
    <t>Electrical Gear Quote</t>
  </si>
  <si>
    <t>Follow up with used gear suppliers in prep for meeting</t>
  </si>
  <si>
    <t>New Plating Line</t>
  </si>
  <si>
    <t>Quote long lead Parts</t>
  </si>
  <si>
    <t>Scott Marrow</t>
  </si>
  <si>
    <t>Labor Quote</t>
  </si>
  <si>
    <t xml:space="preserve">Part Sales Quote Sent </t>
  </si>
  <si>
    <t>Robot Head</t>
  </si>
  <si>
    <t>Robot head to be made out of aluminum - Now a job</t>
  </si>
  <si>
    <t>Maint. Manager. Oleg - Put numbers together for full vac plate - previous job 3509-ish? Give rough estimate for project, Jacob to review prior to sending</t>
  </si>
  <si>
    <t>Digitizing Job List</t>
  </si>
  <si>
    <t>Has Christina's approval. Needs final approval and population/conversion</t>
  </si>
  <si>
    <t>Get job number from admin</t>
  </si>
  <si>
    <t>Suction cup part number in model is accurate</t>
  </si>
  <si>
    <t>3439W - PLC Trending Project Warranty</t>
  </si>
  <si>
    <t>Send Tyler a list of parts that are missing from the cabinet at Swiss Valley</t>
  </si>
  <si>
    <t>SOP for new HMI startup proceedure</t>
  </si>
  <si>
    <t>Confirm whether or not we need to include the box-opening fingers</t>
  </si>
  <si>
    <t>We have the ability to change the vacuum cups if necessary</t>
  </si>
  <si>
    <t>3609B - Risers for Retort Lines</t>
  </si>
  <si>
    <t>MD</t>
  </si>
  <si>
    <t>Jacob, Weld</t>
  </si>
  <si>
    <t>Material cut as of 12/19</t>
  </si>
  <si>
    <t>Mike Meyers</t>
  </si>
  <si>
    <t>E3643 - Cook Station Raw Materials Delivery Upgrade</t>
  </si>
  <si>
    <t>Reach out to Alvin for scheduling</t>
  </si>
  <si>
    <t>Compare BOM to Shelf</t>
  </si>
  <si>
    <t>Q0091</t>
  </si>
  <si>
    <t>Boxler PC FTLDI reinstall and reconfigure</t>
  </si>
  <si>
    <t>This week's shipment</t>
  </si>
  <si>
    <t>Liberty Pumps</t>
  </si>
  <si>
    <t>Tom, Ricky</t>
  </si>
  <si>
    <t>Create Budgetary Quote for Laser, Vision and Upstacker</t>
  </si>
  <si>
    <t>Waiting on response to follow up</t>
  </si>
  <si>
    <t>Documentation</t>
  </si>
  <si>
    <t>Lydall?</t>
  </si>
  <si>
    <t>Safety Gaurding Visit - Job from Mike Sanguanito</t>
  </si>
  <si>
    <t>Rick, Tom</t>
  </si>
  <si>
    <t>Follow up with Cust.</t>
  </si>
  <si>
    <t xml:space="preserve">Mike Sanguanito, Mary Ellen Holvey </t>
  </si>
  <si>
    <t>Rick sent quote - PO pending for Q1</t>
  </si>
  <si>
    <t>Nick, Ken</t>
  </si>
  <si>
    <t>Put together electrical and mechanical recommended spares list</t>
  </si>
  <si>
    <t>Filler Sold - HEPA Adder</t>
  </si>
  <si>
    <t>Ricky, Rick</t>
  </si>
  <si>
    <t>Zach wants HEPA added (positive pressure), What else needs to be quoted?</t>
  </si>
  <si>
    <t>Ricky needs to follow up with Zach</t>
  </si>
  <si>
    <t>Activate FT Software on Computer</t>
  </si>
  <si>
    <t>Cost Accounting and final billing prep</t>
  </si>
  <si>
    <t>Nick, Mike</t>
  </si>
  <si>
    <t>What is required?</t>
  </si>
  <si>
    <t>XXXX - Louver Control Panel</t>
  </si>
  <si>
    <t>Design and Purchase Parts for this</t>
  </si>
  <si>
    <t>New V38 HMI Duplicate</t>
  </si>
  <si>
    <t>Start job and order parts</t>
  </si>
  <si>
    <t>New Project?</t>
  </si>
  <si>
    <t>P0903 - Panasonic PLC &amp; HMI Service</t>
  </si>
  <si>
    <t>Follow up on HMI password status</t>
  </si>
  <si>
    <t>Waiting on HMI password from nutrablend</t>
  </si>
  <si>
    <t>Fabrication Deadline?</t>
  </si>
  <si>
    <t>Need to schedule crane for install</t>
  </si>
  <si>
    <t>3526 - Truck Clerance Stop</t>
  </si>
  <si>
    <t>Waiting on Jason (DoT), follow up by this date</t>
  </si>
  <si>
    <t>Rick sent a letter to give to the city - still waiting</t>
  </si>
  <si>
    <t>Alkagen</t>
  </si>
  <si>
    <t>E3639</t>
  </si>
  <si>
    <t>Doors arrived, ship and Bill</t>
  </si>
  <si>
    <t>Patch Line</t>
  </si>
  <si>
    <t>Waiting on response</t>
  </si>
  <si>
    <t>Need to answer random questions for purchasing?</t>
  </si>
  <si>
    <t>Jon, Sean, Mike</t>
  </si>
  <si>
    <t>Profit Report / Billing</t>
  </si>
  <si>
    <t>Follow up and Bill</t>
  </si>
  <si>
    <t>E3656 - Coater Gaurding</t>
  </si>
  <si>
    <t>Reach out to Framing Tech for Quotes</t>
  </si>
  <si>
    <t>EE</t>
  </si>
  <si>
    <t>Follow up with Alkagen EE for drawings and software</t>
  </si>
  <si>
    <t>ManusBIO</t>
  </si>
  <si>
    <t>E3774</t>
  </si>
  <si>
    <t>Liquifier Repair</t>
  </si>
  <si>
    <t>Update Dan's Historian Quote</t>
  </si>
  <si>
    <t>Update pricing</t>
  </si>
  <si>
    <t>Billing - Get Reports</t>
  </si>
  <si>
    <t>3491 - 2 Palletizer Platforms</t>
  </si>
  <si>
    <t>Review project costs and bill</t>
  </si>
  <si>
    <t>3516 - Cream Receiving Pump</t>
  </si>
  <si>
    <t>Bill?</t>
  </si>
  <si>
    <t>PPI Line Panel Quote</t>
  </si>
  <si>
    <t>Edit on order items per current control matrix and finalize proposal for project</t>
  </si>
  <si>
    <t>3526 - Truck Clearance Stop</t>
  </si>
  <si>
    <t>Billing - Review Costs Prior</t>
  </si>
  <si>
    <t>Does Jason need lights?</t>
  </si>
  <si>
    <t>Saint Gobain Niagara Falls</t>
  </si>
  <si>
    <t>Control Panel Request</t>
  </si>
  <si>
    <t>Compressor Room Climate Control</t>
  </si>
  <si>
    <t>Rooftop Chiller Recontrol</t>
  </si>
  <si>
    <t>power up test</t>
  </si>
  <si>
    <t>Possible feed panel with VFD at 380V, 50Hz</t>
  </si>
  <si>
    <t>P1101 - Concord CS3 Backup PC Service</t>
  </si>
  <si>
    <t>Login and start the configuration and install for new CS3 Backup PC</t>
  </si>
  <si>
    <t>Connection didn't work due to subnet conflict</t>
  </si>
  <si>
    <t>Send Chris Ryan the info he's looking for</t>
  </si>
  <si>
    <t>Test Moxa Trial</t>
  </si>
  <si>
    <t>Test Moxa Trial Unit</t>
  </si>
  <si>
    <t>Takeform/Heveron</t>
  </si>
  <si>
    <t>Servo Cabling Extension</t>
  </si>
  <si>
    <t>Jon, Rick</t>
  </si>
  <si>
    <t>Reach out to Eric from Heveron to close the loop on this request</t>
  </si>
  <si>
    <t>Spray Dryer #2 Controls</t>
  </si>
  <si>
    <t>Respond to RFQ</t>
  </si>
  <si>
    <t>Thermal Kinetics</t>
  </si>
  <si>
    <t>N/A</t>
  </si>
  <si>
    <t>Rockwell Customer Survey</t>
  </si>
  <si>
    <t>Fill out customer survey</t>
  </si>
  <si>
    <t>R&amp;D</t>
  </si>
  <si>
    <t>David, Rick</t>
  </si>
  <si>
    <t>Hook up current testing sealed model to ozone monitor</t>
  </si>
  <si>
    <t>ME, AD</t>
  </si>
  <si>
    <t>Delivery and Billing</t>
  </si>
  <si>
    <t>25% Remaining to be billed. Christina notified to bill in full</t>
  </si>
  <si>
    <t>P0955 - Jensen Service</t>
  </si>
  <si>
    <t>David, Jon</t>
  </si>
  <si>
    <t>Review Findings and Update Curt</t>
  </si>
  <si>
    <t>Write service report for star delta starter remote support</t>
  </si>
  <si>
    <t>Work with Design Engineer to change design due to height restriction</t>
  </si>
  <si>
    <t>Graham behind - expecting drawings end week 12/12</t>
  </si>
  <si>
    <t>Mike, Jacob, Rick</t>
  </si>
  <si>
    <t>Send Pump Skid Design to Hans/Gray Engineering for approval</t>
  </si>
  <si>
    <t xml:space="preserve">Pump skid approved - begin fabrication </t>
  </si>
  <si>
    <t>Send Quote for electrical tech involvement</t>
  </si>
  <si>
    <t>Send Chuck and Tim most recent update of electricals</t>
  </si>
  <si>
    <t>Might have an additional revision to send out</t>
  </si>
  <si>
    <t>CureLeaf</t>
  </si>
  <si>
    <t>CIP Skid QT</t>
  </si>
  <si>
    <t>Ebay Orders</t>
  </si>
  <si>
    <t>Schedule Elctrical Design for this enclosure - Order Parts</t>
  </si>
  <si>
    <t>Pending PO</t>
  </si>
  <si>
    <t>MAINT</t>
  </si>
  <si>
    <t>Source charger for boom lift</t>
  </si>
  <si>
    <t>Waste Water Piping Job - Second Phase</t>
  </si>
  <si>
    <t>What is this second phase?</t>
  </si>
  <si>
    <t>Remove the fault signal when flare transitions from not lit to lit if pilot is still ok</t>
  </si>
  <si>
    <t>Print all activly required labels</t>
  </si>
  <si>
    <t>What is this task?</t>
  </si>
  <si>
    <t>Integrate pump controls into the skids; shipping wednesday 3/22</t>
  </si>
  <si>
    <t>Reach out to Troax for door equipment</t>
  </si>
  <si>
    <t>New Building</t>
  </si>
  <si>
    <t>Electircal Plan</t>
  </si>
  <si>
    <t>Rick Bought Components</t>
  </si>
  <si>
    <t>Ken</t>
  </si>
  <si>
    <t>Finalize Piping Layout</t>
  </si>
  <si>
    <t>Q0055 - DAS 2022</t>
  </si>
  <si>
    <t>Review where we're at</t>
  </si>
  <si>
    <t>Saint Gobain Industiral Ceramics</t>
  </si>
  <si>
    <t>Follow up please - Quote: Gel Extrusion Machine/Controls Panel</t>
  </si>
  <si>
    <t>STP file in house - Tom setting up a meeting with Rick to solidify numbers, need to schedule meeting</t>
  </si>
  <si>
    <t>Q0104 - Pressure TX</t>
  </si>
  <si>
    <t>Send Jacob's Calculations</t>
  </si>
  <si>
    <t>P1156 - Meter Totalizer</t>
  </si>
  <si>
    <t>Jon, Ben</t>
  </si>
  <si>
    <t>Expand the totalizer field to 8 digits</t>
  </si>
  <si>
    <t>E3657 - 002I-C Cabinet Build</t>
  </si>
  <si>
    <t>Nick, Tom, Jon, Eli</t>
  </si>
  <si>
    <t>Q0122 - 2023 Master Agreement</t>
  </si>
  <si>
    <t>Send list of questions to RFP coordinater</t>
  </si>
  <si>
    <t>Helios Electrical - Did we ever get paid for these parts?</t>
  </si>
  <si>
    <t>Robot Repair</t>
  </si>
  <si>
    <t>Jacob, RIcky</t>
  </si>
  <si>
    <t>Robot delivered &amp; setup 12/14-12/15</t>
  </si>
  <si>
    <t>Follow up on RFQ</t>
  </si>
  <si>
    <t>Followed up on 12/5 - No response as of 12/6</t>
  </si>
  <si>
    <t>Q0075 - JST Global Tower Control Panel</t>
  </si>
  <si>
    <t>Jon, Ben, Nick</t>
  </si>
  <si>
    <t>Review drawings</t>
  </si>
  <si>
    <t>U of Nebraska</t>
  </si>
  <si>
    <t>Ozone Project</t>
  </si>
  <si>
    <t xml:space="preserve">Potential Visit </t>
  </si>
  <si>
    <t>Poverty Hill Farms</t>
  </si>
  <si>
    <t>Resin Printer</t>
  </si>
  <si>
    <t>Jacob, Ken</t>
  </si>
  <si>
    <t>Look at Printer?</t>
  </si>
  <si>
    <t>Waiting on parts - Check in with air line at this date</t>
  </si>
  <si>
    <t>Panels Shipped 12/1</t>
  </si>
  <si>
    <t>Q0094 - Pressure Sensor Programming</t>
  </si>
  <si>
    <t>Research the programming software and capabilities of the bulk system and Win CC. What is required to add these sensors to the system?</t>
  </si>
  <si>
    <t>Asked for functional description from Engineer; Follow up with John Karcz</t>
  </si>
  <si>
    <t>Nick, Eli</t>
  </si>
  <si>
    <t>Review Eli's Drawing</t>
  </si>
  <si>
    <t>Put together BOM/pricing for prototype cabinet</t>
  </si>
  <si>
    <t>Xylem</t>
  </si>
  <si>
    <t>3448 - Unwinder Recontrol</t>
  </si>
  <si>
    <t>AD, ME</t>
  </si>
  <si>
    <t>Rick, Jon</t>
  </si>
  <si>
    <t>Abate the active project</t>
  </si>
  <si>
    <t>Source Recycling for Cardboard, Wire, and Flexible Conduit</t>
  </si>
  <si>
    <t>Arnolds Scrap in Corfu?</t>
  </si>
  <si>
    <t>Q0047 - Knitter drive panel</t>
  </si>
  <si>
    <t>What state is this in?</t>
  </si>
  <si>
    <t>3609A</t>
  </si>
  <si>
    <t>Rewrite quote for 2 parts under 5k. Shipped 1 (reworked)</t>
  </si>
  <si>
    <t>Ship this project</t>
  </si>
  <si>
    <t>1355A IT</t>
  </si>
  <si>
    <t>Christina Off Monday and Tuesday - Upgrade her SSD</t>
  </si>
  <si>
    <t>Unknown</t>
  </si>
  <si>
    <t>Small Batcher Proposal</t>
  </si>
  <si>
    <t>David, Jon, Nick</t>
  </si>
  <si>
    <t>Put together pricing and comparison pricing between a KEP batcher (Micromotion) and a small Allen Bradley Batcher</t>
  </si>
  <si>
    <t>Have requests out to most vendors for individual component pricing</t>
  </si>
  <si>
    <t>Schedule time this week to prep code offline</t>
  </si>
  <si>
    <t>Barrette OutDoor</t>
  </si>
  <si>
    <t>Upstate Niagara</t>
  </si>
  <si>
    <t>Quote F</t>
  </si>
  <si>
    <t>Bill all of this and the hardware/engineering completed for antenna portion up to this point</t>
  </si>
  <si>
    <t>Draft Quote</t>
  </si>
  <si>
    <t>3493W - Press 6 X-axis Issue</t>
  </si>
  <si>
    <t>Install</t>
  </si>
  <si>
    <t>Work Completed 5/10/23</t>
  </si>
  <si>
    <t>Q0074 - Puzzle Sorter Line #2</t>
  </si>
  <si>
    <t>Jon, Nick, Jacob</t>
  </si>
  <si>
    <t>Send proposal</t>
  </si>
  <si>
    <t>Proposal Sent 5/9/23</t>
  </si>
  <si>
    <t>HMI Flash Drive Duplication</t>
  </si>
  <si>
    <t>3374 - Cont. Improvement</t>
  </si>
  <si>
    <t>Finalize system for electronics recycling</t>
  </si>
  <si>
    <t>1355A MT</t>
  </si>
  <si>
    <t>MT</t>
  </si>
  <si>
    <t>Put up racking on the North wall of new panelshop</t>
  </si>
  <si>
    <t>Don't actually have this racking - Can we buy some?</t>
  </si>
  <si>
    <t>Jon, Sean, Ricky</t>
  </si>
  <si>
    <t>Meet to discuss where some of the missing files on the server may be</t>
  </si>
  <si>
    <t>E3638 - TS122 Part 2</t>
  </si>
  <si>
    <t>Get reports and send Cliff the bill</t>
  </si>
  <si>
    <t>Q0151 - Update on QETS022219</t>
  </si>
  <si>
    <t>Jon, Eli, Nick</t>
  </si>
  <si>
    <t>Finalize Quote</t>
  </si>
  <si>
    <t>Q0152 - Update on QETS030619</t>
  </si>
  <si>
    <t>E3651 - Flowplate Hold Tube</t>
  </si>
  <si>
    <t>Tom, Jacob, Welder</t>
  </si>
  <si>
    <t>Fabrication</t>
  </si>
  <si>
    <t>Wire in junction panel</t>
  </si>
  <si>
    <t>Q0103 - Ian's Quote</t>
  </si>
  <si>
    <t>Put pricing together - Ian leaving Cascade, should we still pursue?</t>
  </si>
  <si>
    <t>Never finished</t>
  </si>
  <si>
    <t>Q0103 - Roll Bander SLC Recontrol</t>
  </si>
  <si>
    <t>Reply to Ian and set up scope review meeting</t>
  </si>
  <si>
    <t>Pasturizing Chart Recorder Labeled for Line 7</t>
  </si>
  <si>
    <t>Source Breakers for MCVs and Meters</t>
  </si>
  <si>
    <t>E3843</t>
  </si>
  <si>
    <t>Kenny</t>
  </si>
  <si>
    <t>Mount New Load Cells, test &amp; calibrate</t>
  </si>
  <si>
    <t>Q0089 - PLC Training / Upgrade Plan</t>
  </si>
  <si>
    <t>Send response to John with plan</t>
  </si>
  <si>
    <t>Ricky, PB</t>
  </si>
  <si>
    <t>Determine who is going with Ricky to install new I/O in out panels</t>
  </si>
  <si>
    <t>4015MS IT</t>
  </si>
  <si>
    <t>Order 3 more shop workstations and a desk for near the VF11</t>
  </si>
  <si>
    <t>Schedule Demo for IV4 Sensor</t>
  </si>
  <si>
    <t>Get supporting documentation for Hartness robot cable replacment quote</t>
  </si>
  <si>
    <t>E3845</t>
  </si>
  <si>
    <t>Ask Rick about billing for this job</t>
  </si>
  <si>
    <t>Jacob, Ricky</t>
  </si>
  <si>
    <t>Follow up with Ron and Purchasing on status of this order</t>
  </si>
  <si>
    <t>P1101 - C3 Kingdel PC Support</t>
  </si>
  <si>
    <t>Send Ed Moran Invoice for remote support</t>
  </si>
  <si>
    <t>Look at Freshdesk and determine what plan we would need to implement as our task management system; Write SOP for use</t>
  </si>
  <si>
    <t>E3644A- JST Panel</t>
  </si>
  <si>
    <t>Ship Replacement Door</t>
  </si>
  <si>
    <t>Freezedry Foods</t>
  </si>
  <si>
    <t>E3646 - Spray Dryer Mod</t>
  </si>
  <si>
    <t>Christina, Ken</t>
  </si>
  <si>
    <t>Bill This</t>
  </si>
  <si>
    <t>E3646A - Spray Dryer Mod</t>
  </si>
  <si>
    <t>E3619 - Wifi Antenna Upgrade</t>
  </si>
  <si>
    <t>Eli, Jon</t>
  </si>
  <si>
    <t>Update ELectrical drawings for FC01 and PC 2808</t>
  </si>
  <si>
    <t>3574 - Vac Retort System</t>
  </si>
  <si>
    <t>Review Dave's Pinning Chart</t>
  </si>
  <si>
    <t>Garlock</t>
  </si>
  <si>
    <t>All kinds of machinery builds</t>
  </si>
  <si>
    <t>Rick, Tom, Jacob</t>
  </si>
  <si>
    <t>Follow up - Talk with Rick</t>
  </si>
  <si>
    <t>Greg Penns</t>
  </si>
  <si>
    <t>Rick &amp; Jacob going to visit week of 10/7 or week after</t>
  </si>
  <si>
    <t>Make sure iberdrola is charged monthly for cabinet storage</t>
  </si>
  <si>
    <t>Spoke with Christina 3/17; We are not currently, regularly charging rent because we used up the previous PO. Need to work with Tom to get another PO</t>
  </si>
  <si>
    <t>Javalyn</t>
  </si>
  <si>
    <t>Q0138 - Review Pedestal assembly</t>
  </si>
  <si>
    <t>Jon, Eli, Sean</t>
  </si>
  <si>
    <t>Finalize Pricing for components in this BOM</t>
  </si>
  <si>
    <t>Q0069 - (2) 24VDC 002I-C</t>
  </si>
  <si>
    <t>Tom, Jon, Eli, Sean</t>
  </si>
  <si>
    <t>Schedule This Work, Start a Job Number, Determine BOM</t>
  </si>
  <si>
    <t>3614 costs are included in a new quote. Will move pending PO, Task is to update status</t>
  </si>
  <si>
    <t>Rebuild Ozone Cabinets returned from Mott's</t>
  </si>
  <si>
    <t>Was this completed?</t>
  </si>
  <si>
    <t>Price up Vic's Set of Panels</t>
  </si>
  <si>
    <t>Price up Vic's Set of Panels - 8 hours per?</t>
  </si>
  <si>
    <t>Develop internal drawings and BOM</t>
  </si>
  <si>
    <t>Assembly Reverse Engineered &amp; Quoted</t>
  </si>
  <si>
    <t>Q0088 - (50) 30" prototypes</t>
  </si>
  <si>
    <t>Tom, Nick, Jon</t>
  </si>
  <si>
    <t>LiDestri Foods</t>
  </si>
  <si>
    <t>E3670 - HPP Conveyor Programming</t>
  </si>
  <si>
    <t>Schedule this programming project</t>
  </si>
  <si>
    <t>Midland Asphalt</t>
  </si>
  <si>
    <t>3480 - Midland Meter &amp; Piping Upgrade</t>
  </si>
  <si>
    <t>Check if this is closed, Ship left over hardware</t>
  </si>
  <si>
    <t>As Builts (started)</t>
  </si>
  <si>
    <t>3598B - Romicon Recontrol</t>
  </si>
  <si>
    <t>Complete Software Change Order</t>
  </si>
  <si>
    <t>Sevenson Deepwater WWTP</t>
  </si>
  <si>
    <t>Put ROM together for John Moley</t>
  </si>
  <si>
    <t>Send David a CO quote for eBay supplied hardware</t>
  </si>
  <si>
    <t>Valve Addition - UHT</t>
  </si>
  <si>
    <t>Tom, RIcky</t>
  </si>
  <si>
    <t>Quote valve with CIP Programming Time</t>
  </si>
  <si>
    <t>Tank RFQ</t>
  </si>
  <si>
    <t>Lee Kettle Quote - Waiting on update back from Feldmeier</t>
  </si>
  <si>
    <t>Waiting on order</t>
  </si>
  <si>
    <t>Fix time zone on retort PC</t>
  </si>
  <si>
    <t>Check Vault Backup</t>
  </si>
  <si>
    <t>3533 - Tags</t>
  </si>
  <si>
    <t>Waiting on material</t>
  </si>
  <si>
    <t>Make additional fencing on 3D Printer for beveling</t>
  </si>
  <si>
    <t>Jon approved most recent run. Want to run at least one more tag with factory edges before production acceptance</t>
  </si>
  <si>
    <t>Send final documentation package</t>
  </si>
  <si>
    <t>Slide Design to increase travel of horizontal mill</t>
  </si>
  <si>
    <t>Precison Slide, Low Profile Design</t>
  </si>
  <si>
    <t>Chris and James to come up with rough concept/size constraints before investigating further</t>
  </si>
  <si>
    <t>Q0109 - Etching Line Quote</t>
  </si>
  <si>
    <t>Quote Etching Line</t>
  </si>
  <si>
    <t>3594C - Precision process Pit Panel Motor Adds</t>
  </si>
  <si>
    <t>Parts procurement, drawing updates</t>
  </si>
  <si>
    <t>3398 - Addition Work</t>
  </si>
  <si>
    <t>Re-review how the grounding for the 220V Panel needs to change</t>
  </si>
  <si>
    <t>Fed From' Labels on all outlet boxes and switches</t>
  </si>
  <si>
    <t>Q0108 - M11 Control Panels BTP</t>
  </si>
  <si>
    <t>Review/Send Proposal</t>
  </si>
  <si>
    <t>Active Prjects list</t>
  </si>
  <si>
    <t>Get Farther through the active projects list</t>
  </si>
  <si>
    <t>Machine Shop Bathroom</t>
  </si>
  <si>
    <t>Figure out what's wrong with the machine shop toilet - bowl never flushes</t>
  </si>
  <si>
    <t>E3654 - V38 5th Storage Tank</t>
  </si>
  <si>
    <t>Jon, Christina</t>
  </si>
  <si>
    <t>Figure out billing issue</t>
  </si>
  <si>
    <t>Flex Screen Robot Cover</t>
  </si>
  <si>
    <t>Cover installed 7/6/23</t>
  </si>
  <si>
    <t>Lull Quote</t>
  </si>
  <si>
    <t>Follow up on this PO</t>
  </si>
  <si>
    <t>Q0117 - M11 Instalation Services</t>
  </si>
  <si>
    <t>Send Proposal</t>
  </si>
  <si>
    <t>Updated unistrut quote recieved</t>
  </si>
  <si>
    <t>Q0134 - Meter Installation and Control Panel</t>
  </si>
  <si>
    <t>Jon, Nick, Eli</t>
  </si>
  <si>
    <t>Get this quote out NOW!!!</t>
  </si>
  <si>
    <t>Dump Table</t>
  </si>
  <si>
    <t>Tom, PB</t>
  </si>
  <si>
    <t>Assembly Task</t>
  </si>
  <si>
    <t>Macron Finalization</t>
  </si>
  <si>
    <t>Saint Gobain not buying this in 2023</t>
  </si>
  <si>
    <t>Jon, Jacob, David</t>
  </si>
  <si>
    <t>Put together a scope/quote for integrating the different sections of the imperial line</t>
  </si>
  <si>
    <t>Turnkey Automation</t>
  </si>
  <si>
    <t>E3650 - Dental Tray and Covers</t>
  </si>
  <si>
    <t>Finish 3D printing</t>
  </si>
  <si>
    <t>Jim Miller picked up finished parts on 5/11</t>
  </si>
  <si>
    <t>1355A</t>
  </si>
  <si>
    <t>Route the outlet of the portable A/C in the server room/3d printing area outside</t>
  </si>
  <si>
    <t>P1193 - Detail 25 Program Adjustment</t>
  </si>
  <si>
    <t>MS</t>
  </si>
  <si>
    <t>Design platform(s) for lucas boring mills</t>
  </si>
  <si>
    <t>Designed &amp; manufactured</t>
  </si>
  <si>
    <t>Jason, Jon, Eli</t>
  </si>
  <si>
    <t>Finish installing/terminating ends for air supply lines in the addition</t>
  </si>
  <si>
    <t>4015MS</t>
  </si>
  <si>
    <t>Jacob, Welder</t>
  </si>
  <si>
    <t>Build a platform for the new VF9, design already made &amp; approved by Rick</t>
  </si>
  <si>
    <t>E3627 - Gerdau Round 2</t>
  </si>
  <si>
    <t>Get drawing approval for next milestone</t>
  </si>
  <si>
    <t>Drawing approval not required.  Build to print from last job.  Panel build in progress</t>
  </si>
  <si>
    <t>Wire Spool Rack Design</t>
  </si>
  <si>
    <t>Waiting for approval to mfg</t>
  </si>
  <si>
    <t>Spec &amp; buy a miter saw for the panel shop</t>
  </si>
  <si>
    <t>Project Number</t>
  </si>
  <si>
    <t>Associated Jobs</t>
  </si>
  <si>
    <t>Job Status</t>
  </si>
  <si>
    <t>In QB</t>
  </si>
  <si>
    <t>Quote Num</t>
  </si>
  <si>
    <t>Invoiced</t>
  </si>
  <si>
    <t>Invoice Date</t>
  </si>
  <si>
    <t>P0961</t>
  </si>
  <si>
    <t>Inital Engineering for Plating Line</t>
  </si>
  <si>
    <t>Q0009</t>
  </si>
  <si>
    <t>Apollo Work</t>
  </si>
  <si>
    <t>?</t>
  </si>
  <si>
    <t>HydroGrow</t>
  </si>
  <si>
    <t>HydroGrow - Header Only</t>
  </si>
  <si>
    <t>Ozone R&amp;D Work</t>
  </si>
  <si>
    <t>CF</t>
  </si>
  <si>
    <t>RSA Continuous Improvement</t>
  </si>
  <si>
    <t>SABR Line 1 Slide Doors</t>
  </si>
  <si>
    <t>Poverty Hill</t>
  </si>
  <si>
    <t>8" Piping on Sludge Fit</t>
  </si>
  <si>
    <t>Machine Return Line Valves</t>
  </si>
  <si>
    <t>Closed</t>
  </si>
  <si>
    <t>TF/MM</t>
  </si>
  <si>
    <t>A+R Sweeper Arm Rebuild</t>
  </si>
  <si>
    <t>AEI/Trek</t>
  </si>
  <si>
    <t>Prototype Burn In Enclosure</t>
  </si>
  <si>
    <t>Wrapper HMI Duplication</t>
  </si>
  <si>
    <t>Can Filler Door</t>
  </si>
  <si>
    <t>Q0TD0312-1</t>
  </si>
  <si>
    <t>Flow Panel</t>
  </si>
  <si>
    <t>QCMP040121</t>
  </si>
  <si>
    <t>Filter Screens Gooding Tower</t>
  </si>
  <si>
    <t>QOTD041621-1</t>
  </si>
  <si>
    <t>Railing</t>
  </si>
  <si>
    <t>Software Support</t>
  </si>
  <si>
    <t>Novolex</t>
  </si>
  <si>
    <t>Unloader Bagging Station</t>
  </si>
  <si>
    <t>Panels - Main, Radio and Drive - DeWatering Project</t>
  </si>
  <si>
    <t>4 - Mott's Ozone Units</t>
  </si>
  <si>
    <t>BB</t>
  </si>
  <si>
    <t>BOM Creator</t>
  </si>
  <si>
    <t>Batching System Software Dev</t>
  </si>
  <si>
    <t>PLC 5 Upgrade CS3</t>
  </si>
  <si>
    <t>Tote Batching Skid</t>
  </si>
  <si>
    <t>MP</t>
  </si>
  <si>
    <t>CIP Panel</t>
  </si>
  <si>
    <t>QOTD032621</t>
  </si>
  <si>
    <t>Cardinal</t>
  </si>
  <si>
    <t>Hydrolic Tank Repair</t>
  </si>
  <si>
    <t>MP/MM</t>
  </si>
  <si>
    <t>Tanks/Racks</t>
  </si>
  <si>
    <t>GF</t>
  </si>
  <si>
    <t>Evaluation of Containment Phasel</t>
  </si>
  <si>
    <t>Die Press Control Panel</t>
  </si>
  <si>
    <t>PO#11247</t>
  </si>
  <si>
    <t>TJF</t>
  </si>
  <si>
    <t>Control Panel w/VFD</t>
  </si>
  <si>
    <t>QETS022621-1</t>
  </si>
  <si>
    <t>Nature's Fynd Yodelay</t>
  </si>
  <si>
    <t>Yodelay Filler Hood</t>
  </si>
  <si>
    <t>QNFD062321</t>
  </si>
  <si>
    <t>Ed/CF</t>
  </si>
  <si>
    <t>Homogenizer Repair</t>
  </si>
  <si>
    <t>Piping Quote</t>
  </si>
  <si>
    <t xml:space="preserve">Gaurd Doors </t>
  </si>
  <si>
    <t>PCS Bench Enclosure</t>
  </si>
  <si>
    <t>Rosemont Lvl Switch + Engineering</t>
  </si>
  <si>
    <t>Lyndonville Bottling Tanks P&amp;ID</t>
  </si>
  <si>
    <t>Cleaning Knife &amp; Gaurding</t>
  </si>
  <si>
    <t>QM2K071621</t>
  </si>
  <si>
    <t>Linden Water Ingress Evaluation</t>
  </si>
  <si>
    <t>Media Room Phase II B</t>
  </si>
  <si>
    <t>St. Gobain</t>
  </si>
  <si>
    <t>Goating Removal Pre Eng</t>
  </si>
  <si>
    <t>QSBG062821</t>
  </si>
  <si>
    <t>Control Panel Fox Tox</t>
  </si>
  <si>
    <t>QETS061521</t>
  </si>
  <si>
    <t>Bob</t>
  </si>
  <si>
    <t>Auger Repair Mi----</t>
  </si>
  <si>
    <t>7091 S Hydrolic Resevoir</t>
  </si>
  <si>
    <t>QCAR072121</t>
  </si>
  <si>
    <t>CP</t>
  </si>
  <si>
    <t>Trending PLC @ Yellowjacket Sites</t>
  </si>
  <si>
    <t>QBRT060221</t>
  </si>
  <si>
    <t>Case Reject Line Modifications</t>
  </si>
  <si>
    <t>QOTD072221</t>
  </si>
  <si>
    <t>Orifice Plates</t>
  </si>
  <si>
    <t>QACE072621</t>
  </si>
  <si>
    <t>Wireless Mesh Network</t>
  </si>
  <si>
    <t>Linden Water Remediation</t>
  </si>
  <si>
    <t>RSA CIP Skid</t>
  </si>
  <si>
    <t>Aries Kearny P&amp;ID Review</t>
  </si>
  <si>
    <t>Kraft</t>
  </si>
  <si>
    <t>Cardboard Bailer</t>
  </si>
  <si>
    <t>Uncoiler</t>
  </si>
  <si>
    <t>SGB Certainteed</t>
  </si>
  <si>
    <t>Picket Puller Panels</t>
  </si>
  <si>
    <t>CINT SCCR Upgrade</t>
  </si>
  <si>
    <t>QNFD8162021</t>
  </si>
  <si>
    <t>Qualitrol</t>
  </si>
  <si>
    <t>Install of Test Racks</t>
  </si>
  <si>
    <t>QQTH060721</t>
  </si>
  <si>
    <t>Robotic Packer Parts</t>
  </si>
  <si>
    <t>Integrate and Startup</t>
  </si>
  <si>
    <t>Dunkaroo General Mills</t>
  </si>
  <si>
    <t>Fermenter Rebuild</t>
  </si>
  <si>
    <t>Filler Valve Replacement</t>
  </si>
  <si>
    <t>QNFD091621-Rev1</t>
  </si>
  <si>
    <t>Onsite RS</t>
  </si>
  <si>
    <t>4 Port Flow Panel</t>
  </si>
  <si>
    <t>NE/JT</t>
  </si>
  <si>
    <t>Moley</t>
  </si>
  <si>
    <t>Remote PuMP Control parts+eng</t>
  </si>
  <si>
    <t>Robotic Arm Eng Tooling</t>
  </si>
  <si>
    <t>Slip Sheet hift assembly</t>
  </si>
  <si>
    <t>Waste Water</t>
  </si>
  <si>
    <t>Canandagua Winery</t>
  </si>
  <si>
    <t>Blender Room Controls</t>
  </si>
  <si>
    <t>Vacuum Panel Build</t>
  </si>
  <si>
    <t>QSGBB082021</t>
  </si>
  <si>
    <t>Eoat Tubing Design + Build</t>
  </si>
  <si>
    <t>Retort Work Platform and Stair Case #2</t>
  </si>
  <si>
    <t>Yogurt and Cream Cheese Cedars Install</t>
  </si>
  <si>
    <t>JT/BB</t>
  </si>
  <si>
    <t>Linden Startup</t>
  </si>
  <si>
    <t>Mercury Cabinet Engineering</t>
  </si>
  <si>
    <t>Mercury Prototype Cabinet</t>
  </si>
  <si>
    <t>Rotary Filler Lower Frame Only</t>
  </si>
  <si>
    <t>RSA090221</t>
  </si>
  <si>
    <t>PCS Enclosure - 2</t>
  </si>
  <si>
    <t>AMFEC Blender</t>
  </si>
  <si>
    <t>Osgood Laner Converyor Controls</t>
  </si>
  <si>
    <t>Xerox</t>
  </si>
  <si>
    <t>W216 Blender Additive Feeder</t>
  </si>
  <si>
    <t>50, 50%</t>
  </si>
  <si>
    <t>4/13, 10/13</t>
  </si>
  <si>
    <t>JT/MP</t>
  </si>
  <si>
    <t>PCC HMI Devleopment</t>
  </si>
  <si>
    <t>Truck Parking Lot Expansion</t>
  </si>
  <si>
    <t>3" 4-port flow panel</t>
  </si>
  <si>
    <t>Barcode Scanner</t>
  </si>
  <si>
    <t>Meter and Piping Upgrade</t>
  </si>
  <si>
    <t>G500 Meter Upgrades</t>
  </si>
  <si>
    <t>QBMK070721Rev1</t>
  </si>
  <si>
    <t>MP/RS</t>
  </si>
  <si>
    <t>Stack tank Safety Stair Add</t>
  </si>
  <si>
    <t>Q080321RevC</t>
  </si>
  <si>
    <t>MP/CF</t>
  </si>
  <si>
    <t>Rental</t>
  </si>
  <si>
    <t>2022 Roch Tech Ozone Units</t>
  </si>
  <si>
    <t>Denkavit</t>
  </si>
  <si>
    <t>2022 Ozone Unit</t>
  </si>
  <si>
    <t>Rochester Midland</t>
  </si>
  <si>
    <t>Kalsec Homogenizer</t>
  </si>
  <si>
    <t>North Exit ???</t>
  </si>
  <si>
    <t>CP1</t>
  </si>
  <si>
    <t>21-1202 Build Assembly</t>
  </si>
  <si>
    <t>2-Platform palletizer</t>
  </si>
  <si>
    <t>Q080621</t>
  </si>
  <si>
    <t>Weld Cell</t>
  </si>
  <si>
    <t>Press 6 recontrol</t>
  </si>
  <si>
    <t>Bob/RSJ</t>
  </si>
  <si>
    <t>Cell 9 N/O Step Feeders</t>
  </si>
  <si>
    <t>TX Steel Mill Enclosures</t>
  </si>
  <si>
    <t>Bottle and Cap Detection</t>
  </si>
  <si>
    <t>Valve replacements 2</t>
  </si>
  <si>
    <t>AMI Project</t>
  </si>
  <si>
    <t>Linden Startup 1/1/2022</t>
  </si>
  <si>
    <t>Pillars</t>
  </si>
  <si>
    <t>Parking Lot</t>
  </si>
  <si>
    <t>MP/TF</t>
  </si>
  <si>
    <t>New Belt 2 Axis</t>
  </si>
  <si>
    <t>RS/MP</t>
  </si>
  <si>
    <t>Install Table Top Conveyor</t>
  </si>
  <si>
    <t>Cardinal Trucking</t>
  </si>
  <si>
    <t>Build Steps</t>
  </si>
  <si>
    <t>48H150 Timing Gear</t>
  </si>
  <si>
    <t>Chemical Fill Station</t>
  </si>
  <si>
    <t>New Castle</t>
  </si>
  <si>
    <t>materials only</t>
  </si>
  <si>
    <t>-</t>
  </si>
  <si>
    <t>CC10 Battery Box Weld Cell</t>
  </si>
  <si>
    <t>10/18 re-invoiced with all line items</t>
  </si>
  <si>
    <t>Osgood Box Opener</t>
  </si>
  <si>
    <t>RS/JT</t>
  </si>
  <si>
    <t>Eng Labor</t>
  </si>
  <si>
    <t>Tree and Brass Remove w/calvent tile</t>
  </si>
  <si>
    <t>AMI Pole Mount</t>
  </si>
  <si>
    <t>3/18,5/20,10/14</t>
  </si>
  <si>
    <t>Natures Fynd Filler Plates</t>
  </si>
  <si>
    <t>CarqillCDL ??</t>
  </si>
  <si>
    <t>rebuild Ladder</t>
  </si>
  <si>
    <t>120 Panels ???</t>
  </si>
  <si>
    <t>3/18,5/25,10/14</t>
  </si>
  <si>
    <t>in full</t>
  </si>
  <si>
    <t>Cream ??? PuMP</t>
  </si>
  <si>
    <t>5/10, 12/23, 5/3/23</t>
  </si>
  <si>
    <t>Steam Ejector Nozzels</t>
  </si>
  <si>
    <t>UFD</t>
  </si>
  <si>
    <t>RSJ/NE</t>
  </si>
  <si>
    <t>??? Lines Control Cabinets</t>
  </si>
  <si>
    <t>Gator Bottling Gussets</t>
  </si>
  <si>
    <t>QOTD021122</t>
  </si>
  <si>
    <t>G500 Flowmeter Powerup</t>
  </si>
  <si>
    <t>3523A</t>
  </si>
  <si>
    <t>100 Panels new 2 PO's</t>
  </si>
  <si>
    <t>3/29,5/20,12/14</t>
  </si>
  <si>
    <t>Waukesha PuMP Trial</t>
  </si>
  <si>
    <t>St. Gobain Buffalo</t>
  </si>
  <si>
    <t>Line 7 Stacker</t>
  </si>
  <si>
    <t>Truck Clearance Stop</t>
  </si>
  <si>
    <t>Open</t>
  </si>
  <si>
    <t>Line 2 Converyor Gaurd</t>
  </si>
  <si>
    <t>MP/JT</t>
  </si>
  <si>
    <t>Painted Steel Junction Box</t>
  </si>
  <si>
    <t>TF/JT</t>
  </si>
  <si>
    <t>Saw Panels (6)</t>
  </si>
  <si>
    <t>3/25,7/1,12/2, 3/8/23</t>
  </si>
  <si>
    <t>Truck Safety Rails</t>
  </si>
  <si>
    <t>Canning Trip RS 4/17</t>
  </si>
  <si>
    <t>2022 Ozone</t>
  </si>
  <si>
    <t>TS-123 End Plate Line</t>
  </si>
  <si>
    <t>22 Framework agreement</t>
  </si>
  <si>
    <t>pouch seal testing cart</t>
  </si>
  <si>
    <t>Helios G300 Meter Install</t>
  </si>
  <si>
    <t>AP Relay Pole Mount ???</t>
  </si>
  <si>
    <t>QIBD041522 (2 PO's)</t>
  </si>
  <si>
    <t>Southwest</t>
  </si>
  <si>
    <t>Tote Tanks</t>
  </si>
  <si>
    <t>Control Panel</t>
  </si>
  <si>
    <t>Fermintation Hatch</t>
  </si>
  <si>
    <t>QUST020322</t>
  </si>
  <si>
    <t>Skagg rebuild Retor Crates</t>
  </si>
  <si>
    <t>OTD04222022</t>
  </si>
  <si>
    <t>NF Zach Gultz</t>
  </si>
  <si>
    <t>Sliverson Rebuild</t>
  </si>
  <si>
    <t>AMI Project - Brewster/Sodus</t>
  </si>
  <si>
    <t>Midland</t>
  </si>
  <si>
    <t>Latex transmitter</t>
  </si>
  <si>
    <t>MID05042022</t>
  </si>
  <si>
    <t>Marina  Vrossing PreEngineering</t>
  </si>
  <si>
    <t xml:space="preserve">never happened closed due to inactivity </t>
  </si>
  <si>
    <t>Hummas Filler</t>
  </si>
  <si>
    <t>Polyphasers</t>
  </si>
  <si>
    <t>Roller Turn Down</t>
  </si>
  <si>
    <t>QUST042222</t>
  </si>
  <si>
    <t>Swiss Valley Manlift Rental</t>
  </si>
  <si>
    <t>QBMK05052022C</t>
  </si>
  <si>
    <t>Swiss Valley Manure May Install</t>
  </si>
  <si>
    <t>QBMK05052022</t>
  </si>
  <si>
    <t>Boxler Manure May Install</t>
  </si>
  <si>
    <t>QBMK05052022B</t>
  </si>
  <si>
    <t>Disconnects and Enclosures</t>
  </si>
  <si>
    <t>12/7 &amp;10/21/2022</t>
  </si>
  <si>
    <t>Homogenizer PuMPs</t>
  </si>
  <si>
    <t>Monzeal Bagger Gaurds</t>
  </si>
  <si>
    <t>QOTD050922</t>
  </si>
  <si>
    <t>5/24, 12/2</t>
  </si>
  <si>
    <t>JT/MR</t>
  </si>
  <si>
    <t>Analog Card + Discovery Boxler Lamb</t>
  </si>
  <si>
    <t>QBMN0572022</t>
  </si>
  <si>
    <t>Antenna Brackets Arcadian</t>
  </si>
  <si>
    <t>Orange Robitic Line Start Up</t>
  </si>
  <si>
    <t xml:space="preserve">Base, A &amp; B </t>
  </si>
  <si>
    <t>`</t>
  </si>
  <si>
    <t>St. Marys Archers Club</t>
  </si>
  <si>
    <t>??? Stone</t>
  </si>
  <si>
    <t>Baldwin richardson</t>
  </si>
  <si>
    <t>Mitsubishi Programming</t>
  </si>
  <si>
    <t>NF Cedars Line/Engineering</t>
  </si>
  <si>
    <t>Ozone Rental</t>
  </si>
  <si>
    <t>JT/NE</t>
  </si>
  <si>
    <t>Onsite Service 6/13/22</t>
  </si>
  <si>
    <t>New Bulk Head Adapter - Upcoming Units 629</t>
  </si>
  <si>
    <t xml:space="preserve">Base &amp; A </t>
  </si>
  <si>
    <t>6 x 11 Port Flow Panles</t>
  </si>
  <si>
    <t>VFD Control Panel - Argentina</t>
  </si>
  <si>
    <t>7/1,10/11,5/12</t>
  </si>
  <si>
    <t>135pc  Antenna Mounts</t>
  </si>
  <si>
    <t>7/7 &amp; 11/16</t>
  </si>
  <si>
    <t>Ice Water Process Supply System</t>
  </si>
  <si>
    <t>QNFD060122</t>
  </si>
  <si>
    <t>Extras</t>
  </si>
  <si>
    <t>3 Antenna Assembly 3 AP Kits</t>
  </si>
  <si>
    <t>Header Only</t>
  </si>
  <si>
    <t>AMI Project 22 - 4 Locations A,B,C,D</t>
  </si>
  <si>
    <t>IRBY</t>
  </si>
  <si>
    <t>Pole Toppers</t>
  </si>
  <si>
    <t xml:space="preserve">Retort Cooling System </t>
  </si>
  <si>
    <t>30%, 35%,25%,10</t>
  </si>
  <si>
    <t>10/3/2022, 2/22/23,5/12/23, 9/18/24</t>
  </si>
  <si>
    <t>Cardboard CoMPactor</t>
  </si>
  <si>
    <t>PLC Control System</t>
  </si>
  <si>
    <t>Filler Parts</t>
  </si>
  <si>
    <t>Per RS</t>
  </si>
  <si>
    <t>9" Roll Cutter</t>
  </si>
  <si>
    <t>QDBR072722</t>
  </si>
  <si>
    <t>PuMP</t>
  </si>
  <si>
    <t>SAP - Brewsters Sodus</t>
  </si>
  <si>
    <t>8/16 &amp; 11/16</t>
  </si>
  <si>
    <t>TF/RSJ</t>
  </si>
  <si>
    <t>Processor 7</t>
  </si>
  <si>
    <t>PuMP Cart</t>
  </si>
  <si>
    <t>Stainless Totes</t>
  </si>
  <si>
    <t>RS/JH</t>
  </si>
  <si>
    <t>3 Flex Screens</t>
  </si>
  <si>
    <t>Modern Packaging Filler MP485</t>
  </si>
  <si>
    <t>Robot End Effector</t>
  </si>
  <si>
    <t>CIP 180 + 190 Panel</t>
  </si>
  <si>
    <t>C3 CIP Valve Panel and Software</t>
  </si>
  <si>
    <t>Builkhead - AMI</t>
  </si>
  <si>
    <t>9/15 &amp; 11/16</t>
  </si>
  <si>
    <t>V-38 Duplicate</t>
  </si>
  <si>
    <t>DA tank Platform</t>
  </si>
  <si>
    <t>120V Distribution for MCCs</t>
  </si>
  <si>
    <t>QACE090122</t>
  </si>
  <si>
    <t>Jay Eilts</t>
  </si>
  <si>
    <t>UofN Ozone</t>
  </si>
  <si>
    <t>Q0025</t>
  </si>
  <si>
    <t>11/18/2022 &amp; 4/5/23</t>
  </si>
  <si>
    <t>P1014</t>
  </si>
  <si>
    <t>Ampco Pump Defense</t>
  </si>
  <si>
    <t>PO 12/3</t>
  </si>
  <si>
    <t>TF/MM/JT</t>
  </si>
  <si>
    <t>Alvin Sennath</t>
  </si>
  <si>
    <t>Homogenizer Rebuild</t>
  </si>
  <si>
    <t>Quote needs to be generated</t>
  </si>
  <si>
    <t>went to cedars</t>
  </si>
  <si>
    <t xml:space="preserve">Romicon Recontrol - PLC and HMI Development </t>
  </si>
  <si>
    <t>QMZN082322revB and subA</t>
  </si>
  <si>
    <t>Chris Madlin</t>
  </si>
  <si>
    <t>16 Base Kits for pole toppers</t>
  </si>
  <si>
    <t>2/9/23 &amp; 10/10/2022</t>
  </si>
  <si>
    <t>Water Strainer Install</t>
  </si>
  <si>
    <t>T&amp;M</t>
  </si>
  <si>
    <t>TF/RS</t>
  </si>
  <si>
    <t>Rotary Valve - Powder Milk Line</t>
  </si>
  <si>
    <t>PO Request 11/3</t>
  </si>
  <si>
    <t>Wastewater Discharge Line</t>
  </si>
  <si>
    <t xml:space="preserve">Dan Arcangeli </t>
  </si>
  <si>
    <t>SAP Bing, Geneva, Canandaigua</t>
  </si>
  <si>
    <t>Q0005</t>
  </si>
  <si>
    <t>Bulkhead AMI</t>
  </si>
  <si>
    <t>Q0027</t>
  </si>
  <si>
    <t>Ryan Black</t>
  </si>
  <si>
    <t>Upload program and load spare unit</t>
  </si>
  <si>
    <t>Panevita (RDSI)</t>
  </si>
  <si>
    <t>Jim Reynolds</t>
  </si>
  <si>
    <t>Load Panelview 1400 HMI</t>
  </si>
  <si>
    <t>Rent</t>
  </si>
  <si>
    <t>Mike Myers</t>
  </si>
  <si>
    <t>Risers for Retort Line</t>
  </si>
  <si>
    <t>George Hess</t>
  </si>
  <si>
    <t>Boxler Flare Upgrades</t>
  </si>
  <si>
    <t xml:space="preserve">QBMK112222 </t>
  </si>
  <si>
    <t>35%,65%</t>
  </si>
  <si>
    <t>12/16/2022 &amp; 5/12/23</t>
  </si>
  <si>
    <t>CIP Pump Cart</t>
  </si>
  <si>
    <t>Alex Grady</t>
  </si>
  <si>
    <t>ABR Linear Shafts</t>
  </si>
  <si>
    <t xml:space="preserve"> Mechanicville  201 Kits</t>
  </si>
  <si>
    <t>40,35,25</t>
  </si>
  <si>
    <t>5/4/2023,7/13, 1/25/24</t>
  </si>
  <si>
    <t>Paradigm</t>
  </si>
  <si>
    <t>Brad Arthur</t>
  </si>
  <si>
    <t xml:space="preserve">Guarding Design </t>
  </si>
  <si>
    <t>e-mail</t>
  </si>
  <si>
    <t>Inv 1st trip</t>
  </si>
  <si>
    <t>HYDROGROW</t>
  </si>
  <si>
    <t>RICK STACEY</t>
  </si>
  <si>
    <t>PRE-ROLL FILLER</t>
  </si>
  <si>
    <t>NONE</t>
  </si>
  <si>
    <t xml:space="preserve">Topping HMI Panel Rebuild </t>
  </si>
  <si>
    <t>3289D</t>
  </si>
  <si>
    <t>HydroGrow - 2025</t>
  </si>
  <si>
    <t>3358W</t>
  </si>
  <si>
    <t>Ozone Warranty Work</t>
  </si>
  <si>
    <t>3435C</t>
  </si>
  <si>
    <t>RSJ/JW</t>
  </si>
  <si>
    <t>St.Gobain</t>
  </si>
  <si>
    <t>Repair &amp; Service of Robot</t>
  </si>
  <si>
    <t>3464A</t>
  </si>
  <si>
    <t>JT / TF</t>
  </si>
  <si>
    <t>Change order and credit</t>
  </si>
  <si>
    <t>3467D</t>
  </si>
  <si>
    <t>Production Work on Yogurt/CC Line</t>
  </si>
  <si>
    <t>3470A</t>
  </si>
  <si>
    <t>30" Cabinet Final Work</t>
  </si>
  <si>
    <t>8/24 &amp; 11/16 &amp; 12/9</t>
  </si>
  <si>
    <t xml:space="preserve">3501A </t>
  </si>
  <si>
    <t>Change Order Macron</t>
  </si>
  <si>
    <t>3506A</t>
  </si>
  <si>
    <t>Eng for plant boiler piping</t>
  </si>
  <si>
    <t>6/28, 10/14</t>
  </si>
  <si>
    <t>Plus RSA Eng Time</t>
  </si>
  <si>
    <t>3506B</t>
  </si>
  <si>
    <t>Kitchen Steam</t>
  </si>
  <si>
    <t>3506C</t>
  </si>
  <si>
    <t>Culinary Steam</t>
  </si>
  <si>
    <t>3506D</t>
  </si>
  <si>
    <t>Add Eng &amp; Site Visits</t>
  </si>
  <si>
    <t>Inv to date</t>
  </si>
  <si>
    <t>still in progress</t>
  </si>
  <si>
    <t xml:space="preserve">3515A </t>
  </si>
  <si>
    <t>Extra work</t>
  </si>
  <si>
    <t>What are we doing?</t>
  </si>
  <si>
    <t>3523H</t>
  </si>
  <si>
    <t>Rexel</t>
  </si>
  <si>
    <t>Rework of Hoffman Custom Cabinets</t>
  </si>
  <si>
    <t>3529A</t>
  </si>
  <si>
    <t>Chg for Install of panels</t>
  </si>
  <si>
    <t xml:space="preserve">3533A </t>
  </si>
  <si>
    <t>Eng Services</t>
  </si>
  <si>
    <t>3533B</t>
  </si>
  <si>
    <t>Light Curtian Relay</t>
  </si>
  <si>
    <t xml:space="preserve">3535A </t>
  </si>
  <si>
    <t>Changes to Pouch Seal Testing Cart</t>
  </si>
  <si>
    <t>3536A</t>
  </si>
  <si>
    <t>HART Change Order</t>
  </si>
  <si>
    <t>3544A</t>
  </si>
  <si>
    <t>364 Brewster</t>
  </si>
  <si>
    <t>5, 7 11</t>
  </si>
  <si>
    <t>3544E</t>
  </si>
  <si>
    <t>33 Relay Kits</t>
  </si>
  <si>
    <t>3562B</t>
  </si>
  <si>
    <t>Cedars for Nature's Fynd</t>
  </si>
  <si>
    <t>Safety for Kettles</t>
  </si>
  <si>
    <t>3562C</t>
  </si>
  <si>
    <t>Disconnect Panel &amp; Add Components</t>
  </si>
  <si>
    <t>3568A</t>
  </si>
  <si>
    <t>80pc Antenna Mounts</t>
  </si>
  <si>
    <t>3570B</t>
  </si>
  <si>
    <t>August  Extras</t>
  </si>
  <si>
    <t>3570C</t>
  </si>
  <si>
    <t>Sep, Oct, Nov Extras</t>
  </si>
  <si>
    <t>3570CC</t>
  </si>
  <si>
    <t>Sep - Dec Extras</t>
  </si>
  <si>
    <t>3570D DD</t>
  </si>
  <si>
    <t>Jan-April Extras</t>
  </si>
  <si>
    <t>3570E</t>
  </si>
  <si>
    <t>May Extras</t>
  </si>
  <si>
    <t>3572A</t>
  </si>
  <si>
    <t>124pc Shortsville Canandaigua</t>
  </si>
  <si>
    <t>7/1 &amp; 12/9</t>
  </si>
  <si>
    <t>3572B</t>
  </si>
  <si>
    <t>Binghamton 397</t>
  </si>
  <si>
    <t>7/20 &amp; 11/16 &amp; 12/9</t>
  </si>
  <si>
    <t>3572BB</t>
  </si>
  <si>
    <t>Geneva 378pc</t>
  </si>
  <si>
    <t>3572C</t>
  </si>
  <si>
    <t>same po</t>
  </si>
  <si>
    <t>196pc Stuben / Hornell</t>
  </si>
  <si>
    <t>40% &amp; 60%</t>
  </si>
  <si>
    <t>3572D</t>
  </si>
  <si>
    <t>253 Sullivan / Liberty</t>
  </si>
  <si>
    <t>40% &amp; 35%</t>
  </si>
  <si>
    <t>11/16/2022 &amp; 2/28/23</t>
  </si>
  <si>
    <t>3572E</t>
  </si>
  <si>
    <t>48 add kits for Hornell Liberty</t>
  </si>
  <si>
    <t>3572EE</t>
  </si>
  <si>
    <t>Add Hornell Kits</t>
  </si>
  <si>
    <t xml:space="preserve">3572F </t>
  </si>
  <si>
    <t>16 AP &amp; 70 Relay Kits Fillmore</t>
  </si>
  <si>
    <t>4/7, 5/16</t>
  </si>
  <si>
    <t xml:space="preserve">3572G </t>
  </si>
  <si>
    <t>Elmira 45AP &amp; 228 Relay Kits</t>
  </si>
  <si>
    <t>5/4,5/16,7/13</t>
  </si>
  <si>
    <t>3572H</t>
  </si>
  <si>
    <t>Plattsburgh 22 ap &amp; 271 Relay Kits</t>
  </si>
  <si>
    <t>75%, 25%</t>
  </si>
  <si>
    <t>10/6/2023, 11/28/23</t>
  </si>
  <si>
    <t>3572J</t>
  </si>
  <si>
    <t>Lancaster 116 AP &amp; 335 Relay</t>
  </si>
  <si>
    <t>40%, 60%</t>
  </si>
  <si>
    <t>7/13/2023, 11/29/23</t>
  </si>
  <si>
    <t>3572K</t>
  </si>
  <si>
    <t xml:space="preserve">Auburn 25 AP &amp; 125 Relay </t>
  </si>
  <si>
    <t>3572L</t>
  </si>
  <si>
    <t>Oneonta 50 ap &amp; 391 Relay</t>
  </si>
  <si>
    <t>3574A</t>
  </si>
  <si>
    <t>Vac System Change Order - HMI &amp; Vac Pump Starter Panel</t>
  </si>
  <si>
    <t>3574B</t>
  </si>
  <si>
    <t>Retort Side Change Order - Cabinet Rework &amp; Potential Safety</t>
  </si>
  <si>
    <t>3574D</t>
  </si>
  <si>
    <t>3576A</t>
  </si>
  <si>
    <t>Globe Lights and M-Stops for New Castle</t>
  </si>
  <si>
    <t>3576B</t>
  </si>
  <si>
    <t>Hardware and Engineering for Chem Pumps</t>
  </si>
  <si>
    <t>3576C</t>
  </si>
  <si>
    <t xml:space="preserve">Louver Control Cabinet </t>
  </si>
  <si>
    <t>3576D</t>
  </si>
  <si>
    <t>NE/MM</t>
  </si>
  <si>
    <t>6 MCV Integration</t>
  </si>
  <si>
    <t>3579A</t>
  </si>
  <si>
    <t>2nd Roll Cutter</t>
  </si>
  <si>
    <t>3581A</t>
  </si>
  <si>
    <t>3582A</t>
  </si>
  <si>
    <t>JT/RSJ</t>
  </si>
  <si>
    <t>Processor 7 Phase 2 - All work after: TBD</t>
  </si>
  <si>
    <t>3582B</t>
  </si>
  <si>
    <t>JT / RDS JR</t>
  </si>
  <si>
    <t xml:space="preserve">Cedars  </t>
  </si>
  <si>
    <t>Engineering Support for Processor 7</t>
  </si>
  <si>
    <t>3590A</t>
  </si>
  <si>
    <t>Panel Eng &amp; Fab</t>
  </si>
  <si>
    <t>12/1/2022 &amp; 2/17/23 &amp; 4/28</t>
  </si>
  <si>
    <t xml:space="preserve">3594C </t>
  </si>
  <si>
    <t>Pecision Process</t>
  </si>
  <si>
    <t>Added Panel 4/24</t>
  </si>
  <si>
    <t>3594D</t>
  </si>
  <si>
    <t>PLC Upgrade to 1756-L83ES</t>
  </si>
  <si>
    <t>never happened closed</t>
  </si>
  <si>
    <t>3598A</t>
  </si>
  <si>
    <t>Romicon Recontrol - Materials PLC and HMI Development</t>
  </si>
  <si>
    <t>See above</t>
  </si>
  <si>
    <t>50%&amp;50%</t>
  </si>
  <si>
    <t>9/5/23 &amp; 12/15/2022</t>
  </si>
  <si>
    <t>3598B</t>
  </si>
  <si>
    <t>Romicon Recontrol - Eng PLC and HMI Development</t>
  </si>
  <si>
    <t>12/15/2022            7 2/16/23</t>
  </si>
  <si>
    <t>3598C</t>
  </si>
  <si>
    <t>Romicon Recontrol - Materials PO To Come</t>
  </si>
  <si>
    <t>3598D</t>
  </si>
  <si>
    <t xml:space="preserve">JT   </t>
  </si>
  <si>
    <t xml:space="preserve">Controls Eng Romicon </t>
  </si>
  <si>
    <t>3598E</t>
  </si>
  <si>
    <t>Expiditing fees for input cards and HMI</t>
  </si>
  <si>
    <t>Q3598A</t>
  </si>
  <si>
    <t>3598F</t>
  </si>
  <si>
    <t>Romicon Recontrol - Instalation Services</t>
  </si>
  <si>
    <t>3598G</t>
  </si>
  <si>
    <t>Indicator Lights &amp; Install</t>
  </si>
  <si>
    <t>3598H</t>
  </si>
  <si>
    <t>Romicon Turbidity Meter Install</t>
  </si>
  <si>
    <t>3603A</t>
  </si>
  <si>
    <t>SAP Geneva 13 Kits</t>
  </si>
  <si>
    <t>3603B</t>
  </si>
  <si>
    <t>SAP Binghamton 47 Kits</t>
  </si>
  <si>
    <t>11/17/2022 &amp; 12/9/22</t>
  </si>
  <si>
    <t>3603BB</t>
  </si>
  <si>
    <t>SAP Binghamton 12 Kits</t>
  </si>
  <si>
    <t>3603B-ECO1</t>
  </si>
  <si>
    <t>3603BC</t>
  </si>
  <si>
    <t>Chg 2 - 11 SAP &amp; 7 Antenna Assy</t>
  </si>
  <si>
    <t>3603-ECO2</t>
  </si>
  <si>
    <t>3603C</t>
  </si>
  <si>
    <t>SAP Canandaigua 7 Kits</t>
  </si>
  <si>
    <t>3603D</t>
  </si>
  <si>
    <t>69 SAP Hornell</t>
  </si>
  <si>
    <t>3603E</t>
  </si>
  <si>
    <t>40 SAP Liberty</t>
  </si>
  <si>
    <t>40%,35%</t>
  </si>
  <si>
    <t>3603F</t>
  </si>
  <si>
    <t>24 SAP Fillmore</t>
  </si>
  <si>
    <t>3603G</t>
  </si>
  <si>
    <t>3 SAP Liberty antennas</t>
  </si>
  <si>
    <t>3603H</t>
  </si>
  <si>
    <t>24 SAP Mechanicville</t>
  </si>
  <si>
    <t>7/14/2023 &amp; 1/25/24</t>
  </si>
  <si>
    <t>3603J</t>
  </si>
  <si>
    <t>31 SAP Plattsburgh</t>
  </si>
  <si>
    <t>1/25/2024, 1/16/25</t>
  </si>
  <si>
    <t xml:space="preserve">3603K </t>
  </si>
  <si>
    <t>101 SAP Oneonta</t>
  </si>
  <si>
    <t>3603L</t>
  </si>
  <si>
    <t>33 SAP Elmira</t>
  </si>
  <si>
    <t>3603M</t>
  </si>
  <si>
    <t>22 SAP Lancaster</t>
  </si>
  <si>
    <t>7/14/2023, 11/29/23</t>
  </si>
  <si>
    <t>3605A</t>
  </si>
  <si>
    <t>11/14/2022 &amp; 12/13/22</t>
  </si>
  <si>
    <t>3605B</t>
  </si>
  <si>
    <t>3610A</t>
  </si>
  <si>
    <t>Tyler D</t>
  </si>
  <si>
    <t>Fork Lift Rental</t>
  </si>
  <si>
    <t>3610B</t>
  </si>
  <si>
    <t>JT/KR</t>
  </si>
  <si>
    <t>ECO2 - Flare Head Redesign</t>
  </si>
  <si>
    <t>3610C</t>
  </si>
  <si>
    <t>ECO3 - Emergency Flare Service Outside of Scope</t>
  </si>
  <si>
    <t>3610D</t>
  </si>
  <si>
    <t>ECO1 - Additional Controls Hardware and Labor Costs</t>
  </si>
  <si>
    <t>3610E</t>
  </si>
  <si>
    <t>ECO4 - Wireless Antennas Install and Labor</t>
  </si>
  <si>
    <t xml:space="preserve">3613A </t>
  </si>
  <si>
    <t>Lockport 40 kits</t>
  </si>
  <si>
    <t>3/17/2023,5/4,5/16</t>
  </si>
  <si>
    <t>E3616</t>
  </si>
  <si>
    <t>EXTRA CIP SKID BUILD</t>
  </si>
  <si>
    <t>E3617</t>
  </si>
  <si>
    <t>KR/MM</t>
  </si>
  <si>
    <t xml:space="preserve">Waste Water Filter House </t>
  </si>
  <si>
    <t>E3618</t>
  </si>
  <si>
    <t xml:space="preserve">Andrey Svintozelsky </t>
  </si>
  <si>
    <t>CIP Skid Meter Swap</t>
  </si>
  <si>
    <t>Q0033</t>
  </si>
  <si>
    <t>E3619</t>
  </si>
  <si>
    <t>Wireless Antennas Integration</t>
  </si>
  <si>
    <t>Q0035</t>
  </si>
  <si>
    <t>50, 50</t>
  </si>
  <si>
    <t>5/12/2023, 12/6/23</t>
  </si>
  <si>
    <t>E3619A</t>
  </si>
  <si>
    <t>PanelView Freezing Service</t>
  </si>
  <si>
    <t>E3620</t>
  </si>
  <si>
    <t>UNC DAIRY</t>
  </si>
  <si>
    <t>OLEG STEZHERINSKIY</t>
  </si>
  <si>
    <t>EXHAUST FAN VENTILATION</t>
  </si>
  <si>
    <t xml:space="preserve">Not Awarded </t>
  </si>
  <si>
    <t>E3621</t>
  </si>
  <si>
    <t>BAND SAW BLADE JIG</t>
  </si>
  <si>
    <t>OPEN</t>
  </si>
  <si>
    <t>E3622</t>
  </si>
  <si>
    <t>KR/RS</t>
  </si>
  <si>
    <t>600 GAL KETTLE PROOJECT</t>
  </si>
  <si>
    <t>E3623</t>
  </si>
  <si>
    <t>JW/KR</t>
  </si>
  <si>
    <t>ROBOT CONVEYOR PROJECT</t>
  </si>
  <si>
    <t>Q0018</t>
  </si>
  <si>
    <t>E3624</t>
  </si>
  <si>
    <t>Process Automation Inc.</t>
  </si>
  <si>
    <t>Chris Freise/Scott Carlson</t>
  </si>
  <si>
    <t>Soap Pumps</t>
  </si>
  <si>
    <t>RSA012423-0216</t>
  </si>
  <si>
    <t>E3625</t>
  </si>
  <si>
    <t>MM/RS</t>
  </si>
  <si>
    <t>Pump Covers</t>
  </si>
  <si>
    <t>E3626</t>
  </si>
  <si>
    <t>DAVID</t>
  </si>
  <si>
    <t>SWEETWORKS</t>
  </si>
  <si>
    <t>CURT WALBY</t>
  </si>
  <si>
    <t>JENSEN STARTUP/AXIS CONTROLLER</t>
  </si>
  <si>
    <t>E3627</t>
  </si>
  <si>
    <t>Gerdau Round 2</t>
  </si>
  <si>
    <t>QETS091222</t>
  </si>
  <si>
    <t>5/8, 8/16,10/6</t>
  </si>
  <si>
    <t>E3628</t>
  </si>
  <si>
    <t>Alan Walodyka</t>
  </si>
  <si>
    <t>Cheesecake Vacuum EOAT</t>
  </si>
  <si>
    <t>E3629</t>
  </si>
  <si>
    <t>Zach</t>
  </si>
  <si>
    <t>Filler Storage</t>
  </si>
  <si>
    <t>E3630</t>
  </si>
  <si>
    <t>Edgar Garcia</t>
  </si>
  <si>
    <t>3rd Soap Pump</t>
  </si>
  <si>
    <t>E3631</t>
  </si>
  <si>
    <t>Graybar</t>
  </si>
  <si>
    <t>Ron Wolniak</t>
  </si>
  <si>
    <t>Q0056</t>
  </si>
  <si>
    <t>E3632</t>
  </si>
  <si>
    <t>Bulkheads AMI</t>
  </si>
  <si>
    <t>Q0062</t>
  </si>
  <si>
    <t>2/28/2023 &amp; 5/4/23</t>
  </si>
  <si>
    <t>E3632A</t>
  </si>
  <si>
    <t>Bulk AMI po #2</t>
  </si>
  <si>
    <t>E3633</t>
  </si>
  <si>
    <t>Palletizer Saftey Interlock</t>
  </si>
  <si>
    <t>E3634</t>
  </si>
  <si>
    <t>Q0066</t>
  </si>
  <si>
    <t>E3635</t>
  </si>
  <si>
    <t>John Moley / John Karcz</t>
  </si>
  <si>
    <t>Imerys Emergency PLC/HMI Replacement</t>
  </si>
  <si>
    <t>E3636</t>
  </si>
  <si>
    <t>Alexander Kinney / Oleg</t>
  </si>
  <si>
    <t>Resin printed flap guides</t>
  </si>
  <si>
    <t>E3637</t>
  </si>
  <si>
    <t>Pipe repair</t>
  </si>
  <si>
    <t>E3638</t>
  </si>
  <si>
    <t>Phinney Tool and Die</t>
  </si>
  <si>
    <t>Cliff Fuller / Miguel Garcia</t>
  </si>
  <si>
    <t>TS-122 Second Press Remote Work for Rheem</t>
  </si>
  <si>
    <t>Q0065</t>
  </si>
  <si>
    <t>Alkegen</t>
  </si>
  <si>
    <t>Bob Taubman</t>
  </si>
  <si>
    <t>2 Door Guarding</t>
  </si>
  <si>
    <t>E3640</t>
  </si>
  <si>
    <t>CF/TS</t>
  </si>
  <si>
    <t>1 Ozone Unit</t>
  </si>
  <si>
    <t>E3641</t>
  </si>
  <si>
    <t>Pipe repair - 2PCS</t>
  </si>
  <si>
    <t>E3642</t>
  </si>
  <si>
    <t>RS/JT/MM</t>
  </si>
  <si>
    <t>50 Foundation Processor 1 Upgrades</t>
  </si>
  <si>
    <t>E3643</t>
  </si>
  <si>
    <t>Cook Station Raw Material Delivery Upgrade</t>
  </si>
  <si>
    <t>Q0073</t>
  </si>
  <si>
    <t>E3644</t>
  </si>
  <si>
    <t>Q0075</t>
  </si>
  <si>
    <t>5/4 &amp; 5/12 &amp;5/24</t>
  </si>
  <si>
    <t>E3644A</t>
  </si>
  <si>
    <t xml:space="preserve">JT  </t>
  </si>
  <si>
    <t>Repalcement Door</t>
  </si>
  <si>
    <t>E3644B</t>
  </si>
  <si>
    <t>Electrical Updates</t>
  </si>
  <si>
    <t>E3645</t>
  </si>
  <si>
    <t>Gareth Ingleton</t>
  </si>
  <si>
    <t>Pour Stacking Rework</t>
  </si>
  <si>
    <t>Q0036</t>
  </si>
  <si>
    <t>E3646</t>
  </si>
  <si>
    <t>Q0023</t>
  </si>
  <si>
    <t>4/7/2023, 5/16</t>
  </si>
  <si>
    <t>E3646A</t>
  </si>
  <si>
    <t>KR/TF</t>
  </si>
  <si>
    <t>Change Order for Conveyor Guide and Associated Parts</t>
  </si>
  <si>
    <t>E3647</t>
  </si>
  <si>
    <t>TF/SD</t>
  </si>
  <si>
    <t>Molly</t>
  </si>
  <si>
    <t>Pump Mixer connection</t>
  </si>
  <si>
    <t>E3648</t>
  </si>
  <si>
    <t>E3649</t>
  </si>
  <si>
    <t>Tray Welding</t>
  </si>
  <si>
    <t>Inv June, July,sept,oct,dec</t>
  </si>
  <si>
    <t>E3650</t>
  </si>
  <si>
    <t>Tray &amp; Cover Engineering</t>
  </si>
  <si>
    <t>E3651</t>
  </si>
  <si>
    <t>TF/JW</t>
  </si>
  <si>
    <t>Q0048</t>
  </si>
  <si>
    <t>4/3/2023 &amp; 5/30/23 &amp; 7/7/23</t>
  </si>
  <si>
    <t>E3652</t>
  </si>
  <si>
    <t>SS Tube repair - 3PCS</t>
  </si>
  <si>
    <t>E3653</t>
  </si>
  <si>
    <t>Jacob Wingate</t>
  </si>
  <si>
    <t>N95 Nose Clip Cell Reverse Engineering</t>
  </si>
  <si>
    <t>E3654</t>
  </si>
  <si>
    <t>Callie Bailey-Wickins</t>
  </si>
  <si>
    <t>E3655</t>
  </si>
  <si>
    <t>Krog Group</t>
  </si>
  <si>
    <t>Pat Sheedy</t>
  </si>
  <si>
    <t>Shear Tonnage Calculation T&amp;M</t>
  </si>
  <si>
    <t>E3656</t>
  </si>
  <si>
    <t>Tom Fessenden</t>
  </si>
  <si>
    <t>Coater Guarding</t>
  </si>
  <si>
    <t>Q0014</t>
  </si>
  <si>
    <t>4/13/2023, 7/7/23,2/8/24</t>
  </si>
  <si>
    <t>E3657</t>
  </si>
  <si>
    <t>CE-006-002i-C-24</t>
  </si>
  <si>
    <t>Q0069</t>
  </si>
  <si>
    <t>8/7/2023, 8/29/23</t>
  </si>
  <si>
    <t>E3657A</t>
  </si>
  <si>
    <t>8/7/2023,8/29/23</t>
  </si>
  <si>
    <t>E3657B</t>
  </si>
  <si>
    <t>E3657C</t>
  </si>
  <si>
    <t>E3658</t>
  </si>
  <si>
    <t>Ozone Unit</t>
  </si>
  <si>
    <t>E3659</t>
  </si>
  <si>
    <t>Ozone Unit 23</t>
  </si>
  <si>
    <t>E3660</t>
  </si>
  <si>
    <t>Ozone Unit 23 2 units</t>
  </si>
  <si>
    <t>E3661</t>
  </si>
  <si>
    <t>CertianTeed</t>
  </si>
  <si>
    <t>Dump Rack for Line 8</t>
  </si>
  <si>
    <t>E3662</t>
  </si>
  <si>
    <t>MOTOR MOUNTS FOR SHEAR PUMP</t>
  </si>
  <si>
    <t xml:space="preserve">Open </t>
  </si>
  <si>
    <t>yes</t>
  </si>
  <si>
    <t>E3663</t>
  </si>
  <si>
    <t>RSA Standard Form CIP Skid</t>
  </si>
  <si>
    <t>E3664</t>
  </si>
  <si>
    <t>Plating Line Installation Services</t>
  </si>
  <si>
    <t>Y</t>
  </si>
  <si>
    <t>E3665</t>
  </si>
  <si>
    <t>AXIFLOW PUMP MOD.</t>
  </si>
  <si>
    <t>e</t>
  </si>
  <si>
    <t>PUMP MODIFICATION</t>
  </si>
  <si>
    <t>E3666</t>
  </si>
  <si>
    <t xml:space="preserve">RSJ </t>
  </si>
  <si>
    <t>Li Destri Foods</t>
  </si>
  <si>
    <t>HPP Labeler</t>
  </si>
  <si>
    <t>E3667</t>
  </si>
  <si>
    <t>End Plate Line (TS121) Tags</t>
  </si>
  <si>
    <t>E3668</t>
  </si>
  <si>
    <t>Etch &amp; Rinse/Dry Line Controls</t>
  </si>
  <si>
    <t>4/28, 5/17,10/5,12/28</t>
  </si>
  <si>
    <t>E3669</t>
  </si>
  <si>
    <t>3493W</t>
  </si>
  <si>
    <t>Press 6 X-Axis Upgrade</t>
  </si>
  <si>
    <t>Q3493W</t>
  </si>
  <si>
    <t>E3670</t>
  </si>
  <si>
    <t>JT, RSJ</t>
  </si>
  <si>
    <t>QLDF04272023</t>
  </si>
  <si>
    <t>E3671</t>
  </si>
  <si>
    <t>QCED04272023</t>
  </si>
  <si>
    <t>E3672</t>
  </si>
  <si>
    <t>Motts Ozone Units 2023</t>
  </si>
  <si>
    <t>E3673</t>
  </si>
  <si>
    <t>150 gal &amp; 200 gal Kettle</t>
  </si>
  <si>
    <t>Q0093</t>
  </si>
  <si>
    <t>60%, 40</t>
  </si>
  <si>
    <t>5/12/2023, 10/2, 12/10/24</t>
  </si>
  <si>
    <t>E3673A</t>
  </si>
  <si>
    <t>RTD's</t>
  </si>
  <si>
    <t>E3674</t>
  </si>
  <si>
    <t>Vic Tifone</t>
  </si>
  <si>
    <t>E3675</t>
  </si>
  <si>
    <t>Sean Davenport</t>
  </si>
  <si>
    <t>2023 Mizkan Rental</t>
  </si>
  <si>
    <t>E3676</t>
  </si>
  <si>
    <t>Hamburger Change Plate</t>
  </si>
  <si>
    <t>E3677</t>
  </si>
  <si>
    <t>Firstam Pump</t>
  </si>
  <si>
    <t>E3678</t>
  </si>
  <si>
    <t>Brewery Ozone</t>
  </si>
  <si>
    <t>E3679</t>
  </si>
  <si>
    <t>5G-LTE Enclosure</t>
  </si>
  <si>
    <t>E3679A</t>
  </si>
  <si>
    <t>Base for 5G-LTE Enclosure</t>
  </si>
  <si>
    <t>E3680</t>
  </si>
  <si>
    <t xml:space="preserve">RS   </t>
  </si>
  <si>
    <t>Dora's Naturals, Inc</t>
  </si>
  <si>
    <t>Matt B</t>
  </si>
  <si>
    <t xml:space="preserve">Kettle </t>
  </si>
  <si>
    <t>E3681</t>
  </si>
  <si>
    <t>Header for overages for Hornell &amp; Filmore</t>
  </si>
  <si>
    <t>E3681A</t>
  </si>
  <si>
    <t xml:space="preserve">TF  </t>
  </si>
  <si>
    <t>Filmore Overages RGE</t>
  </si>
  <si>
    <t>E3681B</t>
  </si>
  <si>
    <t>E3681C</t>
  </si>
  <si>
    <t>NYSEG Spares and Overages SAP</t>
  </si>
  <si>
    <t>19%, 57%</t>
  </si>
  <si>
    <t>7/14/2023, 4/12/24</t>
  </si>
  <si>
    <t>E3681D</t>
  </si>
  <si>
    <t>Hornell NYSEG AP Relay Spares &amp; Overages</t>
  </si>
  <si>
    <t>32%,25</t>
  </si>
  <si>
    <t>7/14/2023,1/26/23</t>
  </si>
  <si>
    <t>E3681E</t>
  </si>
  <si>
    <t>NYSEG AMI 603 AP &amp; Relay Kits</t>
  </si>
  <si>
    <t>20%,17%,35%</t>
  </si>
  <si>
    <t>8/29/2023, 2/6/24,5/31/24</t>
  </si>
  <si>
    <t>E3681F</t>
  </si>
  <si>
    <t xml:space="preserve">SAP's Antenna Rework </t>
  </si>
  <si>
    <t>E3681G</t>
  </si>
  <si>
    <t>RGE SAP Antenna Rework</t>
  </si>
  <si>
    <t>E3681H</t>
  </si>
  <si>
    <t>RGE Overage Kits Q0347</t>
  </si>
  <si>
    <t>E3681J</t>
  </si>
  <si>
    <t>Oneonta &amp; NYSEG Overage Kits</t>
  </si>
  <si>
    <t>12/12,12/31,1/16</t>
  </si>
  <si>
    <t>E3681K</t>
  </si>
  <si>
    <t>Relay &amp; SAP Kits RGE</t>
  </si>
  <si>
    <t>E3681L</t>
  </si>
  <si>
    <t>AMI Overages</t>
  </si>
  <si>
    <t>E3681M</t>
  </si>
  <si>
    <t xml:space="preserve">dan Arcangeli </t>
  </si>
  <si>
    <t>NYSEG Spares</t>
  </si>
  <si>
    <t>E3682</t>
  </si>
  <si>
    <t>TF, JW, JT</t>
  </si>
  <si>
    <t>RPM TL2+ Case Packer R&amp;D</t>
  </si>
  <si>
    <t>E3683</t>
  </si>
  <si>
    <t>Cord Grip Replacements (25)</t>
  </si>
  <si>
    <t>E3684</t>
  </si>
  <si>
    <t>Freeze Dryer</t>
  </si>
  <si>
    <t>E3685</t>
  </si>
  <si>
    <t>6/6/2023 &amp; 9/7/23</t>
  </si>
  <si>
    <t>E3685A</t>
  </si>
  <si>
    <t>Terminal Block CO</t>
  </si>
  <si>
    <t>E3686</t>
  </si>
  <si>
    <t>Zach's Trial</t>
  </si>
  <si>
    <t>E3687</t>
  </si>
  <si>
    <t>Tom &amp; Mike</t>
  </si>
  <si>
    <t>Dips Bar Code Panel</t>
  </si>
  <si>
    <t>E3688</t>
  </si>
  <si>
    <t>Trip for Jar Inverter</t>
  </si>
  <si>
    <t>E3689</t>
  </si>
  <si>
    <t>TF,NE,JT</t>
  </si>
  <si>
    <t>R&amp;D 2023 RFP Prototype Panel</t>
  </si>
  <si>
    <t>E3690</t>
  </si>
  <si>
    <t>Hopper Modification</t>
  </si>
  <si>
    <t>Q0034 Rev1</t>
  </si>
  <si>
    <t>E3691</t>
  </si>
  <si>
    <t>Solenoid Valve Control Enclosure</t>
  </si>
  <si>
    <t>E3692</t>
  </si>
  <si>
    <t>Nuspark VRC-60 R&amp;D</t>
  </si>
  <si>
    <t>E3693</t>
  </si>
  <si>
    <t>Mettler Toledo Display Enclosure</t>
  </si>
  <si>
    <t>E3694</t>
  </si>
  <si>
    <t>AWS Enterprise FT Historian</t>
  </si>
  <si>
    <t>Q0044</t>
  </si>
  <si>
    <t>E3695</t>
  </si>
  <si>
    <t>Brekki 2 - 2D Panel</t>
  </si>
  <si>
    <t>E3696</t>
  </si>
  <si>
    <t>E3697</t>
  </si>
  <si>
    <t>Preliminary Engineering Pilot Plant</t>
  </si>
  <si>
    <t>Q0097</t>
  </si>
  <si>
    <t>E3698</t>
  </si>
  <si>
    <t>MM,RS,RSJ,TF</t>
  </si>
  <si>
    <t>Eng &amp; Process Upgrades to Pudding Line</t>
  </si>
  <si>
    <t>7/10/2023, 12/14/23, 1/16/24</t>
  </si>
  <si>
    <t>E3699</t>
  </si>
  <si>
    <t>Modify &amp; Chg Rittal Cabinet Latches</t>
  </si>
  <si>
    <t>E3700</t>
  </si>
  <si>
    <t>Bruns Brothers</t>
  </si>
  <si>
    <t>2 Mixers - To Sell</t>
  </si>
  <si>
    <t>E3701</t>
  </si>
  <si>
    <t>Tray Scrapers (T&amp;M)</t>
  </si>
  <si>
    <t>E3702</t>
  </si>
  <si>
    <t>Larry Madlin</t>
  </si>
  <si>
    <t>Pole Toppers / 10 Base Kits</t>
  </si>
  <si>
    <t>E3703</t>
  </si>
  <si>
    <t>M11 Installation Services</t>
  </si>
  <si>
    <t>Q0117revA</t>
  </si>
  <si>
    <t>7/18/2023, 10/9/23,1/2/24</t>
  </si>
  <si>
    <t>E3704</t>
  </si>
  <si>
    <t>30% invoiced 05/13</t>
  </si>
  <si>
    <t>E3705</t>
  </si>
  <si>
    <t>E3706</t>
  </si>
  <si>
    <t>Baldwin</t>
  </si>
  <si>
    <t>Tod Conklin</t>
  </si>
  <si>
    <t>Milk CIP Rework</t>
  </si>
  <si>
    <t>E3707</t>
  </si>
  <si>
    <t>Greenhouse Glass Re-Crating &amp; Storage</t>
  </si>
  <si>
    <t>E3708</t>
  </si>
  <si>
    <t>Soap Batching System Design</t>
  </si>
  <si>
    <t>4%,50%, 35% less onsite, 15% less onsite</t>
  </si>
  <si>
    <t>8/27/2024, 10/30/24, 1/17/25, 07/29/25</t>
  </si>
  <si>
    <t xml:space="preserve">Pre Eng &amp; Insurance </t>
  </si>
  <si>
    <t>E3708A</t>
  </si>
  <si>
    <t>CO for Powder Mixing</t>
  </si>
  <si>
    <t>Need PO</t>
  </si>
  <si>
    <t>E3708B</t>
  </si>
  <si>
    <t>Additional Valves for Batching Line</t>
  </si>
  <si>
    <t>E3708C</t>
  </si>
  <si>
    <t>Plumbing Drawings &amp; Engineering Changes</t>
  </si>
  <si>
    <t>E3708D</t>
  </si>
  <si>
    <t>Electrical changes for bulk tank move</t>
  </si>
  <si>
    <t>open</t>
  </si>
  <si>
    <t>E3708E</t>
  </si>
  <si>
    <t>Methanol Blending Skid Changes</t>
  </si>
  <si>
    <t>E3709</t>
  </si>
  <si>
    <t>Frank DeMare / Jason Brown</t>
  </si>
  <si>
    <t>Butter Room CIP Engineering</t>
  </si>
  <si>
    <t>reopen per Michael 4/23</t>
  </si>
  <si>
    <t>E3709A</t>
  </si>
  <si>
    <t>MM`</t>
  </si>
  <si>
    <t>CIP Chemical Tank Relocation</t>
  </si>
  <si>
    <t>closed</t>
  </si>
  <si>
    <t>closed per Rick</t>
  </si>
  <si>
    <t>E3710</t>
  </si>
  <si>
    <t>Matthew Knight</t>
  </si>
  <si>
    <t>Preliminary Engineering Sanitation Skid</t>
  </si>
  <si>
    <t>YES</t>
  </si>
  <si>
    <t>E3711</t>
  </si>
  <si>
    <t>NF/CEDARS</t>
  </si>
  <si>
    <t>Kennedy</t>
  </si>
  <si>
    <t xml:space="preserve">Remote Service 8/4 </t>
  </si>
  <si>
    <t>E3712</t>
  </si>
  <si>
    <t>Upstate Niagra</t>
  </si>
  <si>
    <t>Mike Brigs</t>
  </si>
  <si>
    <t>Safety Switch Electrical/Brackets</t>
  </si>
  <si>
    <t>E3713</t>
  </si>
  <si>
    <t>KK JW TF</t>
  </si>
  <si>
    <t xml:space="preserve"> Liberty Pumps</t>
  </si>
  <si>
    <t xml:space="preserve">Lucas </t>
  </si>
  <si>
    <t xml:space="preserve">WJ guide plates </t>
  </si>
  <si>
    <t>4021A</t>
  </si>
  <si>
    <t>E3714</t>
  </si>
  <si>
    <t>Q0030</t>
  </si>
  <si>
    <t>10/11/2023, 10/24/23,12/5/23,2/9/24</t>
  </si>
  <si>
    <t>E3714A</t>
  </si>
  <si>
    <t>Chg order 1 Inst</t>
  </si>
  <si>
    <t>E3714B</t>
  </si>
  <si>
    <t>Chg 2 Onsite panel additions</t>
  </si>
  <si>
    <t>E3714C</t>
  </si>
  <si>
    <t>Travel Change Order</t>
  </si>
  <si>
    <t>E3715</t>
  </si>
  <si>
    <t>Truck Lot Expansion 2023</t>
  </si>
  <si>
    <t>10/4/2023, 11/10, 11/21, 4/30/24</t>
  </si>
  <si>
    <t>E3715A</t>
  </si>
  <si>
    <t>RS/RS/MM</t>
  </si>
  <si>
    <t>Andy Wells</t>
  </si>
  <si>
    <t>Change Order Truck Parking Lot Lighting Control</t>
  </si>
  <si>
    <t>E3716</t>
  </si>
  <si>
    <t>RS/JW</t>
  </si>
  <si>
    <t>Fab Shelf Brackets</t>
  </si>
  <si>
    <t>E3717</t>
  </si>
  <si>
    <t>CIP Repair</t>
  </si>
  <si>
    <t>E3718</t>
  </si>
  <si>
    <t>2024 Packing Line - Case Sorter</t>
  </si>
  <si>
    <t>Q0077RevD</t>
  </si>
  <si>
    <t>9/29/2023, 1/2/24, 5/1/24,6/7/24</t>
  </si>
  <si>
    <t>E3719</t>
  </si>
  <si>
    <t xml:space="preserve">Guillermo </t>
  </si>
  <si>
    <t xml:space="preserve">Contherm Addition </t>
  </si>
  <si>
    <t>9/28/2023 &amp; 1/4/24</t>
  </si>
  <si>
    <t>E3719A</t>
  </si>
  <si>
    <t xml:space="preserve">RDS  </t>
  </si>
  <si>
    <t xml:space="preserve">Additional Material </t>
  </si>
  <si>
    <t>E3720</t>
  </si>
  <si>
    <t>Catherine Hollon</t>
  </si>
  <si>
    <t>Hamburger plate 2</t>
  </si>
  <si>
    <t>E3721</t>
  </si>
  <si>
    <t>Bottle Vacuum Capper</t>
  </si>
  <si>
    <t>E3722</t>
  </si>
  <si>
    <t>Palletizer Gate &amp; Install</t>
  </si>
  <si>
    <t>Q0203/Q0210</t>
  </si>
  <si>
    <t>E3723</t>
  </si>
  <si>
    <t>FIFCO USA High Falls</t>
  </si>
  <si>
    <t>Sal Viavattene</t>
  </si>
  <si>
    <t xml:space="preserve">Dual Ozone Units Install </t>
  </si>
  <si>
    <t>E3724</t>
  </si>
  <si>
    <t>Heartnes Recontrol</t>
  </si>
  <si>
    <t>E3724A</t>
  </si>
  <si>
    <t xml:space="preserve">Material PO </t>
  </si>
  <si>
    <t>E3724B</t>
  </si>
  <si>
    <t>RDS-JR</t>
  </si>
  <si>
    <t>Material PO #2</t>
  </si>
  <si>
    <t>E3724C</t>
  </si>
  <si>
    <t>Eng &amp; Labor Costs</t>
  </si>
  <si>
    <t>E3724D</t>
  </si>
  <si>
    <t xml:space="preserve">Final Commisioning </t>
  </si>
  <si>
    <t>E3725</t>
  </si>
  <si>
    <t xml:space="preserve">Line 2 </t>
  </si>
  <si>
    <t>E3726</t>
  </si>
  <si>
    <t>10/10/2023, 12/7/23, 2/8/24</t>
  </si>
  <si>
    <t>E3726A</t>
  </si>
  <si>
    <t xml:space="preserve">MM </t>
  </si>
  <si>
    <t xml:space="preserve">Chg 1 Blower header Diffuser </t>
  </si>
  <si>
    <t>Q0217`</t>
  </si>
  <si>
    <t>E3726B</t>
  </si>
  <si>
    <t>Chg 2 Pipe Support</t>
  </si>
  <si>
    <t>E3727</t>
  </si>
  <si>
    <t>RDS / TF</t>
  </si>
  <si>
    <t>Rev 5 Ultra Clean Mixing Vessel Skid</t>
  </si>
  <si>
    <t>Q0185_Rev5</t>
  </si>
  <si>
    <t>10/17/2023, 1/23/24,3/29,6/6/24</t>
  </si>
  <si>
    <t>E3727A</t>
  </si>
  <si>
    <t>2000 L Commissioning</t>
  </si>
  <si>
    <t>4/12/2024, 6/6/24</t>
  </si>
  <si>
    <t>E3727B</t>
  </si>
  <si>
    <t>Extra parts</t>
  </si>
  <si>
    <t>E3727C</t>
  </si>
  <si>
    <t>Warranty</t>
  </si>
  <si>
    <t>Warranty New Spray Ball</t>
  </si>
  <si>
    <t>E3728</t>
  </si>
  <si>
    <t xml:space="preserve">RS  </t>
  </si>
  <si>
    <t>Waste Water Tank</t>
  </si>
  <si>
    <t>E3729</t>
  </si>
  <si>
    <t>E3730</t>
  </si>
  <si>
    <t>Industrial Fabrics / Ron Paeth Consulting</t>
  </si>
  <si>
    <t>Winder Controls</t>
  </si>
  <si>
    <t>50,50</t>
  </si>
  <si>
    <t>11/13/2023, 1/3/24</t>
  </si>
  <si>
    <t>E3730A</t>
  </si>
  <si>
    <t>NE JT JW</t>
  </si>
  <si>
    <t>Chutes &amp; Guarding</t>
  </si>
  <si>
    <t>50%,50</t>
  </si>
  <si>
    <t>11/16/2023,1/3/24</t>
  </si>
  <si>
    <t>E3731</t>
  </si>
  <si>
    <t>E3720 inv this job</t>
  </si>
  <si>
    <t>Hamburger Plate Shims</t>
  </si>
  <si>
    <t xml:space="preserve">moved to original job 3720 inv with that </t>
  </si>
  <si>
    <t>E3731A</t>
  </si>
  <si>
    <t>JW / RS</t>
  </si>
  <si>
    <t>Hamburger Shims</t>
  </si>
  <si>
    <t>E3732</t>
  </si>
  <si>
    <t>Texas Skrim Machine</t>
  </si>
  <si>
    <t>25%, 25%, 30%,20%</t>
  </si>
  <si>
    <t>11/13/2023, 3/5/24, 4/3/24,6/7/24</t>
  </si>
  <si>
    <t>E3732A</t>
  </si>
  <si>
    <t>Extra Trip - Electrical Engineer Onsite for a week (JT, WE 5/11)</t>
  </si>
  <si>
    <t>QE3732</t>
  </si>
  <si>
    <t>E3732B</t>
  </si>
  <si>
    <t>JW / JT</t>
  </si>
  <si>
    <t>Winder Guarding</t>
  </si>
  <si>
    <t>E3732C</t>
  </si>
  <si>
    <t>Does Note Exist - Duplicate Subjob</t>
  </si>
  <si>
    <t>E3732D</t>
  </si>
  <si>
    <t>Onsite JT WE 6/15/24</t>
  </si>
  <si>
    <t>E3732E</t>
  </si>
  <si>
    <t>Onsite JT WE 6/29/24</t>
  </si>
  <si>
    <t>E3732F</t>
  </si>
  <si>
    <t>Onsite JT WE 7/13/24</t>
  </si>
  <si>
    <t>E3732G</t>
  </si>
  <si>
    <t>JT Onsite WE 9/14/24</t>
  </si>
  <si>
    <t>E3732H</t>
  </si>
  <si>
    <t>JT Onsite WE 10/7/24</t>
  </si>
  <si>
    <t>E3732J</t>
  </si>
  <si>
    <t>VFD Upgrade Fans</t>
  </si>
  <si>
    <t>E3732K</t>
  </si>
  <si>
    <t>Tommy Onsite 10/21, ending 11/2</t>
  </si>
  <si>
    <t>E3732L</t>
  </si>
  <si>
    <t>Finishing Up, Starting 11/3</t>
  </si>
  <si>
    <t>E3732M</t>
  </si>
  <si>
    <t>JT Trip Starting 2/3/25</t>
  </si>
  <si>
    <t>E3732N</t>
  </si>
  <si>
    <t>Continued support work - Stopped 4/25</t>
  </si>
  <si>
    <t>E3732O</t>
  </si>
  <si>
    <t>Ricky Onsite WE 5/2</t>
  </si>
  <si>
    <t>E3733</t>
  </si>
  <si>
    <t>North Well House Road Repair</t>
  </si>
  <si>
    <t>E3734</t>
  </si>
  <si>
    <t>South Driveway Road Repair</t>
  </si>
  <si>
    <t>E3735</t>
  </si>
  <si>
    <t>E3738</t>
  </si>
  <si>
    <t>Eric Heveron</t>
  </si>
  <si>
    <t>Corn Dryer MCC - T&amp;M</t>
  </si>
  <si>
    <t>E3736</t>
  </si>
  <si>
    <t>Barrette</t>
  </si>
  <si>
    <t>Cleated Belt Mold Covers</t>
  </si>
  <si>
    <t>E3737</t>
  </si>
  <si>
    <t>E3735 this is the job invoiced</t>
  </si>
  <si>
    <t>Germeo Farms</t>
  </si>
  <si>
    <t>Gary Germeo</t>
  </si>
  <si>
    <t>Grain Bin Control Panel</t>
  </si>
  <si>
    <t>2/1 on E3735</t>
  </si>
  <si>
    <t>E3739</t>
  </si>
  <si>
    <t>Jersey Barrier's Oatka Shipping Entrance</t>
  </si>
  <si>
    <t>E3740</t>
  </si>
  <si>
    <t>Refrigerated Wall Repair</t>
  </si>
  <si>
    <t>E3741</t>
  </si>
  <si>
    <t>Likwifier Tank</t>
  </si>
  <si>
    <t>E3742</t>
  </si>
  <si>
    <t>barrette outdoor living</t>
  </si>
  <si>
    <t>Line 7 rework</t>
  </si>
  <si>
    <t>PO Recv 2/19/24</t>
  </si>
  <si>
    <t>E3743</t>
  </si>
  <si>
    <t>E3660 23 ozone</t>
  </si>
  <si>
    <t>Chem-Aqua</t>
  </si>
  <si>
    <t>24 Rochester Tech Ozone Units (2)</t>
  </si>
  <si>
    <t>E3744</t>
  </si>
  <si>
    <t>E3659 23 ozone</t>
  </si>
  <si>
    <t xml:space="preserve">24 MA Ozone Unit </t>
  </si>
  <si>
    <t>E3745</t>
  </si>
  <si>
    <t>Roberts Farm</t>
  </si>
  <si>
    <t>no</t>
  </si>
  <si>
    <t>E3746</t>
  </si>
  <si>
    <t>Line 1 Guarding</t>
  </si>
  <si>
    <t>E3747A</t>
  </si>
  <si>
    <t>Avangrid / Iberdrola</t>
  </si>
  <si>
    <t>4 Panels - CE-006-002i-C-24</t>
  </si>
  <si>
    <t>E3747B</t>
  </si>
  <si>
    <t>6 Panels - CE-006-002i-C-24</t>
  </si>
  <si>
    <t>E3747C</t>
  </si>
  <si>
    <t>E3747D</t>
  </si>
  <si>
    <t>1 Panel - CE-006-002i-C-24</t>
  </si>
  <si>
    <t>E3747E</t>
  </si>
  <si>
    <t>E3747F</t>
  </si>
  <si>
    <t>E3747G</t>
  </si>
  <si>
    <t>E3748</t>
  </si>
  <si>
    <t>New york Rural water</t>
  </si>
  <si>
    <t>kevin miller</t>
  </si>
  <si>
    <t>tuning Plate</t>
  </si>
  <si>
    <t>E3749</t>
  </si>
  <si>
    <t>Matthew Knights</t>
  </si>
  <si>
    <t>Preliminary Engineering</t>
  </si>
  <si>
    <t>E3749A</t>
  </si>
  <si>
    <t>3" Mag Flow Meters - Emerson</t>
  </si>
  <si>
    <t>E3749B</t>
  </si>
  <si>
    <t>Ammonia Refrigeration Controls only</t>
  </si>
  <si>
    <t>E3749C</t>
  </si>
  <si>
    <t>Onsite Services</t>
  </si>
  <si>
    <t>E3749D</t>
  </si>
  <si>
    <t>IFM Parts Flip</t>
  </si>
  <si>
    <t>E3749E</t>
  </si>
  <si>
    <t>Onsite Change Order</t>
  </si>
  <si>
    <t>E3749F</t>
  </si>
  <si>
    <t>Overages</t>
  </si>
  <si>
    <t>E3750</t>
  </si>
  <si>
    <t>RS / RDS</t>
  </si>
  <si>
    <t xml:space="preserve">Chemical Tank Level Display - Quote Phase </t>
  </si>
  <si>
    <t>6/20/2024, 10/1/24</t>
  </si>
  <si>
    <t>E3751</t>
  </si>
  <si>
    <t>Yogurt Kick Off 1/2-1/5</t>
  </si>
  <si>
    <t>1/19/2024, resent w po 1/31/24</t>
  </si>
  <si>
    <t>E3752</t>
  </si>
  <si>
    <t>E3752A</t>
  </si>
  <si>
    <t xml:space="preserve">Saint Gobain Adfors </t>
  </si>
  <si>
    <t>Mitch</t>
  </si>
  <si>
    <t>Knitter Part Repair</t>
  </si>
  <si>
    <t>KB</t>
  </si>
  <si>
    <t>Knitter Part rebuild-new parts</t>
  </si>
  <si>
    <t>Inv in base</t>
  </si>
  <si>
    <t>E3753</t>
  </si>
  <si>
    <t>3 Puzzle Material Handling Lines</t>
  </si>
  <si>
    <t>9/17/2024, 10/15, 12/16</t>
  </si>
  <si>
    <t xml:space="preserve">E3753A </t>
  </si>
  <si>
    <t>CO Power Cables</t>
  </si>
  <si>
    <t>E3753B</t>
  </si>
  <si>
    <t>Layout Auto Lidder</t>
  </si>
  <si>
    <t>E3753C</t>
  </si>
  <si>
    <t>Press Panel Modifications</t>
  </si>
  <si>
    <t>Final 50% invoiced 04/25/25</t>
  </si>
  <si>
    <t>E3753D</t>
  </si>
  <si>
    <t>Press 12 Electrical Modifications</t>
  </si>
  <si>
    <t>E3753E</t>
  </si>
  <si>
    <t>Puzzle Pusher Cables</t>
  </si>
  <si>
    <t>QE3753E</t>
  </si>
  <si>
    <t>E3754</t>
  </si>
  <si>
    <t>RS / MM</t>
  </si>
  <si>
    <t>Thomas Meyers</t>
  </si>
  <si>
    <t>T&amp;M 3/4" Copper Air Line Wine Tank</t>
  </si>
  <si>
    <t>E3755</t>
  </si>
  <si>
    <t xml:space="preserve">JT </t>
  </si>
  <si>
    <t>4/3/2024,6/7/24</t>
  </si>
  <si>
    <t>E3755A</t>
  </si>
  <si>
    <t>On-Site Commissioning - TF onsite W/E 7/27 &amp; 8/3</t>
  </si>
  <si>
    <t>E3755B</t>
  </si>
  <si>
    <t>JT/ MM</t>
  </si>
  <si>
    <t>Dilution Tank &amp; Pumps</t>
  </si>
  <si>
    <t>4/3/2024 &amp; 5/9/24</t>
  </si>
  <si>
    <t>E3755C</t>
  </si>
  <si>
    <t>Changes Motor</t>
  </si>
  <si>
    <t>E3755D</t>
  </si>
  <si>
    <t>MM/JT</t>
  </si>
  <si>
    <t>Change Stair Stringers</t>
  </si>
  <si>
    <t>QE3755-2</t>
  </si>
  <si>
    <t>E3755E</t>
  </si>
  <si>
    <t>Ammonia Detection Equipment</t>
  </si>
  <si>
    <t>QE3755</t>
  </si>
  <si>
    <t>E3755F</t>
  </si>
  <si>
    <t>Additional Trip (Ben WE 6/15/24) and Rhoplex Receiving Panel</t>
  </si>
  <si>
    <t>E3755G</t>
  </si>
  <si>
    <t>Ricky Onsite WE 6/29</t>
  </si>
  <si>
    <t>E3755H</t>
  </si>
  <si>
    <t>Extra Parts for Batcher - Started 7/1</t>
  </si>
  <si>
    <t>E3755J</t>
  </si>
  <si>
    <t>Ethan W/E 7/13</t>
  </si>
  <si>
    <t>E3755K</t>
  </si>
  <si>
    <t>Tom Onsite W/E 9/7</t>
  </si>
  <si>
    <t>E3756</t>
  </si>
  <si>
    <t>Denkavit /Grober 2024 Ozone Rental</t>
  </si>
  <si>
    <t>Ozone Rental 2024</t>
  </si>
  <si>
    <t>E3757</t>
  </si>
  <si>
    <t>Campbell's</t>
  </si>
  <si>
    <t xml:space="preserve">Evgeni </t>
  </si>
  <si>
    <t>Lance Cracker Plant Robotics</t>
  </si>
  <si>
    <t>E3758</t>
  </si>
  <si>
    <t>Upstate Farms Rochester</t>
  </si>
  <si>
    <t>Filler supply Pump/CIP Return Pump/Level transmitter</t>
  </si>
  <si>
    <t>E3759</t>
  </si>
  <si>
    <t xml:space="preserve">E3698 </t>
  </si>
  <si>
    <t>Vincent Ciolino</t>
  </si>
  <si>
    <t>Capper startup support</t>
  </si>
  <si>
    <t>closed used E3698</t>
  </si>
  <si>
    <t>E3760</t>
  </si>
  <si>
    <t>RSJ/MM</t>
  </si>
  <si>
    <t>Sanitation Skid</t>
  </si>
  <si>
    <t>65% two line items</t>
  </si>
  <si>
    <t>E3761</t>
  </si>
  <si>
    <t>Drain line in raw silo room</t>
  </si>
  <si>
    <t>E3762</t>
  </si>
  <si>
    <t>2024 Ozone Rental</t>
  </si>
  <si>
    <t>Monthly</t>
  </si>
  <si>
    <t>E3763</t>
  </si>
  <si>
    <t>150 Gallon Lee Kettle w/ Controls -  Rental may purchase</t>
  </si>
  <si>
    <t>12/3 paying off on E3829</t>
  </si>
  <si>
    <t>E3764</t>
  </si>
  <si>
    <t>150 Lee Kettle Parts</t>
  </si>
  <si>
    <t>E3765</t>
  </si>
  <si>
    <t>Double Breddo Trial at Cedars 3/5/24</t>
  </si>
  <si>
    <t>E3766</t>
  </si>
  <si>
    <t>INRS Homogenizer Skid</t>
  </si>
  <si>
    <t>E3766A</t>
  </si>
  <si>
    <t>Bond / Closed Didn't Happen</t>
  </si>
  <si>
    <t>E3766B</t>
  </si>
  <si>
    <t>MM JT</t>
  </si>
  <si>
    <t>Transformer</t>
  </si>
  <si>
    <t>E3766C</t>
  </si>
  <si>
    <t>UL Sticker</t>
  </si>
  <si>
    <t>E3767</t>
  </si>
  <si>
    <t>Filler Guard</t>
  </si>
  <si>
    <t>E3767A</t>
  </si>
  <si>
    <t>Cart</t>
  </si>
  <si>
    <t>E3767B</t>
  </si>
  <si>
    <t>Added counter weight</t>
  </si>
  <si>
    <t>E3768</t>
  </si>
  <si>
    <t>Weedman</t>
  </si>
  <si>
    <t>Building Updates</t>
  </si>
  <si>
    <t>E3769</t>
  </si>
  <si>
    <t>Pete S</t>
  </si>
  <si>
    <t>Field Installation Service Part 1</t>
  </si>
  <si>
    <t>E3770</t>
  </si>
  <si>
    <t>RICK S</t>
  </si>
  <si>
    <t>BARREL ROLLER MODIFICATIONS</t>
  </si>
  <si>
    <t>E3771</t>
  </si>
  <si>
    <t>TF / SD</t>
  </si>
  <si>
    <t>DAP Avagrid KIT</t>
  </si>
  <si>
    <t>E3772</t>
  </si>
  <si>
    <t>JM Smucker / Milkbone</t>
  </si>
  <si>
    <t>Bill Kellner</t>
  </si>
  <si>
    <t>Dog Food Blending Line</t>
  </si>
  <si>
    <t>35%, 65%</t>
  </si>
  <si>
    <t>5/22/2024, 7/31/24</t>
  </si>
  <si>
    <t>E3773</t>
  </si>
  <si>
    <t>RSA Stock OZ-50 Build - Two Units</t>
  </si>
  <si>
    <t xml:space="preserve">ManusBio </t>
  </si>
  <si>
    <t>Adel</t>
  </si>
  <si>
    <t>150 gallon Liquifier w base modifications</t>
  </si>
  <si>
    <t>6/21/24, 4/16/2024</t>
  </si>
  <si>
    <t>E3775</t>
  </si>
  <si>
    <t>Telecom Stock</t>
  </si>
  <si>
    <t>5/3/2024, 8/2/24</t>
  </si>
  <si>
    <t>E3776</t>
  </si>
  <si>
    <t>P0900</t>
  </si>
  <si>
    <t>KR / RS</t>
  </si>
  <si>
    <t>Jason  Brown</t>
  </si>
  <si>
    <t xml:space="preserve">Screen Door </t>
  </si>
  <si>
    <t>E3777</t>
  </si>
  <si>
    <t>CIP</t>
  </si>
  <si>
    <t>Andy V</t>
  </si>
  <si>
    <t>8' Stem Extension</t>
  </si>
  <si>
    <t>E3778</t>
  </si>
  <si>
    <t>3562, P1501</t>
  </si>
  <si>
    <t>Cedars / moved to Natures Fynd</t>
  </si>
  <si>
    <t>Set Tank Shaft</t>
  </si>
  <si>
    <t>E3779</t>
  </si>
  <si>
    <t>7/10, 5/3/2024</t>
  </si>
  <si>
    <t>E3780</t>
  </si>
  <si>
    <t>RS/TF MM RDS</t>
  </si>
  <si>
    <t>Mayer Bros</t>
  </si>
  <si>
    <t xml:space="preserve">(4) .80 Gram Per Hour Ozone </t>
  </si>
  <si>
    <t>4/16/2024, 1/17/25</t>
  </si>
  <si>
    <t>E3780A</t>
  </si>
  <si>
    <t>Cable for Ozone</t>
  </si>
  <si>
    <t>E3781</t>
  </si>
  <si>
    <t>kr / RS</t>
  </si>
  <si>
    <t>Void</t>
  </si>
  <si>
    <t>Void Use job E3782</t>
  </si>
  <si>
    <t>E3782</t>
  </si>
  <si>
    <t>RDS/TF</t>
  </si>
  <si>
    <t>Breddo Likwifier Controls</t>
  </si>
  <si>
    <t>Q0148-4</t>
  </si>
  <si>
    <t>4/12/2024,6/10</t>
  </si>
  <si>
    <t>E3783</t>
  </si>
  <si>
    <t>Milk Pump Replacement</t>
  </si>
  <si>
    <t>E3784</t>
  </si>
  <si>
    <t>CIP Return Pump</t>
  </si>
  <si>
    <t>E3785</t>
  </si>
  <si>
    <t>TF / RDS</t>
  </si>
  <si>
    <t xml:space="preserve">Barratte Outdoor Living </t>
  </si>
  <si>
    <t>Guardin, Conveyors, Dump tables</t>
  </si>
  <si>
    <t>E3785A</t>
  </si>
  <si>
    <t>Part A split in two po's</t>
  </si>
  <si>
    <t>E3785B</t>
  </si>
  <si>
    <t>Post &amp; 525 vfd .5</t>
  </si>
  <si>
    <t>E3786</t>
  </si>
  <si>
    <t xml:space="preserve">Bag Vaccum </t>
  </si>
  <si>
    <t>E3786A</t>
  </si>
  <si>
    <t xml:space="preserve">2nd Monaeal Deaeration </t>
  </si>
  <si>
    <t>E3787</t>
  </si>
  <si>
    <t>Monzeal Shaft Extensions</t>
  </si>
  <si>
    <t>E3788</t>
  </si>
  <si>
    <t>E378A</t>
  </si>
  <si>
    <t>Spare Parts Brewery Ozone</t>
  </si>
  <si>
    <t>E3790</t>
  </si>
  <si>
    <t>Monzeal Shuttle Guides</t>
  </si>
  <si>
    <t>E3791</t>
  </si>
  <si>
    <t>Brekki Aggitator Bushings</t>
  </si>
  <si>
    <t>E3792</t>
  </si>
  <si>
    <t xml:space="preserve">Cedars   </t>
  </si>
  <si>
    <t>Brekki Trouble Shooting for Contamination</t>
  </si>
  <si>
    <t>E3793</t>
  </si>
  <si>
    <t>Valve Actuator Bracket</t>
  </si>
  <si>
    <t>E3794</t>
  </si>
  <si>
    <t>4 Mott's Ozone Units 5/1/24-4/30/25</t>
  </si>
  <si>
    <t>E3795</t>
  </si>
  <si>
    <t>SAP Pole Mount Brackets</t>
  </si>
  <si>
    <t>65, 35%</t>
  </si>
  <si>
    <t>7/10/24, 6/6/2024</t>
  </si>
  <si>
    <t xml:space="preserve">E3796 </t>
  </si>
  <si>
    <t>Eng Thermal Solutions</t>
  </si>
  <si>
    <t>Innio - (2) HXV Control Panels</t>
  </si>
  <si>
    <t>E3797</t>
  </si>
  <si>
    <t>CIP Skid III</t>
  </si>
  <si>
    <t>E3798</t>
  </si>
  <si>
    <t>Wastewater Cooling Tower</t>
  </si>
  <si>
    <t>7/9 &amp;10/21</t>
  </si>
  <si>
    <t>E3799</t>
  </si>
  <si>
    <t>E3800</t>
  </si>
  <si>
    <t>Lift Off Doors</t>
  </si>
  <si>
    <t>E3800A</t>
  </si>
  <si>
    <t xml:space="preserve">This was included in original scope closing Install of Lift Doors </t>
  </si>
  <si>
    <t xml:space="preserve">Closed </t>
  </si>
  <si>
    <t>E3801</t>
  </si>
  <si>
    <t>Panel Return</t>
  </si>
  <si>
    <t>E3802</t>
  </si>
  <si>
    <t>Bulk Material Order June 2024</t>
  </si>
  <si>
    <t>8/23/2024,10/4/24, 12/12/24</t>
  </si>
  <si>
    <t>E3803</t>
  </si>
  <si>
    <t>Simply Deserts</t>
  </si>
  <si>
    <t>Stan Martin</t>
  </si>
  <si>
    <t>Product Mixing Trial</t>
  </si>
  <si>
    <t>E3804</t>
  </si>
  <si>
    <t>E3804A</t>
  </si>
  <si>
    <t>Employee Shed Pad</t>
  </si>
  <si>
    <t>both jobs 9/12/24</t>
  </si>
  <si>
    <t>E3805</t>
  </si>
  <si>
    <t>Iberdrola / Avangrid</t>
  </si>
  <si>
    <t xml:space="preserve">Jessica Donavan </t>
  </si>
  <si>
    <t>E3806</t>
  </si>
  <si>
    <t>HEPA UV Filtration Units</t>
  </si>
  <si>
    <t>E3807</t>
  </si>
  <si>
    <t>Daf Controls Upgrade</t>
  </si>
  <si>
    <t>Q271</t>
  </si>
  <si>
    <t>50%, 50%</t>
  </si>
  <si>
    <t>7/18/2024,8/6/24</t>
  </si>
  <si>
    <t>E3808</t>
  </si>
  <si>
    <t>SD / RS</t>
  </si>
  <si>
    <t>Dora's</t>
  </si>
  <si>
    <t>David Scheingold</t>
  </si>
  <si>
    <t>Rental of 60gal Jacketed Kettle</t>
  </si>
  <si>
    <t>monthly</t>
  </si>
  <si>
    <t>Returned unit 9/17 done</t>
  </si>
  <si>
    <t>E3809</t>
  </si>
  <si>
    <t xml:space="preserve">RS </t>
  </si>
  <si>
    <t xml:space="preserve">Excavator Rental </t>
  </si>
  <si>
    <t>E3810A</t>
  </si>
  <si>
    <t>Jon Fredericy</t>
  </si>
  <si>
    <t>E3810B</t>
  </si>
  <si>
    <t>E3810C</t>
  </si>
  <si>
    <t>E3810D</t>
  </si>
  <si>
    <t>E3810E</t>
  </si>
  <si>
    <t>5 Panels - CE-006-002i-C-24</t>
  </si>
  <si>
    <t>E3810F</t>
  </si>
  <si>
    <t>TF / JT</t>
  </si>
  <si>
    <t>10/4/024</t>
  </si>
  <si>
    <t>E3810G</t>
  </si>
  <si>
    <t>E3810H</t>
  </si>
  <si>
    <t>2 Panels - CE-006-002i-C-24</t>
  </si>
  <si>
    <t>E3810J</t>
  </si>
  <si>
    <t>E3810K</t>
  </si>
  <si>
    <t>E3810M</t>
  </si>
  <si>
    <t>E3810N</t>
  </si>
  <si>
    <t>1 Panel - CE-006-002i-C-24 - Start new round</t>
  </si>
  <si>
    <t>E3810P</t>
  </si>
  <si>
    <t xml:space="preserve">1 Panel - CE-006-002i-C-24 </t>
  </si>
  <si>
    <t>E3811</t>
  </si>
  <si>
    <t>Jail Door Repair Phase 1, 2 &amp; Interface Controller</t>
  </si>
  <si>
    <t>Q331</t>
  </si>
  <si>
    <t>E3811A</t>
  </si>
  <si>
    <t xml:space="preserve">Orleans County Jail </t>
  </si>
  <si>
    <t>E3812</t>
  </si>
  <si>
    <t>Orejel, Daniel</t>
  </si>
  <si>
    <t xml:space="preserve">Concentrate Programming </t>
  </si>
  <si>
    <t>30%, 70%</t>
  </si>
  <si>
    <t>9/18/2024, 11/7/24</t>
  </si>
  <si>
    <t>E3812A</t>
  </si>
  <si>
    <t>Process Adapter</t>
  </si>
  <si>
    <t>E3813</t>
  </si>
  <si>
    <t>Ricky D</t>
  </si>
  <si>
    <t xml:space="preserve">Maple Project </t>
  </si>
  <si>
    <t>E3814</t>
  </si>
  <si>
    <t xml:space="preserve">Alex </t>
  </si>
  <si>
    <t>3D Printed Cup Lid Guides</t>
  </si>
  <si>
    <t>E3815</t>
  </si>
  <si>
    <t>Drain Valves and Drain Pan</t>
  </si>
  <si>
    <t>50%,50%</t>
  </si>
  <si>
    <t>7/30/2024 &amp; 8/19/24</t>
  </si>
  <si>
    <t>E3816</t>
  </si>
  <si>
    <t>Fence at Door 21</t>
  </si>
  <si>
    <t>E3817</t>
  </si>
  <si>
    <t>Trip 7/8/23</t>
  </si>
  <si>
    <t>E3818</t>
  </si>
  <si>
    <t>Curt Walaby</t>
  </si>
  <si>
    <t xml:space="preserve">Valve and Eng Services </t>
  </si>
  <si>
    <t>E3819</t>
  </si>
  <si>
    <t>E3820</t>
  </si>
  <si>
    <t>WiMAX Cabinet New Gardenville</t>
  </si>
  <si>
    <t>E3821</t>
  </si>
  <si>
    <t>G13EP Battery 13Ah &amp; XE13X Battery 13Ah</t>
  </si>
  <si>
    <t>E3822</t>
  </si>
  <si>
    <t>Can Line Process Engineering</t>
  </si>
  <si>
    <t>E3823</t>
  </si>
  <si>
    <t>ICH</t>
  </si>
  <si>
    <t>Rick S</t>
  </si>
  <si>
    <t>Pre-Roll Oil Filler</t>
  </si>
  <si>
    <t>E3824</t>
  </si>
  <si>
    <t>MBBR Piping Mods and Pump Install</t>
  </si>
  <si>
    <t>E3824A</t>
  </si>
  <si>
    <t>MM / RS</t>
  </si>
  <si>
    <t xml:space="preserve">Temp Pump Install 9/26 </t>
  </si>
  <si>
    <t>E3825</t>
  </si>
  <si>
    <t>UofR Engineering Services</t>
  </si>
  <si>
    <t>E3826</t>
  </si>
  <si>
    <t>Screens</t>
  </si>
  <si>
    <t>E3827</t>
  </si>
  <si>
    <t>Cocojune / Dreamily</t>
  </si>
  <si>
    <t>Modern Nitrogen</t>
  </si>
  <si>
    <t>E3828</t>
  </si>
  <si>
    <t>RS / JW</t>
  </si>
  <si>
    <t>Retort Basket Rework</t>
  </si>
  <si>
    <t>E3829</t>
  </si>
  <si>
    <t>SD / RDS</t>
  </si>
  <si>
    <t>Q0355-2</t>
  </si>
  <si>
    <t>75% equipment that shipped</t>
  </si>
  <si>
    <t>E3830</t>
  </si>
  <si>
    <t xml:space="preserve">Wastewater Pump Station </t>
  </si>
  <si>
    <t>E3831</t>
  </si>
  <si>
    <t>ICH Industries</t>
  </si>
  <si>
    <t>Buster</t>
  </si>
  <si>
    <t>Ultra Sonic Cleaner Repair</t>
  </si>
  <si>
    <t>E3832</t>
  </si>
  <si>
    <t>EO/RS/MM</t>
  </si>
  <si>
    <t xml:space="preserve">Hydro Grow </t>
  </si>
  <si>
    <t>R&amp;D / Ricks Weed Activities</t>
  </si>
  <si>
    <t>E3833</t>
  </si>
  <si>
    <t>ABB Robot Base Plate &amp; Reprogramming</t>
  </si>
  <si>
    <t>E3834</t>
  </si>
  <si>
    <t>Sensor Mounts</t>
  </si>
  <si>
    <t>E3835</t>
  </si>
  <si>
    <t>SS Weed Barrel</t>
  </si>
  <si>
    <t>E3836</t>
  </si>
  <si>
    <t>Cedar's</t>
  </si>
  <si>
    <t>Nick S</t>
  </si>
  <si>
    <t>Ampco Trip 10/23/24</t>
  </si>
  <si>
    <t>E3837</t>
  </si>
  <si>
    <t>Stuart Boise</t>
  </si>
  <si>
    <t>Canandaigua Winery Vacuum System</t>
  </si>
  <si>
    <t>Q0087</t>
  </si>
  <si>
    <t>final 50% invoiced 06/27</t>
  </si>
  <si>
    <t>E3838A</t>
  </si>
  <si>
    <t>E3838B</t>
  </si>
  <si>
    <t>1 Panels - CE-006-002i-C-24</t>
  </si>
  <si>
    <t>E3838C</t>
  </si>
  <si>
    <t>E3838D</t>
  </si>
  <si>
    <t>3 Panels - CE-006-002i-C-24</t>
  </si>
  <si>
    <t>E3838E</t>
  </si>
  <si>
    <t>8 Panels - CE-006-002i-C-24</t>
  </si>
  <si>
    <t>E3838F</t>
  </si>
  <si>
    <t>E3839</t>
  </si>
  <si>
    <t>Nitrogen Sparge</t>
  </si>
  <si>
    <t>E3840</t>
  </si>
  <si>
    <t>Mike S</t>
  </si>
  <si>
    <t>279 Mike S</t>
  </si>
  <si>
    <t>E3841</t>
  </si>
  <si>
    <t>Vending Machine R&amp;D Project</t>
  </si>
  <si>
    <t>E3842</t>
  </si>
  <si>
    <t xml:space="preserve">2nd Round of Ampco Pumps </t>
  </si>
  <si>
    <t>Onion Line Refurbish</t>
  </si>
  <si>
    <t>E3844</t>
  </si>
  <si>
    <t>Roll Up Door PLC</t>
  </si>
  <si>
    <t>E3844A</t>
  </si>
  <si>
    <t>Replacement PLC for Roll Up Door</t>
  </si>
  <si>
    <t>RSA031225-245-1</t>
  </si>
  <si>
    <t>Pat Benedyk</t>
  </si>
  <si>
    <t>Retort Drive Shaft Emergency Repair</t>
  </si>
  <si>
    <t>E3846</t>
  </si>
  <si>
    <t xml:space="preserve">Nitrogen Sparge Install startup Support </t>
  </si>
  <si>
    <t>E3847</t>
  </si>
  <si>
    <t xml:space="preserve">Brian Regal </t>
  </si>
  <si>
    <t xml:space="preserve">COP Tank Modifcations. </t>
  </si>
  <si>
    <t>E3848</t>
  </si>
  <si>
    <t>RSA Robot Test Bench</t>
  </si>
  <si>
    <t>E3849</t>
  </si>
  <si>
    <t>P1720</t>
  </si>
  <si>
    <t>Filler Trolley</t>
  </si>
  <si>
    <t>work is complete waitong on po</t>
  </si>
  <si>
    <t>E3850</t>
  </si>
  <si>
    <t>Pit</t>
  </si>
  <si>
    <t>E3850A</t>
  </si>
  <si>
    <t>Pit 1/6/25-1/9/25</t>
  </si>
  <si>
    <t>E3850B</t>
  </si>
  <si>
    <t>Pit 1/21/25 - 1/28/25</t>
  </si>
  <si>
    <t>E3851</t>
  </si>
  <si>
    <t>Alfa Laval pump head ww</t>
  </si>
  <si>
    <t>E3851A</t>
  </si>
  <si>
    <t>15hp tefc motor</t>
  </si>
  <si>
    <t>E3851B</t>
  </si>
  <si>
    <t>PVC Piping Mods</t>
  </si>
  <si>
    <t>E3851C</t>
  </si>
  <si>
    <t>VFD for flocculant pump 20hp</t>
  </si>
  <si>
    <t>E3851D,E,F</t>
  </si>
  <si>
    <t>Flowmeter, hoses and parts, Eng, machining and parts</t>
  </si>
  <si>
    <t>E3852</t>
  </si>
  <si>
    <t>Jody Neal</t>
  </si>
  <si>
    <t>Feed Center - Soy Bean Mill Addition</t>
  </si>
  <si>
    <t>E3853</t>
  </si>
  <si>
    <t>daf 2 panel cover</t>
  </si>
  <si>
    <t>E3854</t>
  </si>
  <si>
    <t>E3854A</t>
  </si>
  <si>
    <t>Mizkan PMAI</t>
  </si>
  <si>
    <t>Parts for above</t>
  </si>
  <si>
    <t>E3855</t>
  </si>
  <si>
    <t>All</t>
  </si>
  <si>
    <t xml:space="preserve">Blanket 2025 Service PO </t>
  </si>
  <si>
    <t>E3855A</t>
  </si>
  <si>
    <t>Router 12 Gantry 3 Y Axis Replacement</t>
  </si>
  <si>
    <t>E3856</t>
  </si>
  <si>
    <t>Romicon Flow Meter parts and install</t>
  </si>
  <si>
    <t>E3857A-D</t>
  </si>
  <si>
    <t>cardboard compactors</t>
  </si>
  <si>
    <t>3/5 all 4 orders</t>
  </si>
  <si>
    <t>E3858</t>
  </si>
  <si>
    <t>plow frame</t>
  </si>
  <si>
    <t>E3859</t>
  </si>
  <si>
    <t>Header Only for 15 Tanks</t>
  </si>
  <si>
    <t>E3859A</t>
  </si>
  <si>
    <t>Tank 1</t>
  </si>
  <si>
    <t>E3859B</t>
  </si>
  <si>
    <t>Tank 2 through 15</t>
  </si>
  <si>
    <t>INITIAL 50% 04/30/2025</t>
  </si>
  <si>
    <t>E3860</t>
  </si>
  <si>
    <t>Alfa Laval DuraCirc 54 Pump, Gearmotor &amp; Base</t>
  </si>
  <si>
    <t>E3861</t>
  </si>
  <si>
    <t>RS / KR</t>
  </si>
  <si>
    <t>Dryer Fan House</t>
  </si>
  <si>
    <t>E3862</t>
  </si>
  <si>
    <t>TranSlicer Riser Frame</t>
  </si>
  <si>
    <t>Moved to E3870</t>
  </si>
  <si>
    <t>E3863</t>
  </si>
  <si>
    <t>RS/RDS</t>
  </si>
  <si>
    <t>Gold Fish &amp; Trip 1/10/25</t>
  </si>
  <si>
    <t>E3864</t>
  </si>
  <si>
    <t>Case Packer 11 Upgrade PLC &amp; HMI</t>
  </si>
  <si>
    <t>1/15,6/2,6/16,6/16/25</t>
  </si>
  <si>
    <t>E3865</t>
  </si>
  <si>
    <t>150gal CIP Skid</t>
  </si>
  <si>
    <t>E3866</t>
  </si>
  <si>
    <t>AC unit Frame work</t>
  </si>
  <si>
    <t>E3867</t>
  </si>
  <si>
    <t>work is completed needs invoicing</t>
  </si>
  <si>
    <t>E3868</t>
  </si>
  <si>
    <t>Arconic Tower Control Panel</t>
  </si>
  <si>
    <t>E3869</t>
  </si>
  <si>
    <t>ZP2-030 Pump Base</t>
  </si>
  <si>
    <t>E3870</t>
  </si>
  <si>
    <t>RS/JW/KR</t>
  </si>
  <si>
    <t>Pack Line 3 Engineering</t>
  </si>
  <si>
    <t>E3871</t>
  </si>
  <si>
    <t>Duracirc 54 Pump</t>
  </si>
  <si>
    <t>E3872</t>
  </si>
  <si>
    <t>JW/MM</t>
  </si>
  <si>
    <t>6 3D Printed Cheesecake Vacuum Tools</t>
  </si>
  <si>
    <t>E3873</t>
  </si>
  <si>
    <t>Native Nations Cannabis</t>
  </si>
  <si>
    <t>Onsite Trip Ethanol</t>
  </si>
  <si>
    <t>E3874</t>
  </si>
  <si>
    <t>P1786</t>
  </si>
  <si>
    <t>Bidleman Chevrolet</t>
  </si>
  <si>
    <t>compressor install</t>
  </si>
  <si>
    <t>E3874A</t>
  </si>
  <si>
    <t>Compressor Additional Services</t>
  </si>
  <si>
    <t>E3875</t>
  </si>
  <si>
    <t>BALANCE THE BLOWER</t>
  </si>
  <si>
    <t>E3876</t>
  </si>
  <si>
    <t>Bitter end Trading</t>
  </si>
  <si>
    <t>Neil dubois</t>
  </si>
  <si>
    <t>CMF400 Meter Sale</t>
  </si>
  <si>
    <t>HW 2/19</t>
  </si>
  <si>
    <t>E3877</t>
  </si>
  <si>
    <t>RS/RDS/MM</t>
  </si>
  <si>
    <t xml:space="preserve">Water Booster Pump Install </t>
  </si>
  <si>
    <t>billed</t>
  </si>
  <si>
    <t>E3878</t>
  </si>
  <si>
    <t>Patrick Benedyk</t>
  </si>
  <si>
    <t>1 pound butter machine, Engineered parts drawings</t>
  </si>
  <si>
    <t>hh</t>
  </si>
  <si>
    <t>E3879</t>
  </si>
  <si>
    <t>Make a crane Hoist out back</t>
  </si>
  <si>
    <t>E3880</t>
  </si>
  <si>
    <t>cf 3/5</t>
  </si>
  <si>
    <t>Q441</t>
  </si>
  <si>
    <t>E3881</t>
  </si>
  <si>
    <t>Derek Proto</t>
  </si>
  <si>
    <t>300 L DownStream Tank</t>
  </si>
  <si>
    <t>Q0428 Rev 3</t>
  </si>
  <si>
    <t>E3882</t>
  </si>
  <si>
    <t>Wash Drive Panel and Onsite Work</t>
  </si>
  <si>
    <t>E3883</t>
  </si>
  <si>
    <t>E3884</t>
  </si>
  <si>
    <t>Roller track</t>
  </si>
  <si>
    <t>Q0461-Roller Bar</t>
  </si>
  <si>
    <t>need change order</t>
  </si>
  <si>
    <t>E3885</t>
  </si>
  <si>
    <t>Supply Air to MaCC recieving</t>
  </si>
  <si>
    <t>QOTD0421A</t>
  </si>
  <si>
    <t>E3886</t>
  </si>
  <si>
    <t>Waste water pit piping installation</t>
  </si>
  <si>
    <t>Q0364B</t>
  </si>
  <si>
    <t>E3887</t>
  </si>
  <si>
    <t>Waste water  meter install</t>
  </si>
  <si>
    <t>E3888</t>
  </si>
  <si>
    <t>Hot water heater</t>
  </si>
  <si>
    <t>q0451A</t>
  </si>
  <si>
    <t>E3889</t>
  </si>
  <si>
    <t>eyewash station</t>
  </si>
  <si>
    <t>q0451B</t>
  </si>
  <si>
    <t>E3890</t>
  </si>
  <si>
    <t>Rs</t>
  </si>
  <si>
    <t>Lettuce Washer Gordy Onsite</t>
  </si>
  <si>
    <t>E3891</t>
  </si>
  <si>
    <t>build a cover plate for fanuc motor</t>
  </si>
  <si>
    <t>E3892</t>
  </si>
  <si>
    <t>Adfors SGB</t>
  </si>
  <si>
    <t>Mixer Evaluation and V38 Program Change</t>
  </si>
  <si>
    <t>Q456,Q457</t>
  </si>
  <si>
    <t>E3893</t>
  </si>
  <si>
    <t>waste water mbbr 3 pipe stands</t>
  </si>
  <si>
    <t>q0475</t>
  </si>
  <si>
    <t>E3894</t>
  </si>
  <si>
    <t>make railings for alvery palitizer</t>
  </si>
  <si>
    <t>q0460</t>
  </si>
  <si>
    <t>E3895</t>
  </si>
  <si>
    <t>RDS/RS</t>
  </si>
  <si>
    <t>Delta</t>
  </si>
  <si>
    <t>Bulk Powder Mixing - Tracking for bag handler sale only - NO TIME</t>
  </si>
  <si>
    <t>E3896</t>
  </si>
  <si>
    <t>Wahoolocker</t>
  </si>
  <si>
    <t>pump sale, seal sale, and fittings</t>
  </si>
  <si>
    <t>95,5</t>
  </si>
  <si>
    <t>final invoice sent 04/30</t>
  </si>
  <si>
    <t>E3897</t>
  </si>
  <si>
    <t>frANK mack III</t>
  </si>
  <si>
    <t>shaft replacement</t>
  </si>
  <si>
    <t>q0479</t>
  </si>
  <si>
    <t>E3898</t>
  </si>
  <si>
    <t>Hot Water Set Handshaking</t>
  </si>
  <si>
    <t>E3899</t>
  </si>
  <si>
    <t>Gov't Contract / Vegas Trip Rick</t>
  </si>
  <si>
    <t>E3900</t>
  </si>
  <si>
    <t>RDS/MM</t>
  </si>
  <si>
    <t>565 Tank Automation</t>
  </si>
  <si>
    <t>E3901</t>
  </si>
  <si>
    <t>Supply air to the uf receiving bay</t>
  </si>
  <si>
    <t>work is completed. we need jason's po.</t>
  </si>
  <si>
    <t>E3902</t>
  </si>
  <si>
    <t>james magana</t>
  </si>
  <si>
    <t>build a shaft gaurd</t>
  </si>
  <si>
    <t>q0483</t>
  </si>
  <si>
    <t>E3903</t>
  </si>
  <si>
    <t>L1 Camera and Case Reject</t>
  </si>
  <si>
    <t>E3903A</t>
  </si>
  <si>
    <t>L1 Camera and Case Reject - Labor Sub Job</t>
  </si>
  <si>
    <t>E3903B</t>
  </si>
  <si>
    <t>Replacement Touchscreen for L1 Vision System</t>
  </si>
  <si>
    <t>E3904</t>
  </si>
  <si>
    <t>ENP</t>
  </si>
  <si>
    <t>Frank Mack III</t>
  </si>
  <si>
    <t>Butter Machine Bushings and Machining</t>
  </si>
  <si>
    <t>E3905</t>
  </si>
  <si>
    <t>ENP, JT</t>
  </si>
  <si>
    <t>E3906</t>
  </si>
  <si>
    <t>screen repair</t>
  </si>
  <si>
    <t>E3907</t>
  </si>
  <si>
    <t>Automation Direct Programming Support</t>
  </si>
  <si>
    <t>E3908</t>
  </si>
  <si>
    <t>JT, RDS, TF</t>
  </si>
  <si>
    <t>CIP Skid Quote - Cost Tracking</t>
  </si>
  <si>
    <t>E3909</t>
  </si>
  <si>
    <t>Hydraulic Dumper Repair</t>
  </si>
  <si>
    <t>E3910</t>
  </si>
  <si>
    <t>JT, BV</t>
  </si>
  <si>
    <t>Box Nesting Reverse Engineering</t>
  </si>
  <si>
    <t>E3911</t>
  </si>
  <si>
    <t>Ben,JT, KR</t>
  </si>
  <si>
    <t>safety interloc wiring and programing</t>
  </si>
  <si>
    <t>E3912</t>
  </si>
  <si>
    <t>Q0460</t>
  </si>
  <si>
    <t>JW KR</t>
  </si>
  <si>
    <t xml:space="preserve">conveyor crossover </t>
  </si>
  <si>
    <t>partial invoice for down pmt sent</t>
  </si>
  <si>
    <t>E3913</t>
  </si>
  <si>
    <t>Conveyor Drive Roller Rework</t>
  </si>
  <si>
    <t>E3914</t>
  </si>
  <si>
    <t>E3720 moved to</t>
  </si>
  <si>
    <t>E3915</t>
  </si>
  <si>
    <t>RS/TN</t>
  </si>
  <si>
    <t>Coupling Install</t>
  </si>
  <si>
    <t>E3916</t>
  </si>
  <si>
    <t>TF /TN</t>
  </si>
  <si>
    <t>Denkavit /Grober 2025 Ozone Rental</t>
  </si>
  <si>
    <t>Ozone Rental February 2025 - January 2026</t>
  </si>
  <si>
    <t>E3916A</t>
  </si>
  <si>
    <t>TF/TN</t>
  </si>
  <si>
    <t>Ozone Panel  Build</t>
  </si>
  <si>
    <t>E3917</t>
  </si>
  <si>
    <t>Saint-Gobain Albion</t>
  </si>
  <si>
    <t>Jerry Mientkiewicz</t>
  </si>
  <si>
    <t>Wash Tank Modifications</t>
  </si>
  <si>
    <t>E3918</t>
  </si>
  <si>
    <t>JW/RDS</t>
  </si>
  <si>
    <t>Telescoping Tilt Stands</t>
  </si>
  <si>
    <t>E3919</t>
  </si>
  <si>
    <t>Boiler &amp; WWPTP Compressed Airline</t>
  </si>
  <si>
    <t>E3920</t>
  </si>
  <si>
    <t>Technofil Tower Panels</t>
  </si>
  <si>
    <t>6/3/2025 &amp; 9/9/2025</t>
  </si>
  <si>
    <t>Initial 25% milestone-06/3</t>
  </si>
  <si>
    <t>E3921</t>
  </si>
  <si>
    <t xml:space="preserve">Craig VanCassele </t>
  </si>
  <si>
    <t>HVAC Demo</t>
  </si>
  <si>
    <t>E3922</t>
  </si>
  <si>
    <t>E3923</t>
  </si>
  <si>
    <t>L7 Camera Install</t>
  </si>
  <si>
    <t>E3924</t>
  </si>
  <si>
    <t>Vegetable waste emulsifier disposal pump</t>
  </si>
  <si>
    <t>E3925</t>
  </si>
  <si>
    <t>RS,TF</t>
  </si>
  <si>
    <t>AGC Starch Coling Plate HEX</t>
  </si>
  <si>
    <t>E3926</t>
  </si>
  <si>
    <t>Additional Telescoping Tilt Stands</t>
  </si>
  <si>
    <t>E3927</t>
  </si>
  <si>
    <t>Tank Inlet Headers</t>
  </si>
  <si>
    <t>E3927A</t>
  </si>
  <si>
    <t>Bulk Tank Discharge Pump Risers</t>
  </si>
  <si>
    <t>E3928</t>
  </si>
  <si>
    <t>Onsite Engineering Services - T&amp;M</t>
  </si>
  <si>
    <t>240hrs @ $125 already purchased un E3708. This may eventually get moved under that header if we don't cross the threshold of hours.</t>
  </si>
  <si>
    <t>E3929</t>
  </si>
  <si>
    <t>ZP3-030 Pump</t>
  </si>
  <si>
    <t>50 % down payment</t>
  </si>
  <si>
    <t>E3930</t>
  </si>
  <si>
    <t>Rao Filler Despositor</t>
  </si>
  <si>
    <t>E3931</t>
  </si>
  <si>
    <t>Air Make Up Unit Installed in Warehouse</t>
  </si>
  <si>
    <t>E3932</t>
  </si>
  <si>
    <t>Employee Pod/Rest Area</t>
  </si>
  <si>
    <t>E3933</t>
  </si>
  <si>
    <t>Large Break Room</t>
  </si>
  <si>
    <t>E3934</t>
  </si>
  <si>
    <t>Wash Tank Spray Ball</t>
  </si>
  <si>
    <t>E3935</t>
  </si>
  <si>
    <t>Continued Remote Support - T&amp;M, Bill Monthly</t>
  </si>
  <si>
    <t>E3936</t>
  </si>
  <si>
    <t>C1 and C2 Batch Panels</t>
  </si>
  <si>
    <t>E3937</t>
  </si>
  <si>
    <t>Vaccuum Crane</t>
  </si>
  <si>
    <t>E3937A</t>
  </si>
  <si>
    <t>Change Order New End Effector</t>
  </si>
  <si>
    <t xml:space="preserve">E3938 </t>
  </si>
  <si>
    <t>John Berg Onsite Services</t>
  </si>
  <si>
    <t>Weekly Invoice</t>
  </si>
  <si>
    <t>E3939</t>
  </si>
  <si>
    <t>E3940</t>
  </si>
  <si>
    <t>Chris Cotriss</t>
  </si>
  <si>
    <t>Septic</t>
  </si>
  <si>
    <t>E3941</t>
  </si>
  <si>
    <t>Finishing the Onion Line - Top Tailer and Peeler Electrical</t>
  </si>
  <si>
    <t>E3942</t>
  </si>
  <si>
    <t>3D Printed Gear</t>
  </si>
  <si>
    <t>E3943</t>
  </si>
  <si>
    <t>Can Line Sensor Replacement</t>
  </si>
  <si>
    <t>E3944</t>
  </si>
  <si>
    <t xml:space="preserve">Onion Boring Arbor </t>
  </si>
  <si>
    <t>E3945</t>
  </si>
  <si>
    <t>Jason verbal given 9/26</t>
  </si>
  <si>
    <t>E3946</t>
  </si>
  <si>
    <t xml:space="preserve">Pride Pak </t>
  </si>
  <si>
    <t xml:space="preserve">Line 3 Commisioning </t>
  </si>
  <si>
    <t>E3947</t>
  </si>
  <si>
    <t>w</t>
  </si>
  <si>
    <t>Salad Spinner Baskets</t>
  </si>
  <si>
    <t>E3948</t>
  </si>
  <si>
    <t>Matt Knight</t>
  </si>
  <si>
    <t>Sanitation Skid 2</t>
  </si>
  <si>
    <t>E3949</t>
  </si>
  <si>
    <t>Q0532, Q0574, Q0584</t>
  </si>
  <si>
    <t>ABB Plating Line Pre Engineering Services</t>
  </si>
  <si>
    <t>19hrs</t>
  </si>
  <si>
    <t>E3950</t>
  </si>
  <si>
    <t>Haverill Retort Control Panels</t>
  </si>
  <si>
    <t>50% Less Install</t>
  </si>
  <si>
    <t>E3951</t>
  </si>
  <si>
    <t>Southco</t>
  </si>
  <si>
    <t>Samuel Ologun</t>
  </si>
  <si>
    <t xml:space="preserve">Eyelet Machine Modifications </t>
  </si>
  <si>
    <t>E3952</t>
  </si>
  <si>
    <t>Nitrogen Sparge Spares</t>
  </si>
  <si>
    <t>E3953</t>
  </si>
  <si>
    <t>TF, JT</t>
  </si>
  <si>
    <t>Shawn Davenport</t>
  </si>
  <si>
    <t xml:space="preserve">Ozone Generator Rental Agreement </t>
  </si>
  <si>
    <t>E3953A</t>
  </si>
  <si>
    <t xml:space="preserve">Ozone Install </t>
  </si>
  <si>
    <t>E3954</t>
  </si>
  <si>
    <t>Electrical Install and Materials</t>
  </si>
  <si>
    <t>Q0554, Q0568</t>
  </si>
  <si>
    <t>E3955</t>
  </si>
  <si>
    <t>Christian Bakula</t>
  </si>
  <si>
    <t>E3956</t>
  </si>
  <si>
    <t>RDS,TF</t>
  </si>
  <si>
    <t>Dora's Naturals, INC</t>
  </si>
  <si>
    <t>Jim Rosa</t>
  </si>
  <si>
    <t>Partial</t>
  </si>
  <si>
    <t>E3956A</t>
  </si>
  <si>
    <t>RDS, TF</t>
  </si>
  <si>
    <t>Travel cost for looking at equipment</t>
  </si>
  <si>
    <t>E3956B</t>
  </si>
  <si>
    <t>Tracking Purposes at this point for Kettle Modifications</t>
  </si>
  <si>
    <t>E3957</t>
  </si>
  <si>
    <t>rs,jw</t>
  </si>
  <si>
    <t>add air shutoffs on alvey conveyor line</t>
  </si>
  <si>
    <t>E3958</t>
  </si>
  <si>
    <t>Oatka Fencing Project</t>
  </si>
  <si>
    <t>E3958A</t>
  </si>
  <si>
    <t>Fence Install</t>
  </si>
  <si>
    <t>E3959</t>
  </si>
  <si>
    <t>Line 1 Bottle Dryer Service</t>
  </si>
  <si>
    <t>E3960</t>
  </si>
  <si>
    <t>Mixer Repair</t>
  </si>
  <si>
    <t>E3961</t>
  </si>
  <si>
    <t>Acetate Pump Emergency VFD Replacement</t>
  </si>
  <si>
    <t>E3962</t>
  </si>
  <si>
    <t>TF,RS,RDS</t>
  </si>
  <si>
    <t>Craig VanCassle</t>
  </si>
  <si>
    <t>Pudding HTST Pre Engineering Only 40hrs</t>
  </si>
  <si>
    <t>E3962A</t>
  </si>
  <si>
    <t>Pudding HTST- Materials</t>
  </si>
  <si>
    <t>E3963</t>
  </si>
  <si>
    <t>Rick said close no charge owed him</t>
  </si>
  <si>
    <t>E3964</t>
  </si>
  <si>
    <t>Eastman Machine</t>
  </si>
  <si>
    <t>Thomas Moran</t>
  </si>
  <si>
    <t>Eastman Laser Recontrol</t>
  </si>
  <si>
    <t>Q0559 Rev1</t>
  </si>
  <si>
    <t>E3965</t>
  </si>
  <si>
    <t>Hoist Control Panels</t>
  </si>
  <si>
    <t>Q0532 Rev A</t>
  </si>
  <si>
    <t>E3966</t>
  </si>
  <si>
    <t>Emergency Feed Center PV Replacement</t>
  </si>
  <si>
    <t>E3967</t>
  </si>
  <si>
    <t>Cocojune</t>
  </si>
  <si>
    <t xml:space="preserve">Modern Filler Evalutation </t>
  </si>
  <si>
    <t>E3968</t>
  </si>
  <si>
    <t>Butter Line</t>
  </si>
  <si>
    <t>E3969</t>
  </si>
  <si>
    <t>VFD Upgrade for Nester Machines</t>
  </si>
  <si>
    <t>Job Number</t>
  </si>
  <si>
    <t>Vendor</t>
  </si>
  <si>
    <t>Date Inv</t>
  </si>
  <si>
    <t>P0738</t>
  </si>
  <si>
    <t xml:space="preserve">Cedar's </t>
  </si>
  <si>
    <t>Twin Scre Pump and Seals</t>
  </si>
  <si>
    <t>P0773</t>
  </si>
  <si>
    <t>Cream cheese pump RMA</t>
  </si>
  <si>
    <t>P0800</t>
  </si>
  <si>
    <t>Baldor Motor</t>
  </si>
  <si>
    <t>P0801</t>
  </si>
  <si>
    <t>VFDs</t>
  </si>
  <si>
    <t>CN10256369</t>
  </si>
  <si>
    <t>P0802</t>
  </si>
  <si>
    <t>Big Ditch</t>
  </si>
  <si>
    <t>Coriolis Meter</t>
  </si>
  <si>
    <t>2022-04-07-MBK-01</t>
  </si>
  <si>
    <t>P0803</t>
  </si>
  <si>
    <t>Single Homogenizer Trail</t>
  </si>
  <si>
    <t>P0804</t>
  </si>
  <si>
    <t>P0805</t>
  </si>
  <si>
    <t>Photosensor</t>
  </si>
  <si>
    <t>P0806</t>
  </si>
  <si>
    <t>Vacuum Ejector</t>
  </si>
  <si>
    <t>P0807</t>
  </si>
  <si>
    <t>Photosensors and Relays</t>
  </si>
  <si>
    <t>P0808</t>
  </si>
  <si>
    <t>Heartfelt</t>
  </si>
  <si>
    <t>Steam Generator</t>
  </si>
  <si>
    <t>P0809</t>
  </si>
  <si>
    <t>Jaw Gripper</t>
  </si>
  <si>
    <t>P0810</t>
  </si>
  <si>
    <t>RTD and Wiring Puck</t>
  </si>
  <si>
    <t>1-193200</t>
  </si>
  <si>
    <t>P0811</t>
  </si>
  <si>
    <t>Proxes and Brackets</t>
  </si>
  <si>
    <t>P0812</t>
  </si>
  <si>
    <t>Push Buttons</t>
  </si>
  <si>
    <t>P0813</t>
  </si>
  <si>
    <t>Bray 920930 w Mounting Units</t>
  </si>
  <si>
    <t>P0814</t>
  </si>
  <si>
    <t>LiDestri</t>
  </si>
  <si>
    <t>Valves</t>
  </si>
  <si>
    <t>P0815</t>
  </si>
  <si>
    <t>P0202276</t>
  </si>
  <si>
    <t>P0816</t>
  </si>
  <si>
    <t>P0817</t>
  </si>
  <si>
    <t>ILM RMA</t>
  </si>
  <si>
    <t>P0818</t>
  </si>
  <si>
    <t>Turk Prox Plugs</t>
  </si>
  <si>
    <t>27001C016-0000-000</t>
  </si>
  <si>
    <t>P0819</t>
  </si>
  <si>
    <t>Upstate w/ Seneca</t>
  </si>
  <si>
    <t>Manifold Parts</t>
  </si>
  <si>
    <t>P0820</t>
  </si>
  <si>
    <t>Grease Gun</t>
  </si>
  <si>
    <t>P0821</t>
  </si>
  <si>
    <t>P0822</t>
  </si>
  <si>
    <t>Seal Kits</t>
  </si>
  <si>
    <t>54-2653</t>
  </si>
  <si>
    <t>P0823</t>
  </si>
  <si>
    <t>Seal Kits 2</t>
  </si>
  <si>
    <t>54-2660</t>
  </si>
  <si>
    <t>P0824</t>
  </si>
  <si>
    <t>Pneumatic Cylinder</t>
  </si>
  <si>
    <t>2700K027-0000-000</t>
  </si>
  <si>
    <t>P0825</t>
  </si>
  <si>
    <t>Sensagaurd</t>
  </si>
  <si>
    <t>P0826</t>
  </si>
  <si>
    <t>Gantes and Elbows</t>
  </si>
  <si>
    <t>P0827</t>
  </si>
  <si>
    <t>MP/RSJ/JT</t>
  </si>
  <si>
    <t>1762-OF4</t>
  </si>
  <si>
    <t>P0828</t>
  </si>
  <si>
    <t>PWRFLX Drives / HP</t>
  </si>
  <si>
    <t>3 drives remain partial billing 5,9,11</t>
  </si>
  <si>
    <t>P0829</t>
  </si>
  <si>
    <t>Gear Drive</t>
  </si>
  <si>
    <t>CP2201</t>
  </si>
  <si>
    <t>P0830</t>
  </si>
  <si>
    <t>Richards Equipment</t>
  </si>
  <si>
    <t>Seal Kit</t>
  </si>
  <si>
    <t>P0831</t>
  </si>
  <si>
    <t>Onsite Service</t>
  </si>
  <si>
    <t>Onsite Controls</t>
  </si>
  <si>
    <t>P0832</t>
  </si>
  <si>
    <t>Steam Generation</t>
  </si>
  <si>
    <t>P0833</t>
  </si>
  <si>
    <t>Billitier Electrical</t>
  </si>
  <si>
    <t>??? Onsite</t>
  </si>
  <si>
    <t>P0834</t>
  </si>
  <si>
    <t>Dryer Plate</t>
  </si>
  <si>
    <t>P0835</t>
  </si>
  <si>
    <t>Pressure Trans + RTDs</t>
  </si>
  <si>
    <t>1-193964</t>
  </si>
  <si>
    <t>P0836</t>
  </si>
  <si>
    <t>Angle Seat Valves</t>
  </si>
  <si>
    <t>P0837</t>
  </si>
  <si>
    <t>Banner Parts</t>
  </si>
  <si>
    <t>27001055-0000-000</t>
  </si>
  <si>
    <t>P0838</t>
  </si>
  <si>
    <t>Onsite ??</t>
  </si>
  <si>
    <t>P0034616</t>
  </si>
  <si>
    <t>P0839</t>
  </si>
  <si>
    <t>LFV Pump</t>
  </si>
  <si>
    <t>54-2794</t>
  </si>
  <si>
    <t>P0840</t>
  </si>
  <si>
    <t>UV Parts</t>
  </si>
  <si>
    <t>P0841</t>
  </si>
  <si>
    <t>SICK Sensors</t>
  </si>
  <si>
    <t>P0842</t>
  </si>
  <si>
    <t>1-194127</t>
  </si>
  <si>
    <t>P0843</t>
  </si>
  <si>
    <t>Stark Compression</t>
  </si>
  <si>
    <t>54-2819</t>
  </si>
  <si>
    <t>P0844</t>
  </si>
  <si>
    <t>Control Top</t>
  </si>
  <si>
    <t>P0845</t>
  </si>
  <si>
    <t>Hope Panelview</t>
  </si>
  <si>
    <t>P0846</t>
  </si>
  <si>
    <t>Panelviews</t>
  </si>
  <si>
    <t>1-194187</t>
  </si>
  <si>
    <t>P0847</t>
  </si>
  <si>
    <t>New Powered Rollers</t>
  </si>
  <si>
    <t>P0848</t>
  </si>
  <si>
    <t>P0849</t>
  </si>
  <si>
    <t>Pushbutton Parts</t>
  </si>
  <si>
    <t>P0850</t>
  </si>
  <si>
    <t>P0851</t>
  </si>
  <si>
    <t>RTD Pucks</t>
  </si>
  <si>
    <t>1-1-94424</t>
  </si>
  <si>
    <t>P0852</t>
  </si>
  <si>
    <t>Plate Heat Exchanger</t>
  </si>
  <si>
    <t>BH-15291-4220159</t>
  </si>
  <si>
    <t>P0853</t>
  </si>
  <si>
    <t>Inductive Sensor</t>
  </si>
  <si>
    <t>27001079-0000-000</t>
  </si>
  <si>
    <t>P0854</t>
  </si>
  <si>
    <t>Sink + Parts</t>
  </si>
  <si>
    <t>P0855</t>
  </si>
  <si>
    <t>P0856</t>
  </si>
  <si>
    <t>MP/SD</t>
  </si>
  <si>
    <t>Upstate</t>
  </si>
  <si>
    <t>Photoeye</t>
  </si>
  <si>
    <t>P0857</t>
  </si>
  <si>
    <t>Powerflex VFD</t>
  </si>
  <si>
    <t>P0858</t>
  </si>
  <si>
    <t>Adapter Kit</t>
  </si>
  <si>
    <t>P0859</t>
  </si>
  <si>
    <t>P0860</t>
  </si>
  <si>
    <t>Wrapping Machine Service</t>
  </si>
  <si>
    <t>P0861</t>
  </si>
  <si>
    <t>Photosensors</t>
  </si>
  <si>
    <t>P0862</t>
  </si>
  <si>
    <t>Solenoids</t>
  </si>
  <si>
    <t>P0863</t>
  </si>
  <si>
    <t>I/O Parts</t>
  </si>
  <si>
    <t>P0864</t>
  </si>
  <si>
    <t>Mizkan Lyndonville</t>
  </si>
  <si>
    <t>Romicon PLC</t>
  </si>
  <si>
    <t>P0865</t>
  </si>
  <si>
    <t>BH-15345-42200170</t>
  </si>
  <si>
    <t>P0866</t>
  </si>
  <si>
    <t>Nagmeter and Eaton</t>
  </si>
  <si>
    <t>P0867</t>
  </si>
  <si>
    <t>JT/CF</t>
  </si>
  <si>
    <t>Cable</t>
  </si>
  <si>
    <t>P0868</t>
  </si>
  <si>
    <t>Shortening Plugs</t>
  </si>
  <si>
    <t>P0869</t>
  </si>
  <si>
    <t>Regulating Valve</t>
  </si>
  <si>
    <t>P-119466</t>
  </si>
  <si>
    <t>P0870</t>
  </si>
  <si>
    <t>P0871</t>
  </si>
  <si>
    <t>NE/DP</t>
  </si>
  <si>
    <t>Precious Plate</t>
  </si>
  <si>
    <t>Service Line 21 Logic</t>
  </si>
  <si>
    <t>P0872</t>
  </si>
  <si>
    <t>Studio 5000 Gaurdlogix</t>
  </si>
  <si>
    <t>P0873</t>
  </si>
  <si>
    <t>Ampco Seals</t>
  </si>
  <si>
    <t>P0874</t>
  </si>
  <si>
    <t>LMI Pump</t>
  </si>
  <si>
    <t>1-195223</t>
  </si>
  <si>
    <t>P0875</t>
  </si>
  <si>
    <t>4&amp;6 HP Drives</t>
  </si>
  <si>
    <t>P0876</t>
  </si>
  <si>
    <t>Empire</t>
  </si>
  <si>
    <t>HUF Panels</t>
  </si>
  <si>
    <t>P0877</t>
  </si>
  <si>
    <t>SQL Reporting</t>
  </si>
  <si>
    <t>P0878</t>
  </si>
  <si>
    <t>Face Washer</t>
  </si>
  <si>
    <t>P0035479</t>
  </si>
  <si>
    <t>P0879</t>
  </si>
  <si>
    <t>Trans Drivers</t>
  </si>
  <si>
    <t>ALPO-00343</t>
  </si>
  <si>
    <t>P0880</t>
  </si>
  <si>
    <t>TBD/Per Rick</t>
  </si>
  <si>
    <t>P0881</t>
  </si>
  <si>
    <t>15HP VFD</t>
  </si>
  <si>
    <t>P0882</t>
  </si>
  <si>
    <t>Conveyors</t>
  </si>
  <si>
    <t>P0883</t>
  </si>
  <si>
    <t>RSA070722-0099</t>
  </si>
  <si>
    <t>P0884</t>
  </si>
  <si>
    <t>Broken Disconnect Handle</t>
  </si>
  <si>
    <t>BH-15398-4220170</t>
  </si>
  <si>
    <t>P0885</t>
  </si>
  <si>
    <t>P0886</t>
  </si>
  <si>
    <t>Graco Saniforce Pump</t>
  </si>
  <si>
    <t>1-195531</t>
  </si>
  <si>
    <t>P0887</t>
  </si>
  <si>
    <t>ZC2 Pump</t>
  </si>
  <si>
    <t>1-195528</t>
  </si>
  <si>
    <t>P0888</t>
  </si>
  <si>
    <t>Micro 800</t>
  </si>
  <si>
    <t>P0889</t>
  </si>
  <si>
    <t>Poverty Hill Farm</t>
  </si>
  <si>
    <t>Cable, Uthm ??, turn RSA</t>
  </si>
  <si>
    <t>P0890</t>
  </si>
  <si>
    <t>Conveyor</t>
  </si>
  <si>
    <t>P0891</t>
  </si>
  <si>
    <t>S.C.</t>
  </si>
  <si>
    <t>P0892</t>
  </si>
  <si>
    <t>Valve Repair Set</t>
  </si>
  <si>
    <t>P0893</t>
  </si>
  <si>
    <t>P0894</t>
  </si>
  <si>
    <t>P0895</t>
  </si>
  <si>
    <t>Software SQL</t>
  </si>
  <si>
    <t>ALPO-00244</t>
  </si>
  <si>
    <t>P0896</t>
  </si>
  <si>
    <t>Ition Work</t>
  </si>
  <si>
    <t>P0897</t>
  </si>
  <si>
    <t>Destributed Pump</t>
  </si>
  <si>
    <t>P0898</t>
  </si>
  <si>
    <t>P0899</t>
  </si>
  <si>
    <t>15HP 525 PowerFlex</t>
  </si>
  <si>
    <t>BH-15434-4220170</t>
  </si>
  <si>
    <t>Screen Door</t>
  </si>
  <si>
    <t>P0901</t>
  </si>
  <si>
    <t>K-5 Knitter Down</t>
  </si>
  <si>
    <t>Mitch V</t>
  </si>
  <si>
    <t>P0902</t>
  </si>
  <si>
    <t>P0903</t>
  </si>
  <si>
    <t>Nutra Blend</t>
  </si>
  <si>
    <t>Panasonic PLC + HMI Service</t>
  </si>
  <si>
    <t>P0904</t>
  </si>
  <si>
    <t>Certainteed Buffalo</t>
  </si>
  <si>
    <t>Belt</t>
  </si>
  <si>
    <t>P0905</t>
  </si>
  <si>
    <t>P0906</t>
  </si>
  <si>
    <t>P0907</t>
  </si>
  <si>
    <t>Logic Controller</t>
  </si>
  <si>
    <t>P0908</t>
  </si>
  <si>
    <t>Patch Cables</t>
  </si>
  <si>
    <t>27001162-0000-000</t>
  </si>
  <si>
    <t>P0909</t>
  </si>
  <si>
    <t>2x15 HP VFD's</t>
  </si>
  <si>
    <t>P0910</t>
  </si>
  <si>
    <t>Level Probes</t>
  </si>
  <si>
    <t>1-196335</t>
  </si>
  <si>
    <t>P0911</t>
  </si>
  <si>
    <t>Cone Rental</t>
  </si>
  <si>
    <t>P0912</t>
  </si>
  <si>
    <t>CF/RSJ</t>
  </si>
  <si>
    <t>R Angle Die Cordinater</t>
  </si>
  <si>
    <t>P0913</t>
  </si>
  <si>
    <t>CIP Replacement IO</t>
  </si>
  <si>
    <t>P0914</t>
  </si>
  <si>
    <t>I/P for Valves</t>
  </si>
  <si>
    <t>P0915</t>
  </si>
  <si>
    <t>St. Gobain Albion</t>
  </si>
  <si>
    <t>Grinder RMA</t>
  </si>
  <si>
    <t>P0916</t>
  </si>
  <si>
    <t>1 HP Powerflex</t>
  </si>
  <si>
    <t>P0917</t>
  </si>
  <si>
    <t>Switch Parts</t>
  </si>
  <si>
    <t>P0918</t>
  </si>
  <si>
    <t>Flange Extension</t>
  </si>
  <si>
    <t>27001175-0000-000</t>
  </si>
  <si>
    <t>P0919</t>
  </si>
  <si>
    <t>Machine Down Service Call</t>
  </si>
  <si>
    <t xml:space="preserve">                                                                            </t>
  </si>
  <si>
    <t>P0920</t>
  </si>
  <si>
    <t>AB PLC</t>
  </si>
  <si>
    <t>P0921</t>
  </si>
  <si>
    <t>Thermal Pens</t>
  </si>
  <si>
    <t>P0922</t>
  </si>
  <si>
    <t>1-196636</t>
  </si>
  <si>
    <t>P0923</t>
  </si>
  <si>
    <t>ZP3-060-DM Pump</t>
  </si>
  <si>
    <t>54-3422</t>
  </si>
  <si>
    <t>P0924</t>
  </si>
  <si>
    <t>Fidem Energy</t>
  </si>
  <si>
    <t>P0925</t>
  </si>
  <si>
    <t>Steel Totes</t>
  </si>
  <si>
    <t>C/C</t>
  </si>
  <si>
    <t>Need po as of 11/11</t>
  </si>
  <si>
    <t>P0925A</t>
  </si>
  <si>
    <t>Steel Tote Lids</t>
  </si>
  <si>
    <t>On hold for approval as of 11/11</t>
  </si>
  <si>
    <t>P0926</t>
  </si>
  <si>
    <t>Servo</t>
  </si>
  <si>
    <t>P0927</t>
  </si>
  <si>
    <t>JT/MM</t>
  </si>
  <si>
    <t>Power Supply Replace</t>
  </si>
  <si>
    <t>P0928</t>
  </si>
  <si>
    <t>P0929</t>
  </si>
  <si>
    <t>Ebay</t>
  </si>
  <si>
    <t>1-196841</t>
  </si>
  <si>
    <t>P0930</t>
  </si>
  <si>
    <t>1756-IF16 Cards</t>
  </si>
  <si>
    <t>P0931</t>
  </si>
  <si>
    <t>Alvin</t>
  </si>
  <si>
    <t>1756-OF4</t>
  </si>
  <si>
    <t>C/C Pay</t>
  </si>
  <si>
    <t>P0932</t>
  </si>
  <si>
    <t>Moxa NAT Module Testing</t>
  </si>
  <si>
    <t>P0933</t>
  </si>
  <si>
    <t>Goulds Pump</t>
  </si>
  <si>
    <t>P0932-JT</t>
  </si>
  <si>
    <t>P0934</t>
  </si>
  <si>
    <t>SS Coil Assebmbly</t>
  </si>
  <si>
    <t>P0935</t>
  </si>
  <si>
    <t>Servo Drive</t>
  </si>
  <si>
    <t>P0935A</t>
  </si>
  <si>
    <t xml:space="preserve">SD  </t>
  </si>
  <si>
    <t>2 Servo Drives</t>
  </si>
  <si>
    <t>P0936</t>
  </si>
  <si>
    <t>Valves and Parts</t>
  </si>
  <si>
    <t>6 watts / kunkles, not supplying closed</t>
  </si>
  <si>
    <t>P0937</t>
  </si>
  <si>
    <t>Floor Draws</t>
  </si>
  <si>
    <t>P0938</t>
  </si>
  <si>
    <t>Rink</t>
  </si>
  <si>
    <t>P0939</t>
  </si>
  <si>
    <t>Service Call</t>
  </si>
  <si>
    <t>P0940</t>
  </si>
  <si>
    <t>Paradigm Enviornmental</t>
  </si>
  <si>
    <t>Safety Panduit</t>
  </si>
  <si>
    <t>P0941</t>
  </si>
  <si>
    <t>2" Valves</t>
  </si>
  <si>
    <t>Verbal Mike</t>
  </si>
  <si>
    <t>P0942</t>
  </si>
  <si>
    <t>P0943</t>
  </si>
  <si>
    <t>Prox Switches</t>
  </si>
  <si>
    <t>BH-15582-42201</t>
  </si>
  <si>
    <t>P0944</t>
  </si>
  <si>
    <t>P0945</t>
  </si>
  <si>
    <t>Cayuga Milk</t>
  </si>
  <si>
    <t>4" Valve + Top</t>
  </si>
  <si>
    <t>P01014613</t>
  </si>
  <si>
    <t>P0946</t>
  </si>
  <si>
    <t>Powerflex 755 Drives</t>
  </si>
  <si>
    <t>1-197336</t>
  </si>
  <si>
    <t>10/11/2022 &amp;12/8/22</t>
  </si>
  <si>
    <t>P0947</t>
  </si>
  <si>
    <t>Filters</t>
  </si>
  <si>
    <t>P0948</t>
  </si>
  <si>
    <t>1-197463</t>
  </si>
  <si>
    <t>P0949</t>
  </si>
  <si>
    <t>Chart Recorder Parts</t>
  </si>
  <si>
    <t>1-197513</t>
  </si>
  <si>
    <t>12/22/22 &amp;11/22/2022</t>
  </si>
  <si>
    <t>P0950</t>
  </si>
  <si>
    <t>Switches</t>
  </si>
  <si>
    <t>1-197542</t>
  </si>
  <si>
    <t>P0951</t>
  </si>
  <si>
    <t>LMI Dosing Pumps</t>
  </si>
  <si>
    <t>1-197573</t>
  </si>
  <si>
    <t xml:space="preserve">invoiced in full </t>
  </si>
  <si>
    <t>P0952</t>
  </si>
  <si>
    <t>Jacks and Scale</t>
  </si>
  <si>
    <t>27001215-0000-000</t>
  </si>
  <si>
    <t>P0953</t>
  </si>
  <si>
    <t xml:space="preserve">Pressure Sensor </t>
  </si>
  <si>
    <t>CP2011-10</t>
  </si>
  <si>
    <t>P0954</t>
  </si>
  <si>
    <t>Contherm Parts</t>
  </si>
  <si>
    <t>BH-15638-4220150</t>
  </si>
  <si>
    <t>P0955</t>
  </si>
  <si>
    <t>Jensen Service / Support</t>
  </si>
  <si>
    <t xml:space="preserve">11/10 PO Request </t>
  </si>
  <si>
    <t>P0955A</t>
  </si>
  <si>
    <t>Nov Jensen Service Support</t>
  </si>
  <si>
    <t>P0956</t>
  </si>
  <si>
    <t>JT S.C. - Parts</t>
  </si>
  <si>
    <t>P0957</t>
  </si>
  <si>
    <t>Winpak</t>
  </si>
  <si>
    <t>Valve</t>
  </si>
  <si>
    <t>P0958</t>
  </si>
  <si>
    <t>API</t>
  </si>
  <si>
    <t>Doug Huntington</t>
  </si>
  <si>
    <t>Gauge and RTD</t>
  </si>
  <si>
    <t>DH92822A</t>
  </si>
  <si>
    <t>P0959</t>
  </si>
  <si>
    <t>Aries IT Support</t>
  </si>
  <si>
    <t>P0960</t>
  </si>
  <si>
    <t>Line C Acrison Service</t>
  </si>
  <si>
    <t>SD/ JT</t>
  </si>
  <si>
    <t>PPI Line</t>
  </si>
  <si>
    <t>10/11/2022 &amp; 4/28/23</t>
  </si>
  <si>
    <t>P0962</t>
  </si>
  <si>
    <t>Vega Level Switch</t>
  </si>
  <si>
    <t>RSA100522-0147</t>
  </si>
  <si>
    <t>P0963</t>
  </si>
  <si>
    <t>TeamViewer 2022</t>
  </si>
  <si>
    <t>P0964</t>
  </si>
  <si>
    <t>Q0008</t>
  </si>
  <si>
    <t>P0965</t>
  </si>
  <si>
    <t>Alan</t>
  </si>
  <si>
    <t>Lightning Mixer</t>
  </si>
  <si>
    <t>P0966</t>
  </si>
  <si>
    <t>Belinda Tanner</t>
  </si>
  <si>
    <t>Burkert Actuators</t>
  </si>
  <si>
    <t>P0967</t>
  </si>
  <si>
    <t>RTD probe</t>
  </si>
  <si>
    <t>EMAIL</t>
  </si>
  <si>
    <t>P0968</t>
  </si>
  <si>
    <t>David Lee</t>
  </si>
  <si>
    <t>Ampco Seal Kits</t>
  </si>
  <si>
    <t>Once pmt recieved order parts pre pay customer</t>
  </si>
  <si>
    <t>P0969</t>
  </si>
  <si>
    <t>Billy Mitchel</t>
  </si>
  <si>
    <t>Pnuematic Fittings - Pick Up</t>
  </si>
  <si>
    <t>Billy may return these - check back in after a month</t>
  </si>
  <si>
    <t xml:space="preserve">P0970 </t>
  </si>
  <si>
    <t>Waukesha pump &amp; seal kit</t>
  </si>
  <si>
    <t>10/21/2022 &amp; 11/1/22</t>
  </si>
  <si>
    <t xml:space="preserve">Pump and ft </t>
  </si>
  <si>
    <t>P0971</t>
  </si>
  <si>
    <t>Sungo Wang</t>
  </si>
  <si>
    <t xml:space="preserve">CPM Service Kit </t>
  </si>
  <si>
    <t>Q0012</t>
  </si>
  <si>
    <t>P0972</t>
  </si>
  <si>
    <t>Invertek VFDs</t>
  </si>
  <si>
    <t>P0973</t>
  </si>
  <si>
    <t>Dallas</t>
  </si>
  <si>
    <t>Bukert Valve</t>
  </si>
  <si>
    <t>RSA093022-0142</t>
  </si>
  <si>
    <t>P0974</t>
  </si>
  <si>
    <t>Marathon motor (Techtop cross)</t>
  </si>
  <si>
    <t>RSA101322-0155</t>
  </si>
  <si>
    <t>P0975</t>
  </si>
  <si>
    <t>Ed Milligan</t>
  </si>
  <si>
    <t>Relays</t>
  </si>
  <si>
    <t>Website</t>
  </si>
  <si>
    <t>P0976</t>
  </si>
  <si>
    <t>Mike Coulombe</t>
  </si>
  <si>
    <t>Sorio Control Tops</t>
  </si>
  <si>
    <t>RSA101322-0157</t>
  </si>
  <si>
    <t>P0977</t>
  </si>
  <si>
    <t>HMIs</t>
  </si>
  <si>
    <t>1pc ship &amp; 3pc ship 3/27/23</t>
  </si>
  <si>
    <t>P0978</t>
  </si>
  <si>
    <t>Jay Toland</t>
  </si>
  <si>
    <t xml:space="preserve">General Mills Trial </t>
  </si>
  <si>
    <t>Helped Run General Mills Trial</t>
  </si>
  <si>
    <t>P0979</t>
  </si>
  <si>
    <t>Tahini Mixer Project</t>
  </si>
  <si>
    <t>P0980</t>
  </si>
  <si>
    <t>Honeywell Thermal Pens</t>
  </si>
  <si>
    <t>P0981</t>
  </si>
  <si>
    <t>Buffalo CertainTeed</t>
  </si>
  <si>
    <t>Danny Alverio</t>
  </si>
  <si>
    <t>Conveyor Belts</t>
  </si>
  <si>
    <t>P0982</t>
  </si>
  <si>
    <t>Q0015</t>
  </si>
  <si>
    <t>P0983</t>
  </si>
  <si>
    <t>Compact Logix Parts</t>
  </si>
  <si>
    <t>Order canceled by cust.</t>
  </si>
  <si>
    <t>P0984</t>
  </si>
  <si>
    <t>Router 12 Post Stop Remote Support</t>
  </si>
  <si>
    <t>moved to P0741 Blanket</t>
  </si>
  <si>
    <t>P0985</t>
  </si>
  <si>
    <t>McAlpin Ind.</t>
  </si>
  <si>
    <t>On-site/Remote Support</t>
  </si>
  <si>
    <t>Wait For service Reports - Check in on 10/21</t>
  </si>
  <si>
    <t>P0986</t>
  </si>
  <si>
    <t>JRW/JT</t>
  </si>
  <si>
    <t>V38 5th Tank Parts Sale</t>
  </si>
  <si>
    <t>P0987</t>
  </si>
  <si>
    <t>Imperial Line Pickmaster Service</t>
  </si>
  <si>
    <t>Q0011</t>
  </si>
  <si>
    <t>P0987A</t>
  </si>
  <si>
    <t>P0988</t>
  </si>
  <si>
    <t>M12 CABLES</t>
  </si>
  <si>
    <t>P0989</t>
  </si>
  <si>
    <t>Mike (585-409-4531)</t>
  </si>
  <si>
    <t>Safety Point Fault Service</t>
  </si>
  <si>
    <t>Shipped</t>
  </si>
  <si>
    <t>Setup customer and bill @ 4 hour minimum</t>
  </si>
  <si>
    <t>P0990</t>
  </si>
  <si>
    <t>John Berg</t>
  </si>
  <si>
    <t>45 Foundation HMI Upgrade Remote Support</t>
  </si>
  <si>
    <t>P0991</t>
  </si>
  <si>
    <t>V-38 Palimatic Integration Services</t>
  </si>
  <si>
    <t>P0992</t>
  </si>
  <si>
    <t>Michael Coulombe</t>
  </si>
  <si>
    <t>Anderson RTD “SMART” module</t>
  </si>
  <si>
    <t>P0993</t>
  </si>
  <si>
    <t>Eric Ingraham</t>
  </si>
  <si>
    <t>Breaker</t>
  </si>
  <si>
    <t>P0994</t>
  </si>
  <si>
    <t>Jim Phillips</t>
  </si>
  <si>
    <t>Yellow Jacket PLC Service</t>
  </si>
  <si>
    <t>P0995</t>
  </si>
  <si>
    <t>P0996</t>
  </si>
  <si>
    <t>Brian Hinote</t>
  </si>
  <si>
    <t>Can labeler pulley</t>
  </si>
  <si>
    <t>P0997</t>
  </si>
  <si>
    <t>Contherm Valve</t>
  </si>
  <si>
    <t>P0997A</t>
  </si>
  <si>
    <t>RSA101822-0160</t>
  </si>
  <si>
    <t>P0997B</t>
  </si>
  <si>
    <t>P0998</t>
  </si>
  <si>
    <t>P0999</t>
  </si>
  <si>
    <t>Justin Cates</t>
  </si>
  <si>
    <t>Pump Skid</t>
  </si>
  <si>
    <t>P1000</t>
  </si>
  <si>
    <t>3pc - 1734-OB8</t>
  </si>
  <si>
    <t>added to 3594B</t>
  </si>
  <si>
    <t>on 3594B 4/28</t>
  </si>
  <si>
    <t>P1001</t>
  </si>
  <si>
    <t>Terminal Blocks</t>
  </si>
  <si>
    <t>P1002</t>
  </si>
  <si>
    <t>Joe Pierro</t>
  </si>
  <si>
    <t>Spare parts</t>
  </si>
  <si>
    <t>11/1/2022 &amp; 1/18/23</t>
  </si>
  <si>
    <t>P1003</t>
  </si>
  <si>
    <t>IMA Life</t>
  </si>
  <si>
    <t>Fran Nesbit</t>
  </si>
  <si>
    <t>Kunkle Recert's</t>
  </si>
  <si>
    <t>P1004</t>
  </si>
  <si>
    <t>Heather Pimm</t>
  </si>
  <si>
    <t>Igus bearings</t>
  </si>
  <si>
    <t>P1005</t>
  </si>
  <si>
    <t>ElectroSensors Proxs</t>
  </si>
  <si>
    <t>P1005A</t>
  </si>
  <si>
    <t>ElectroSensors Wraps &amp; Proxs</t>
  </si>
  <si>
    <t>P1006</t>
  </si>
  <si>
    <t>Burkert Valves</t>
  </si>
  <si>
    <t>P1007</t>
  </si>
  <si>
    <t>Can labeler casters</t>
  </si>
  <si>
    <t>P1008</t>
  </si>
  <si>
    <t>Gaskets</t>
  </si>
  <si>
    <t>P1009</t>
  </si>
  <si>
    <t>Freeze Dry / Thrive Foods</t>
  </si>
  <si>
    <t>AMCI Servo</t>
  </si>
  <si>
    <t>P1010</t>
  </si>
  <si>
    <t>Northeast Conveyors</t>
  </si>
  <si>
    <t>John Cape</t>
  </si>
  <si>
    <t>P1011</t>
  </si>
  <si>
    <t>Lip seals</t>
  </si>
  <si>
    <t>Need final charges to quote to cedars for PO</t>
  </si>
  <si>
    <t>P1012</t>
  </si>
  <si>
    <t>Toni Sloan</t>
  </si>
  <si>
    <t>Burkert valve</t>
  </si>
  <si>
    <t>P1013</t>
  </si>
  <si>
    <t>(2) - 7.5 AB VFDs</t>
  </si>
  <si>
    <t>PEZP3-180-SM PUMP</t>
  </si>
  <si>
    <t>moved w 3596 and closed</t>
  </si>
  <si>
    <t>P1015</t>
  </si>
  <si>
    <t>David Coulombe</t>
  </si>
  <si>
    <t>Goulds Hot water pump and seals</t>
  </si>
  <si>
    <t>P1016</t>
  </si>
  <si>
    <t>Moar Lip Seals</t>
  </si>
  <si>
    <t>P1017</t>
  </si>
  <si>
    <t>FRISTAM PUMP SKID</t>
  </si>
  <si>
    <t>ebay sale</t>
  </si>
  <si>
    <t>P1018</t>
  </si>
  <si>
    <t>SLH Pump Head RMA</t>
  </si>
  <si>
    <t>P1019</t>
  </si>
  <si>
    <t>Convap Rotor</t>
  </si>
  <si>
    <t>P1020</t>
  </si>
  <si>
    <t>Anderson RTD &amp; LVL sensor</t>
  </si>
  <si>
    <t>P1021</t>
  </si>
  <si>
    <t>SC ITWMuller Wrapper</t>
  </si>
  <si>
    <t>P1022</t>
  </si>
  <si>
    <t>Jake DeMaray</t>
  </si>
  <si>
    <t>Stepper motor programming</t>
  </si>
  <si>
    <t>P1023</t>
  </si>
  <si>
    <t>P1024</t>
  </si>
  <si>
    <t>Bornemann Seal Kits</t>
  </si>
  <si>
    <t>P1024A</t>
  </si>
  <si>
    <t>1/12/23 &amp; 12/29/2022</t>
  </si>
  <si>
    <t>P1025</t>
  </si>
  <si>
    <t>Camera</t>
  </si>
  <si>
    <t>P1026</t>
  </si>
  <si>
    <t>Bulk System PLC/HMI Com Loss</t>
  </si>
  <si>
    <t>P1027</t>
  </si>
  <si>
    <t>Matrix Service</t>
  </si>
  <si>
    <t>P1028</t>
  </si>
  <si>
    <t>Pyromation RTDs</t>
  </si>
  <si>
    <t>P1029</t>
  </si>
  <si>
    <t>AB 25B-D024N114 15HP VFD</t>
  </si>
  <si>
    <t>P1030</t>
  </si>
  <si>
    <t>Line 1 PE Labeler and Wrapper Service</t>
  </si>
  <si>
    <t>P1031</t>
  </si>
  <si>
    <t>Anderson Conductivity Sensors</t>
  </si>
  <si>
    <t>P1032</t>
  </si>
  <si>
    <t>Filter Cartridges</t>
  </si>
  <si>
    <t>P1033</t>
  </si>
  <si>
    <t>Reducing Bushings</t>
  </si>
  <si>
    <t>P1034</t>
  </si>
  <si>
    <t>Carl? Maint. Department</t>
  </si>
  <si>
    <t>WFI Cart UPS Service</t>
  </si>
  <si>
    <t>Didn't happen</t>
  </si>
  <si>
    <t>P1035</t>
  </si>
  <si>
    <t>Eaton Contactor</t>
  </si>
  <si>
    <t>P1036</t>
  </si>
  <si>
    <t>Temp walkway Canning Line</t>
  </si>
  <si>
    <t>P1037</t>
  </si>
  <si>
    <t>P1038</t>
  </si>
  <si>
    <t>1HP PWRFLX</t>
  </si>
  <si>
    <t>1/16/2023 &amp; 1/23/23</t>
  </si>
  <si>
    <t>P1039</t>
  </si>
  <si>
    <t>1000' 1/4" Red Polytube</t>
  </si>
  <si>
    <t>P1040</t>
  </si>
  <si>
    <t xml:space="preserve">Nick S </t>
  </si>
  <si>
    <t>Camera's</t>
  </si>
  <si>
    <t>P1041</t>
  </si>
  <si>
    <t>Avox</t>
  </si>
  <si>
    <t>Charles Speaker</t>
  </si>
  <si>
    <t>1746-IB32</t>
  </si>
  <si>
    <t>P1042</t>
  </si>
  <si>
    <t>St Gobain Albion</t>
  </si>
  <si>
    <t>Mitchell VanLieshout</t>
  </si>
  <si>
    <t>Tuned PID on Powerflex 755</t>
  </si>
  <si>
    <t>P1043</t>
  </si>
  <si>
    <t>Lisa Jarrett</t>
  </si>
  <si>
    <t>AB Breakers</t>
  </si>
  <si>
    <t>P1044</t>
  </si>
  <si>
    <t>Donaldson Filters - Culinary Steam</t>
  </si>
  <si>
    <t>1/11/2023 &amp; 1/16/23</t>
  </si>
  <si>
    <t>4pc / 2pc BO</t>
  </si>
  <si>
    <t>P1045</t>
  </si>
  <si>
    <t>AB VFDs</t>
  </si>
  <si>
    <t>2/10,3/9,5/4,7/19</t>
  </si>
  <si>
    <t xml:space="preserve">1/9 partial inv </t>
  </si>
  <si>
    <t>P1046</t>
  </si>
  <si>
    <t>Haskel Rebuild Kits</t>
  </si>
  <si>
    <t>P1046A</t>
  </si>
  <si>
    <t>P1047</t>
  </si>
  <si>
    <t>Bosch Rexroth Servomotor</t>
  </si>
  <si>
    <t>P1048</t>
  </si>
  <si>
    <t>Zoeller Effluent Pump</t>
  </si>
  <si>
    <t>P1049</t>
  </si>
  <si>
    <t>Agitator Repair</t>
  </si>
  <si>
    <t>inv with 3562</t>
  </si>
  <si>
    <t>P1050</t>
  </si>
  <si>
    <t>Enerquip Heat Exchanger</t>
  </si>
  <si>
    <t>P1051</t>
  </si>
  <si>
    <t>P1052</t>
  </si>
  <si>
    <t>SLH Seal Kits</t>
  </si>
  <si>
    <t>P1053</t>
  </si>
  <si>
    <t>Cedars / Stillman Electric</t>
  </si>
  <si>
    <t>Mark Silva</t>
  </si>
  <si>
    <t>VFD Cable</t>
  </si>
  <si>
    <t>P1054</t>
  </si>
  <si>
    <t>Dave Coulombe</t>
  </si>
  <si>
    <t>Seals &amp; Bearings</t>
  </si>
  <si>
    <t>P1055</t>
  </si>
  <si>
    <t>Cisco Equipment</t>
  </si>
  <si>
    <t>P1056</t>
  </si>
  <si>
    <t>P1057</t>
  </si>
  <si>
    <t>Bill Mitchell</t>
  </si>
  <si>
    <t>Saw Blades (2)</t>
  </si>
  <si>
    <t xml:space="preserve">P1057A </t>
  </si>
  <si>
    <t>P1058</t>
  </si>
  <si>
    <t>ZP3 Seals</t>
  </si>
  <si>
    <t>P1059</t>
  </si>
  <si>
    <t>SLH Pump RMA</t>
  </si>
  <si>
    <t>P1060</t>
  </si>
  <si>
    <t>Grundfos dosing pump</t>
  </si>
  <si>
    <t>P1061</t>
  </si>
  <si>
    <t>Coriolis Meters</t>
  </si>
  <si>
    <t>P1062</t>
  </si>
  <si>
    <t>Used SLH-4G Pump</t>
  </si>
  <si>
    <t>P1063</t>
  </si>
  <si>
    <t>Theresa Held</t>
  </si>
  <si>
    <t>Kunkle Relief Valve</t>
  </si>
  <si>
    <t>Niagara Controls</t>
  </si>
  <si>
    <t xml:space="preserve">Closed due to lead time </t>
  </si>
  <si>
    <t>P1064</t>
  </si>
  <si>
    <t>Dallas Allen</t>
  </si>
  <si>
    <t>Bukert Steam Valves</t>
  </si>
  <si>
    <t>P1065</t>
  </si>
  <si>
    <t>P1066</t>
  </si>
  <si>
    <t>Ampco C Series Pump</t>
  </si>
  <si>
    <t>P1067</t>
  </si>
  <si>
    <t>25B-D013N104 Drives</t>
  </si>
  <si>
    <t>EBAY 04-09619-23673</t>
  </si>
  <si>
    <t>P1068</t>
  </si>
  <si>
    <t>Ampco LFV540 10hp Pump</t>
  </si>
  <si>
    <t>P1069</t>
  </si>
  <si>
    <t>1/2" NPT to 1 1/4"-18 UN Adapter</t>
  </si>
  <si>
    <t>PO# DH12423A</t>
  </si>
  <si>
    <t>P1070</t>
  </si>
  <si>
    <t>Powerflex 15HP Drive</t>
  </si>
  <si>
    <t>P1071</t>
  </si>
  <si>
    <t>Powerflex 700/753</t>
  </si>
  <si>
    <t>8/15/2023, 12/11/23</t>
  </si>
  <si>
    <t>P1072</t>
  </si>
  <si>
    <t>Castle Canning</t>
  </si>
  <si>
    <t>Additional RTDs</t>
  </si>
  <si>
    <t>Q0049</t>
  </si>
  <si>
    <t>P1073</t>
  </si>
  <si>
    <t>Impeller</t>
  </si>
  <si>
    <t>P1074</t>
  </si>
  <si>
    <t>Flex Screen Service (1_26_23)</t>
  </si>
  <si>
    <t>Jacob to send CF the service report</t>
  </si>
  <si>
    <t>P1075</t>
  </si>
  <si>
    <t>Yellowjacket Controls Service 2023</t>
  </si>
  <si>
    <t>P1076</t>
  </si>
  <si>
    <t xml:space="preserve">Upstate Niagara Cooperative Lawrence </t>
  </si>
  <si>
    <t>Fruit Pump</t>
  </si>
  <si>
    <t>PO TBD</t>
  </si>
  <si>
    <t>P1077</t>
  </si>
  <si>
    <t>5HP PF 525 and Entry Kit</t>
  </si>
  <si>
    <t>RSA020223-0222.pdf</t>
  </si>
  <si>
    <t>P1078</t>
  </si>
  <si>
    <t>Niki Lee</t>
  </si>
  <si>
    <t>2/6 shipped 3/13</t>
  </si>
  <si>
    <t>P1079</t>
  </si>
  <si>
    <t>Baldor 30hp &amp; 10hp Motors</t>
  </si>
  <si>
    <t>2/17 &amp; 2/28</t>
  </si>
  <si>
    <t>54-4884</t>
  </si>
  <si>
    <t>P1080</t>
  </si>
  <si>
    <t>Alfa Laval Rebuild Kits</t>
  </si>
  <si>
    <t>BH-16053-4220159</t>
  </si>
  <si>
    <t>P1081</t>
  </si>
  <si>
    <t>2hp 525 VFDs</t>
  </si>
  <si>
    <t>P1082</t>
  </si>
  <si>
    <t>Water Pump Seal Kit</t>
  </si>
  <si>
    <t>Estabrook</t>
  </si>
  <si>
    <t>w P1082A</t>
  </si>
  <si>
    <t>P1082A</t>
  </si>
  <si>
    <t>P1083</t>
  </si>
  <si>
    <t>2nd Used SLH-4G Pump</t>
  </si>
  <si>
    <t>P1084</t>
  </si>
  <si>
    <t>Ashley Smith</t>
  </si>
  <si>
    <t>V-38 Pinning Chart Automationion</t>
  </si>
  <si>
    <t>P1085</t>
  </si>
  <si>
    <t>Silverson seals and sealing ring kit</t>
  </si>
  <si>
    <t>Silverson</t>
  </si>
  <si>
    <t>RSA020923-0224</t>
  </si>
  <si>
    <t>P1086</t>
  </si>
  <si>
    <t>CSM Bakery/ Rise Baking Co</t>
  </si>
  <si>
    <t>Karl Franz</t>
  </si>
  <si>
    <t>10hp Waukesha SP4 Shear Pump</t>
  </si>
  <si>
    <t>P1087</t>
  </si>
  <si>
    <t>Dixon Check Valves</t>
  </si>
  <si>
    <t>P1088</t>
  </si>
  <si>
    <t>Actuator repair kit</t>
  </si>
  <si>
    <t>Burkert</t>
  </si>
  <si>
    <t>P1089</t>
  </si>
  <si>
    <t>Robo World</t>
  </si>
  <si>
    <t>Q0041</t>
  </si>
  <si>
    <t>P1090</t>
  </si>
  <si>
    <t>100-C Contactors for Linden</t>
  </si>
  <si>
    <t>Q0052</t>
  </si>
  <si>
    <t>P1091</t>
  </si>
  <si>
    <t>DJ Seamster</t>
  </si>
  <si>
    <t>MTH 7F Seal Kit</t>
  </si>
  <si>
    <t>4/26/23 &amp; 3/14/23</t>
  </si>
  <si>
    <t>P1092</t>
  </si>
  <si>
    <t>Luis Alverio</t>
  </si>
  <si>
    <t>Dorner Belts</t>
  </si>
  <si>
    <t>H.M. Cross</t>
  </si>
  <si>
    <t>P1093</t>
  </si>
  <si>
    <t>Imperial Line Startup</t>
  </si>
  <si>
    <t>P1094</t>
  </si>
  <si>
    <t xml:space="preserve">Welding services on RTO </t>
  </si>
  <si>
    <t>Heller Welding</t>
  </si>
  <si>
    <t>P1095</t>
  </si>
  <si>
    <t>LFV540-210TC PUMP</t>
  </si>
  <si>
    <t>P1096</t>
  </si>
  <si>
    <t>Telco Photosensor</t>
  </si>
  <si>
    <t>Motion</t>
  </si>
  <si>
    <t>P1097</t>
  </si>
  <si>
    <t>230 gal storage tank for hot water set</t>
  </si>
  <si>
    <t>JM Industrial</t>
  </si>
  <si>
    <t>P1098</t>
  </si>
  <si>
    <t xml:space="preserve">SC Safety Circuit </t>
  </si>
  <si>
    <t>P1099</t>
  </si>
  <si>
    <t>Ampco casing RMA</t>
  </si>
  <si>
    <t>P1100</t>
  </si>
  <si>
    <t>Honeywell Chart Recorder</t>
  </si>
  <si>
    <t xml:space="preserve">Did not happen create new job A </t>
  </si>
  <si>
    <t>P1101</t>
  </si>
  <si>
    <t>Jeremy Brodeur</t>
  </si>
  <si>
    <t>CS3 PC Backup Support</t>
  </si>
  <si>
    <t>P1102</t>
  </si>
  <si>
    <t>Caitlin Lucia</t>
  </si>
  <si>
    <t>AB Parts</t>
  </si>
  <si>
    <t>eBay</t>
  </si>
  <si>
    <t>P1103</t>
  </si>
  <si>
    <t>Kunkle valves</t>
  </si>
  <si>
    <t>P1104</t>
  </si>
  <si>
    <t>Tyler Dioguardi</t>
  </si>
  <si>
    <t>Gardeau Crest Flare Service</t>
  </si>
  <si>
    <t>P1105</t>
  </si>
  <si>
    <t>COMPRESSOR REPAIR</t>
  </si>
  <si>
    <t>P1106</t>
  </si>
  <si>
    <t>AB Photosensor</t>
  </si>
  <si>
    <t>P1100A</t>
  </si>
  <si>
    <t>Chart Recorder</t>
  </si>
  <si>
    <t>MHz Electronics</t>
  </si>
  <si>
    <t>P1107</t>
  </si>
  <si>
    <t>Alfa Laval LKB Valves</t>
  </si>
  <si>
    <t>P1108</t>
  </si>
  <si>
    <t>P1109</t>
  </si>
  <si>
    <t>Unclutured Cream Cheese Trial 2/13-2/15</t>
  </si>
  <si>
    <t>P1110</t>
  </si>
  <si>
    <t>Yogurt Trial 2/27-2/28</t>
  </si>
  <si>
    <t>P1111</t>
  </si>
  <si>
    <t>Valve repair &amp; recert</t>
  </si>
  <si>
    <t>Mecklenburg</t>
  </si>
  <si>
    <t>P1112</t>
  </si>
  <si>
    <t>Dallas Allan</t>
  </si>
  <si>
    <t>Bukert 1.5" Steam Valves</t>
  </si>
  <si>
    <t>P1113</t>
  </si>
  <si>
    <t>Danielle Goodwin</t>
  </si>
  <si>
    <t>Alfa Laval Spare Parts</t>
  </si>
  <si>
    <t>P1114</t>
  </si>
  <si>
    <t>P1115 - CANCELLED</t>
  </si>
  <si>
    <t>Brazed Plate Heat Exchanger</t>
  </si>
  <si>
    <t>cancelled</t>
  </si>
  <si>
    <t>SOLD OUT - LOOKING TO CROSS</t>
  </si>
  <si>
    <t>P1116</t>
  </si>
  <si>
    <t>Kesha Malloy</t>
  </si>
  <si>
    <t>ZP3-220 Pumps</t>
  </si>
  <si>
    <t>3/16 &amp; 6/7</t>
  </si>
  <si>
    <t>P1117</t>
  </si>
  <si>
    <t>Welchs</t>
  </si>
  <si>
    <t>Dean Kirschner</t>
  </si>
  <si>
    <t>Micro Motion 1500 Transmitters</t>
  </si>
  <si>
    <t>P1118</t>
  </si>
  <si>
    <t>Emerson Micro Motion 1/4" Mass Meters &amp; transmitters</t>
  </si>
  <si>
    <t>P1119</t>
  </si>
  <si>
    <t>P1120</t>
  </si>
  <si>
    <t>swiss valley thermocouple problems</t>
  </si>
  <si>
    <t>closed out didn't happen</t>
  </si>
  <si>
    <t>P1121</t>
  </si>
  <si>
    <t xml:space="preserve">Solenoid Valve SMC 5 Ports </t>
  </si>
  <si>
    <t>CS Automation</t>
  </si>
  <si>
    <t>P1122</t>
  </si>
  <si>
    <t>MTH-C41CD Pump</t>
  </si>
  <si>
    <t>Stark Tech</t>
  </si>
  <si>
    <t>P1123</t>
  </si>
  <si>
    <t>Burkert 1" Angle Seat Valves</t>
  </si>
  <si>
    <t>P1124</t>
  </si>
  <si>
    <t>Additional Alfa Laval Repair Kits</t>
  </si>
  <si>
    <t>P1125</t>
  </si>
  <si>
    <t>Problems with Ampco Pumps not billable</t>
  </si>
  <si>
    <t>P1126</t>
  </si>
  <si>
    <t>1/2" Burkert Valves, Bronze</t>
  </si>
  <si>
    <t>P1127</t>
  </si>
  <si>
    <t>Empire Automation</t>
  </si>
  <si>
    <t>Dennis King</t>
  </si>
  <si>
    <t>Burkert Solenoid Valves</t>
  </si>
  <si>
    <t>P1128</t>
  </si>
  <si>
    <t>Shunck Gripper</t>
  </si>
  <si>
    <t>P1129</t>
  </si>
  <si>
    <t>Bukert 1 1/4" bronze valve</t>
  </si>
  <si>
    <t>P1130</t>
  </si>
  <si>
    <t>Factory Manufacturing</t>
  </si>
  <si>
    <t>Kevin Brown</t>
  </si>
  <si>
    <t>RPM Case Packer</t>
  </si>
  <si>
    <t>P1131</t>
  </si>
  <si>
    <t>Burkert 1 1/2" Bronze Steam Valves</t>
  </si>
  <si>
    <t>P1132</t>
  </si>
  <si>
    <t>Team Veiewer 2023</t>
  </si>
  <si>
    <t>TeamViewer</t>
  </si>
  <si>
    <t>P1133</t>
  </si>
  <si>
    <t xml:space="preserve">Moley Magnetics </t>
  </si>
  <si>
    <t>NF Air Field Gateway Programming</t>
  </si>
  <si>
    <t>ICC</t>
  </si>
  <si>
    <t>Was Q0095</t>
  </si>
  <si>
    <t>P1134</t>
  </si>
  <si>
    <t>Wegmans</t>
  </si>
  <si>
    <t>Craig Severo</t>
  </si>
  <si>
    <t>Conveyor Side Plates</t>
  </si>
  <si>
    <t>Contracts Unlimited</t>
  </si>
  <si>
    <t>P1134A</t>
  </si>
  <si>
    <t>P1134B</t>
  </si>
  <si>
    <t>P1135</t>
  </si>
  <si>
    <t>Jim Miller</t>
  </si>
  <si>
    <t>100 pcs Dowel Pins</t>
  </si>
  <si>
    <t>Nick Teague</t>
  </si>
  <si>
    <t>P1136</t>
  </si>
  <si>
    <t>Panelview Plus 600</t>
  </si>
  <si>
    <t>eBay / RSA</t>
  </si>
  <si>
    <t>P1137</t>
  </si>
  <si>
    <t>3/28/23 Service Day</t>
  </si>
  <si>
    <t>P1138</t>
  </si>
  <si>
    <t>Various</t>
  </si>
  <si>
    <t>eBay Parts Sales</t>
  </si>
  <si>
    <t>P1139</t>
  </si>
  <si>
    <t>Cedars / Natures Fynd</t>
  </si>
  <si>
    <t>Alan Wlyodka</t>
  </si>
  <si>
    <t>Spare pump &amp; Baldor motor</t>
  </si>
  <si>
    <t>P1140</t>
  </si>
  <si>
    <t>Cameras, Cables, Lens</t>
  </si>
  <si>
    <t>P1141</t>
  </si>
  <si>
    <t>Bukert 8697 Top</t>
  </si>
  <si>
    <t>eBay / Burkert</t>
  </si>
  <si>
    <t>P1142</t>
  </si>
  <si>
    <t>Steam valve</t>
  </si>
  <si>
    <t>P1143</t>
  </si>
  <si>
    <t>Service call performed by Ricky</t>
  </si>
  <si>
    <t>P1144</t>
  </si>
  <si>
    <t>Rubberfab Hose</t>
  </si>
  <si>
    <t>Rubberfab</t>
  </si>
  <si>
    <t>P1145</t>
  </si>
  <si>
    <t>1.5" Valves</t>
  </si>
  <si>
    <t>P1150</t>
  </si>
  <si>
    <t>Ampco ZP3-045-SM Pump</t>
  </si>
  <si>
    <t>P1151</t>
  </si>
  <si>
    <t>Light Curtain Guardshield</t>
  </si>
  <si>
    <t>P1152</t>
  </si>
  <si>
    <t>6/2/23 &amp; 5/9/2023</t>
  </si>
  <si>
    <t>P1153</t>
  </si>
  <si>
    <t>Ozone panel relocate</t>
  </si>
  <si>
    <t>P1154</t>
  </si>
  <si>
    <t>IMAC Systems Conveyor 03</t>
  </si>
  <si>
    <t>P1155</t>
  </si>
  <si>
    <t>Mitch Vanlieshout</t>
  </si>
  <si>
    <t xml:space="preserve">Telehandler Lift Rental </t>
  </si>
  <si>
    <t>P1156</t>
  </si>
  <si>
    <t>Toshiba PLC Totalizer Dev</t>
  </si>
  <si>
    <t>P1157</t>
  </si>
  <si>
    <t>Andrew Backy</t>
  </si>
  <si>
    <t>Andy Backy</t>
  </si>
  <si>
    <t>40" Exhaust Fan</t>
  </si>
  <si>
    <t>P1158</t>
  </si>
  <si>
    <t>P1159</t>
  </si>
  <si>
    <t>Eaton Starters</t>
  </si>
  <si>
    <t>Southland Electrical</t>
  </si>
  <si>
    <t>P1160</t>
  </si>
  <si>
    <t>Steam press parts</t>
  </si>
  <si>
    <t>Temp Press Inc</t>
  </si>
  <si>
    <t>CANCELLED</t>
  </si>
  <si>
    <t>P1161</t>
  </si>
  <si>
    <t>Ampco C+114 Water Pump</t>
  </si>
  <si>
    <t>P1162</t>
  </si>
  <si>
    <t>P1163</t>
  </si>
  <si>
    <t>Jim Rose</t>
  </si>
  <si>
    <t>Robot Remote Support</t>
  </si>
  <si>
    <t>P1164</t>
  </si>
  <si>
    <t>Antennas &amp; mounts</t>
  </si>
  <si>
    <t>Tessco</t>
  </si>
  <si>
    <t>P1164A</t>
  </si>
  <si>
    <t>15 more antennas &amp; mounts</t>
  </si>
  <si>
    <t>P1165</t>
  </si>
  <si>
    <t>Wes Allison</t>
  </si>
  <si>
    <t>Pump</t>
  </si>
  <si>
    <t>UDMC</t>
  </si>
  <si>
    <t>P1166</t>
  </si>
  <si>
    <t>AB Micro 850</t>
  </si>
  <si>
    <t>P1167</t>
  </si>
  <si>
    <t>Tumbler</t>
  </si>
  <si>
    <t>Auction M Davis</t>
  </si>
  <si>
    <t>P1168</t>
  </si>
  <si>
    <t>Stephanie Gales</t>
  </si>
  <si>
    <t>Brukert modulating valves</t>
  </si>
  <si>
    <t>P1169</t>
  </si>
  <si>
    <t>Parts for loop</t>
  </si>
  <si>
    <t>Mcmaster Carr</t>
  </si>
  <si>
    <t>P1170</t>
  </si>
  <si>
    <t>Callie Bailey</t>
  </si>
  <si>
    <t>Dwyer Lvl Switch</t>
  </si>
  <si>
    <t>Ritec</t>
  </si>
  <si>
    <t>P1171</t>
  </si>
  <si>
    <t>1.5" angle seat valves</t>
  </si>
  <si>
    <t>P1172</t>
  </si>
  <si>
    <t>Enexor</t>
  </si>
  <si>
    <t>Matt Newman</t>
  </si>
  <si>
    <t>Invertek Drive</t>
  </si>
  <si>
    <t>Invertek</t>
  </si>
  <si>
    <t>credit remains...</t>
  </si>
  <si>
    <t>P1173</t>
  </si>
  <si>
    <t>Corey</t>
  </si>
  <si>
    <t>3/4" Burkert Valves - Custom</t>
  </si>
  <si>
    <t>Burkert / RSA</t>
  </si>
  <si>
    <t>P1174</t>
  </si>
  <si>
    <t>Plating Line Installation Materials</t>
  </si>
  <si>
    <t>Multiple</t>
  </si>
  <si>
    <t>P1175</t>
  </si>
  <si>
    <t>Holly Mascians</t>
  </si>
  <si>
    <t>Ribbon blender discharge pump</t>
  </si>
  <si>
    <t>P1176</t>
  </si>
  <si>
    <t>Panelview 7</t>
  </si>
  <si>
    <t>P1177</t>
  </si>
  <si>
    <t>P1178</t>
  </si>
  <si>
    <t>Moxa Switches</t>
  </si>
  <si>
    <t>Express Systems</t>
  </si>
  <si>
    <t>P1179</t>
  </si>
  <si>
    <t>Hope Industrial Monitor</t>
  </si>
  <si>
    <t>Hope Industrial</t>
  </si>
  <si>
    <t>P1180</t>
  </si>
  <si>
    <t>Dick Levezey</t>
  </si>
  <si>
    <t>Valve parts</t>
  </si>
  <si>
    <t>75 &amp; 25</t>
  </si>
  <si>
    <t>5/9/2023 &amp; 7/7</t>
  </si>
  <si>
    <t>P1181</t>
  </si>
  <si>
    <t>Bredo Sheer Mixer / Liwifier</t>
  </si>
  <si>
    <t>Barliant Auctions</t>
  </si>
  <si>
    <t>P1182</t>
  </si>
  <si>
    <t>Coupling inserts for contherm</t>
  </si>
  <si>
    <t>BDI</t>
  </si>
  <si>
    <t>P1183</t>
  </si>
  <si>
    <t>Ribbon blender valves</t>
  </si>
  <si>
    <t>Tetra Pak / Dixon</t>
  </si>
  <si>
    <t>P1184</t>
  </si>
  <si>
    <t>P1185</t>
  </si>
  <si>
    <t>15hp PwrFlx</t>
  </si>
  <si>
    <t>P1186</t>
  </si>
  <si>
    <t>P1187</t>
  </si>
  <si>
    <t>Auburn Ignitor</t>
  </si>
  <si>
    <t>P1188</t>
  </si>
  <si>
    <t>Valve service kit</t>
  </si>
  <si>
    <t>P1189</t>
  </si>
  <si>
    <t>P1190</t>
  </si>
  <si>
    <t>P1191</t>
  </si>
  <si>
    <t>AB Parts 2</t>
  </si>
  <si>
    <t>P1192</t>
  </si>
  <si>
    <t>Devicenet Scanner Module</t>
  </si>
  <si>
    <t>Industrial Parks R Us</t>
  </si>
  <si>
    <t>P1193</t>
  </si>
  <si>
    <t>Router 12 Detail 25 Program Adjustment</t>
  </si>
  <si>
    <t>P1194</t>
  </si>
  <si>
    <t>Tim Crippen</t>
  </si>
  <si>
    <t>Burkert 1.5" Steam Valves</t>
  </si>
  <si>
    <t>P1195</t>
  </si>
  <si>
    <t>V38 HMI Troubleshoot, V38 5th tank level troubleshoot</t>
  </si>
  <si>
    <t>P1196</t>
  </si>
  <si>
    <t>1" Weld end Burkert 2000</t>
  </si>
  <si>
    <t>P1197</t>
  </si>
  <si>
    <t>Roy Teitsworth</t>
  </si>
  <si>
    <t xml:space="preserve">1000 gl tank </t>
  </si>
  <si>
    <t>P1198</t>
  </si>
  <si>
    <t>AB 1734-IE4C Cards</t>
  </si>
  <si>
    <t>P1199</t>
  </si>
  <si>
    <t>Aritsa HMI</t>
  </si>
  <si>
    <t>Arista</t>
  </si>
  <si>
    <t>P1200</t>
  </si>
  <si>
    <t>CT-8 Passthrough Puck</t>
  </si>
  <si>
    <t>Anderson-Negele</t>
  </si>
  <si>
    <t>P1201</t>
  </si>
  <si>
    <t>Cold Pack Trial 6/2/23</t>
  </si>
  <si>
    <t>P1202</t>
  </si>
  <si>
    <t>Pepperidge Farms / Campbell</t>
  </si>
  <si>
    <t>P1203</t>
  </si>
  <si>
    <t>Pwrflx 70 15HP VFDs</t>
  </si>
  <si>
    <t>P1204</t>
  </si>
  <si>
    <t xml:space="preserve">Gordo's </t>
  </si>
  <si>
    <t>Yoselin Villegas</t>
  </si>
  <si>
    <t>2 - Anderson 4" Flowmeters</t>
  </si>
  <si>
    <t>P1205</t>
  </si>
  <si>
    <t>Jen / Ian</t>
  </si>
  <si>
    <t>Q0158revA / AB Parts</t>
  </si>
  <si>
    <t>RSA Rexel</t>
  </si>
  <si>
    <t>P1206</t>
  </si>
  <si>
    <t>Gallon Crate Upstacker Programming Service</t>
  </si>
  <si>
    <t>P1207</t>
  </si>
  <si>
    <t>AL20-SGL-TC - seal kit</t>
  </si>
  <si>
    <t>P1208</t>
  </si>
  <si>
    <t>RTD</t>
  </si>
  <si>
    <t>Pyromation</t>
  </si>
  <si>
    <t>P1209</t>
  </si>
  <si>
    <t>Production Trial 06/07-06/08</t>
  </si>
  <si>
    <t>P1210</t>
  </si>
  <si>
    <t>Baldor 20HP Motor - GM5G18831</t>
  </si>
  <si>
    <t>P1211</t>
  </si>
  <si>
    <t>Teresa</t>
  </si>
  <si>
    <t>Valve repair</t>
  </si>
  <si>
    <t>P1212</t>
  </si>
  <si>
    <t>Burkert Batch Meter</t>
  </si>
  <si>
    <t>50/50</t>
  </si>
  <si>
    <t xml:space="preserve"> 6/29 &amp;7/18/2023</t>
  </si>
  <si>
    <t>P1213</t>
  </si>
  <si>
    <t>Burkert diapragm valve</t>
  </si>
  <si>
    <t>P1214</t>
  </si>
  <si>
    <t>Pressure relieving diapragm valve</t>
  </si>
  <si>
    <t>FW Webb</t>
  </si>
  <si>
    <t>P1215</t>
  </si>
  <si>
    <t>Sterile Air Filter Assy</t>
  </si>
  <si>
    <t>Grainger</t>
  </si>
  <si>
    <t>P1216</t>
  </si>
  <si>
    <t>Scarlin Morales</t>
  </si>
  <si>
    <t>Pwrflx 755s</t>
  </si>
  <si>
    <t>6/23/2023 / 2/1/2024</t>
  </si>
  <si>
    <t>SHIPPED 1/4/2024</t>
  </si>
  <si>
    <t>P1217</t>
  </si>
  <si>
    <t>Burkert 1.5" Diapragm valve</t>
  </si>
  <si>
    <t>P1218</t>
  </si>
  <si>
    <t>Chemex</t>
  </si>
  <si>
    <t>Jorge Miguel</t>
  </si>
  <si>
    <t>P1219</t>
  </si>
  <si>
    <t>GS8104320 seal kit</t>
  </si>
  <si>
    <t>P1220</t>
  </si>
  <si>
    <t>Pump Couplings</t>
  </si>
  <si>
    <t>Northeast</t>
  </si>
  <si>
    <t>P1221</t>
  </si>
  <si>
    <t xml:space="preserve">50 Antenna </t>
  </si>
  <si>
    <t>RSA062623-0305</t>
  </si>
  <si>
    <t>P1222</t>
  </si>
  <si>
    <t>Pwrflx 70 VFD</t>
  </si>
  <si>
    <t>P1223</t>
  </si>
  <si>
    <t xml:space="preserve">Enclosure Heaters </t>
  </si>
  <si>
    <t>ddb unlimited</t>
  </si>
  <si>
    <t>RSA062723-0303</t>
  </si>
  <si>
    <t>P1224</t>
  </si>
  <si>
    <t xml:space="preserve">Aries </t>
  </si>
  <si>
    <t>Leah Lidyard</t>
  </si>
  <si>
    <t>SMC Valve Banks &amp; Air Prep</t>
  </si>
  <si>
    <t>P1225</t>
  </si>
  <si>
    <t>Kunkle repair</t>
  </si>
  <si>
    <t>P1226</t>
  </si>
  <si>
    <t>P1227</t>
  </si>
  <si>
    <t>GS8104320 - seal kit</t>
  </si>
  <si>
    <t>P1228</t>
  </si>
  <si>
    <t>Spare Pumps Order</t>
  </si>
  <si>
    <t>8/9/23 &amp; 8/4/23</t>
  </si>
  <si>
    <t>P1229</t>
  </si>
  <si>
    <t>Mitch Vanleishout</t>
  </si>
  <si>
    <t>Stop button Troubleshooting</t>
  </si>
  <si>
    <t>P1230</t>
  </si>
  <si>
    <t>Michael Coulumbe</t>
  </si>
  <si>
    <t>2711P-T10C21D8S PanelView Plus 7</t>
  </si>
  <si>
    <t>P1231</t>
  </si>
  <si>
    <t>Baldwin Richardson Foods</t>
  </si>
  <si>
    <t>Karen Suiter</t>
  </si>
  <si>
    <t>Pig</t>
  </si>
  <si>
    <t>P1232</t>
  </si>
  <si>
    <t>Sanitrode cable</t>
  </si>
  <si>
    <t>P1233</t>
  </si>
  <si>
    <t xml:space="preserve">SC CIP </t>
  </si>
  <si>
    <t>P1234</t>
  </si>
  <si>
    <t>P1235</t>
  </si>
  <si>
    <t>David Schaller</t>
  </si>
  <si>
    <t xml:space="preserve">Bulkhead Adapters </t>
  </si>
  <si>
    <t>Bracke</t>
  </si>
  <si>
    <t>P1236</t>
  </si>
  <si>
    <t xml:space="preserve">Lightning Protectors </t>
  </si>
  <si>
    <t>L-Com</t>
  </si>
  <si>
    <t>P1237</t>
  </si>
  <si>
    <t>Dave Schaller</t>
  </si>
  <si>
    <t xml:space="preserve">Mounting Plates </t>
  </si>
  <si>
    <t>Dimare</t>
  </si>
  <si>
    <t>P1238</t>
  </si>
  <si>
    <t>Dick Livezey</t>
  </si>
  <si>
    <t>Control top cables</t>
  </si>
  <si>
    <t>P1239</t>
  </si>
  <si>
    <t>P1240</t>
  </si>
  <si>
    <t>8694 Positioner</t>
  </si>
  <si>
    <t>P1241</t>
  </si>
  <si>
    <t>Upstate Niagara Co-Op</t>
  </si>
  <si>
    <t>Blow mold PLC Programming</t>
  </si>
  <si>
    <t>P1242</t>
  </si>
  <si>
    <t>Check valves</t>
  </si>
  <si>
    <t>Dixon</t>
  </si>
  <si>
    <t>P1243</t>
  </si>
  <si>
    <t>Callie B</t>
  </si>
  <si>
    <t>V38 HMI issue</t>
  </si>
  <si>
    <t>P1244</t>
  </si>
  <si>
    <t>LFV542 Pump</t>
  </si>
  <si>
    <t>P1245</t>
  </si>
  <si>
    <t>CompactLogix I/O Module</t>
  </si>
  <si>
    <t>P1246</t>
  </si>
  <si>
    <t>Donaldson filters</t>
  </si>
  <si>
    <t>Donaldson</t>
  </si>
  <si>
    <t>P1247</t>
  </si>
  <si>
    <t>MacGas</t>
  </si>
  <si>
    <t>co2 Tank</t>
  </si>
  <si>
    <t>P1248</t>
  </si>
  <si>
    <t>Mike Hanlon</t>
  </si>
  <si>
    <t>Flex Screen Service Call</t>
  </si>
  <si>
    <t>P1249</t>
  </si>
  <si>
    <t>Burkert solenoid valve</t>
  </si>
  <si>
    <t>P1250</t>
  </si>
  <si>
    <t>NF Yogurt Trial Support 7/24-7/26</t>
  </si>
  <si>
    <t>P1251</t>
  </si>
  <si>
    <t>Replacement panel door</t>
  </si>
  <si>
    <t>Saginaw</t>
  </si>
  <si>
    <t>P1252</t>
  </si>
  <si>
    <t>P1253</t>
  </si>
  <si>
    <t>Dorpfeld D'Zine</t>
  </si>
  <si>
    <t>Wayne Dorpfeld</t>
  </si>
  <si>
    <t>Press Brake Services</t>
  </si>
  <si>
    <t>P1254</t>
  </si>
  <si>
    <t>Seal kit</t>
  </si>
  <si>
    <t>P1255</t>
  </si>
  <si>
    <t>Devicenet scanner module</t>
  </si>
  <si>
    <t>PLC Hardware</t>
  </si>
  <si>
    <t>RMA'D</t>
  </si>
  <si>
    <t>P1255A</t>
  </si>
  <si>
    <t>RMA - Devicenet scanner module</t>
  </si>
  <si>
    <t>P1256</t>
  </si>
  <si>
    <t>P1257</t>
  </si>
  <si>
    <t>Light Curtain Programming</t>
  </si>
  <si>
    <t>P1258</t>
  </si>
  <si>
    <t>SMC ethernet module</t>
  </si>
  <si>
    <t>P1259</t>
  </si>
  <si>
    <t>NF</t>
  </si>
  <si>
    <t>Extruder visit</t>
  </si>
  <si>
    <t>P1260</t>
  </si>
  <si>
    <t>Eric  Ingraham</t>
  </si>
  <si>
    <t>Reversing contactor</t>
  </si>
  <si>
    <t>IMC Direct</t>
  </si>
  <si>
    <t>P1261</t>
  </si>
  <si>
    <t>Servo Motor</t>
  </si>
  <si>
    <t>Fagor</t>
  </si>
  <si>
    <t>P1262</t>
  </si>
  <si>
    <t>Andrew Lawrence</t>
  </si>
  <si>
    <t>Wrapper and Blow mold Service 8/09/23</t>
  </si>
  <si>
    <t>P1263</t>
  </si>
  <si>
    <t>Bukert 2.5" Angle Seat</t>
  </si>
  <si>
    <t>P1264</t>
  </si>
  <si>
    <t>4 x Monitor FT PC</t>
  </si>
  <si>
    <t>8/1723</t>
  </si>
  <si>
    <t>P1265</t>
  </si>
  <si>
    <t xml:space="preserve">Mayer Brothers </t>
  </si>
  <si>
    <t xml:space="preserve">John   </t>
  </si>
  <si>
    <t>4 Pumps &amp; Sudmo 3" Sanitary Valves</t>
  </si>
  <si>
    <t xml:space="preserve">RSA </t>
  </si>
  <si>
    <t>P1266</t>
  </si>
  <si>
    <t>Pooley, Inc</t>
  </si>
  <si>
    <t>Joe Boulanger</t>
  </si>
  <si>
    <t>Empire Instruments</t>
  </si>
  <si>
    <t>P1267</t>
  </si>
  <si>
    <t>Rhino PSU</t>
  </si>
  <si>
    <t>Radwell</t>
  </si>
  <si>
    <t>P1268</t>
  </si>
  <si>
    <t>Brazed heat exchanger</t>
  </si>
  <si>
    <t>P1269</t>
  </si>
  <si>
    <t>Pneumatic Actuator 0957-50101</t>
  </si>
  <si>
    <t>P1270</t>
  </si>
  <si>
    <t>Kinetix Servo Motor</t>
  </si>
  <si>
    <t>P1271</t>
  </si>
  <si>
    <t>Brian Reagle</t>
  </si>
  <si>
    <t>Wrapper A Prestretch Distance Sensor Service</t>
  </si>
  <si>
    <t>P1272</t>
  </si>
  <si>
    <t>Push buttons</t>
  </si>
  <si>
    <t>P1273</t>
  </si>
  <si>
    <t>Positioner Top</t>
  </si>
  <si>
    <t>P1274</t>
  </si>
  <si>
    <t>P1275</t>
  </si>
  <si>
    <t>Seal kits</t>
  </si>
  <si>
    <t>P1276</t>
  </si>
  <si>
    <t>P1277</t>
  </si>
  <si>
    <t>Alfa laval actuator</t>
  </si>
  <si>
    <t>P1278</t>
  </si>
  <si>
    <t>Blow Mold 1 &amp; 2 Die Tip Heating Troubleshoot</t>
  </si>
  <si>
    <t>P1279</t>
  </si>
  <si>
    <t>P1280</t>
  </si>
  <si>
    <t>Pwrflx 525 5hp drives</t>
  </si>
  <si>
    <t>P1281</t>
  </si>
  <si>
    <t>Optimation</t>
  </si>
  <si>
    <t>Lisa Ann Regensburger</t>
  </si>
  <si>
    <t>Red Lion LCDs</t>
  </si>
  <si>
    <t>P1282</t>
  </si>
  <si>
    <t>GS8107140 - Seak kit</t>
  </si>
  <si>
    <t>P1283</t>
  </si>
  <si>
    <t>Kubota</t>
  </si>
  <si>
    <t>P1284</t>
  </si>
  <si>
    <t>Josh Rauscher</t>
  </si>
  <si>
    <t>AB I/O Modules</t>
  </si>
  <si>
    <t>P1285</t>
  </si>
  <si>
    <t>P1286</t>
  </si>
  <si>
    <t>CS5 Sugar Delivery Service</t>
  </si>
  <si>
    <t>P1287</t>
  </si>
  <si>
    <t>GS8103410 Seal Kit</t>
  </si>
  <si>
    <t>P1288</t>
  </si>
  <si>
    <t>Program Sick Laser Scanner</t>
  </si>
  <si>
    <t>P1289</t>
  </si>
  <si>
    <t>5069-IY4 Input Module</t>
  </si>
  <si>
    <t>EBAY</t>
  </si>
  <si>
    <t>P1290</t>
  </si>
  <si>
    <t>I/O Module</t>
  </si>
  <si>
    <t>P1291</t>
  </si>
  <si>
    <t>Nature's Fynd Trial</t>
  </si>
  <si>
    <t>P1292</t>
  </si>
  <si>
    <t>Wago Modules</t>
  </si>
  <si>
    <t>Shingle &amp; Gibb</t>
  </si>
  <si>
    <t>P1293</t>
  </si>
  <si>
    <t>Angela Jones</t>
  </si>
  <si>
    <t>Butterfly valve repair kit</t>
  </si>
  <si>
    <t>P1294</t>
  </si>
  <si>
    <t>Combi Case Erector Service</t>
  </si>
  <si>
    <t>P1295</t>
  </si>
  <si>
    <t>Mike Coulumbe</t>
  </si>
  <si>
    <t xml:space="preserve">Silverson Repair Parts </t>
  </si>
  <si>
    <t>Process Innovation</t>
  </si>
  <si>
    <t>P1296</t>
  </si>
  <si>
    <t>P1297</t>
  </si>
  <si>
    <t>75,25</t>
  </si>
  <si>
    <t>9/20/2023, 11/27</t>
  </si>
  <si>
    <t>P1298</t>
  </si>
  <si>
    <t>TO Drive Swap - Programming Support</t>
  </si>
  <si>
    <t>P1299</t>
  </si>
  <si>
    <t>Schunk gripper</t>
  </si>
  <si>
    <t>P1300</t>
  </si>
  <si>
    <t>Pyromation RTD probes</t>
  </si>
  <si>
    <t>P1301</t>
  </si>
  <si>
    <t>Rush butterfly valves</t>
  </si>
  <si>
    <t>P1302</t>
  </si>
  <si>
    <t>Burkert valve parts</t>
  </si>
  <si>
    <t>P1303</t>
  </si>
  <si>
    <t>Hardy weight processor</t>
  </si>
  <si>
    <t>TriNova</t>
  </si>
  <si>
    <t>P1304</t>
  </si>
  <si>
    <t>P1305</t>
  </si>
  <si>
    <t>JJ Cables</t>
  </si>
  <si>
    <t>Joseph</t>
  </si>
  <si>
    <t xml:space="preserve">Coax Cable </t>
  </si>
  <si>
    <t>P1306</t>
  </si>
  <si>
    <t>Oleg / Alexander Kinney</t>
  </si>
  <si>
    <t>SLH-4U seal kit</t>
  </si>
  <si>
    <t>P1307</t>
  </si>
  <si>
    <t>Shielded CAT6 Cable</t>
  </si>
  <si>
    <t>CablesforLess.com</t>
  </si>
  <si>
    <t>P1308</t>
  </si>
  <si>
    <t>Toolholder HSK C32</t>
  </si>
  <si>
    <t>HSD USA</t>
  </si>
  <si>
    <t>P1309</t>
  </si>
  <si>
    <t>P1310</t>
  </si>
  <si>
    <t>HMI parts</t>
  </si>
  <si>
    <t>Automation Direct</t>
  </si>
  <si>
    <t>P1311</t>
  </si>
  <si>
    <t>SLH-4G-3000 pump head</t>
  </si>
  <si>
    <t>P1312</t>
  </si>
  <si>
    <t xml:space="preserve">Shaft for Set tank 2 </t>
  </si>
  <si>
    <t>P1313</t>
  </si>
  <si>
    <t>Bornemann Pump Parts</t>
  </si>
  <si>
    <t>P1314</t>
  </si>
  <si>
    <t>Cooling Bed Down, PLC Issues, onsite service</t>
  </si>
  <si>
    <t>P1315</t>
  </si>
  <si>
    <t>Burkert 2" angle seat valves</t>
  </si>
  <si>
    <t>P1316</t>
  </si>
  <si>
    <t>MXS Actuator</t>
  </si>
  <si>
    <t>P1317</t>
  </si>
  <si>
    <t>Chart recorder process issues</t>
  </si>
  <si>
    <t>P1318</t>
  </si>
  <si>
    <t>Valve repair kit</t>
  </si>
  <si>
    <t>P1319</t>
  </si>
  <si>
    <t>Dodge bearings &amp; RSA machined part</t>
  </si>
  <si>
    <t>Northeast / RSA</t>
  </si>
  <si>
    <t>P1320</t>
  </si>
  <si>
    <t>Antenna &amp; Brackets</t>
  </si>
  <si>
    <t>P1320A last 50pc</t>
  </si>
  <si>
    <t>12/15/2023, 2/8/24</t>
  </si>
  <si>
    <t>P1321</t>
  </si>
  <si>
    <t>Sick scanner problems</t>
  </si>
  <si>
    <t>P1322</t>
  </si>
  <si>
    <t>140M Circuit Breaker</t>
  </si>
  <si>
    <t>1Z1220790395361696</t>
  </si>
  <si>
    <t>P1323</t>
  </si>
  <si>
    <t>AS-Interface EtherNet/IP gateway</t>
  </si>
  <si>
    <t>IFM</t>
  </si>
  <si>
    <t>P1324</t>
  </si>
  <si>
    <t>P1325</t>
  </si>
  <si>
    <t>Baldwin Richardson</t>
  </si>
  <si>
    <t>Sarco Condensate Pump</t>
  </si>
  <si>
    <t>P1326</t>
  </si>
  <si>
    <t>Pusher 2 sevice</t>
  </si>
  <si>
    <t>P1327</t>
  </si>
  <si>
    <t>UPstate Niagara Rochester</t>
  </si>
  <si>
    <t>Crate packer 10/22</t>
  </si>
  <si>
    <t>P1328</t>
  </si>
  <si>
    <t>Bur 564398 &amp; 443397</t>
  </si>
  <si>
    <t>11/1/2023, 12/1/23</t>
  </si>
  <si>
    <t>P1329</t>
  </si>
  <si>
    <t xml:space="preserve">Actuator </t>
  </si>
  <si>
    <t>P1330</t>
  </si>
  <si>
    <t>Router Remote Support</t>
  </si>
  <si>
    <t>P1331</t>
  </si>
  <si>
    <t>Jody Hill</t>
  </si>
  <si>
    <t>Generator Transfer Switch</t>
  </si>
  <si>
    <t>P1332</t>
  </si>
  <si>
    <t>EDF01-01245 &amp; EDF01-01104</t>
  </si>
  <si>
    <t>Kunkle</t>
  </si>
  <si>
    <t>711463163032 ; 1/10/24</t>
  </si>
  <si>
    <t>P1333</t>
  </si>
  <si>
    <t>Romicon code</t>
  </si>
  <si>
    <t>P1334</t>
  </si>
  <si>
    <t xml:space="preserve">Empire Automation </t>
  </si>
  <si>
    <t>Mike Moran</t>
  </si>
  <si>
    <t>Custumn Hoffman panel</t>
  </si>
  <si>
    <t>P1335</t>
  </si>
  <si>
    <t>Schneider RPM21F7</t>
  </si>
  <si>
    <t>RS Americas</t>
  </si>
  <si>
    <t>P1336</t>
  </si>
  <si>
    <t>Tee Line Strainers</t>
  </si>
  <si>
    <t>Nelson Jameson</t>
  </si>
  <si>
    <t>QCON102723</t>
  </si>
  <si>
    <t>P1337</t>
  </si>
  <si>
    <t>P1338</t>
  </si>
  <si>
    <t>P1339</t>
  </si>
  <si>
    <t>Yogurt Trial 10/9-10/10</t>
  </si>
  <si>
    <t>P1340</t>
  </si>
  <si>
    <t>SD / CF</t>
  </si>
  <si>
    <t>Kristin Wyshinski</t>
  </si>
  <si>
    <t>Conncectors for 2100 Series Valve</t>
  </si>
  <si>
    <t>RSA042523-0280</t>
  </si>
  <si>
    <t>P1341</t>
  </si>
  <si>
    <t xml:space="preserve">2477P-T15C21D8S </t>
  </si>
  <si>
    <t>PNVW15-2028</t>
  </si>
  <si>
    <t>P1342</t>
  </si>
  <si>
    <t>Sempera Organics</t>
  </si>
  <si>
    <t>Megan Smart</t>
  </si>
  <si>
    <t>Sweco 30" Sifter</t>
  </si>
  <si>
    <t>P1343</t>
  </si>
  <si>
    <t>Siemens Controlled Wrapper</t>
  </si>
  <si>
    <t>P1344</t>
  </si>
  <si>
    <t>11/6/2023 and 11/8/2023</t>
  </si>
  <si>
    <t>P1345</t>
  </si>
  <si>
    <t>Vertical Actuator Router</t>
  </si>
  <si>
    <t>P1346</t>
  </si>
  <si>
    <t>Program Maple Syatems HMI Model 5070</t>
  </si>
  <si>
    <t>P1347</t>
  </si>
  <si>
    <t>Ampco KC2 Pumps</t>
  </si>
  <si>
    <t>P1348</t>
  </si>
  <si>
    <t>Kunkle 1.5" x 2.5" valves</t>
  </si>
  <si>
    <t>Niagara Control</t>
  </si>
  <si>
    <t>P1349</t>
  </si>
  <si>
    <t>Pressure Transmitter</t>
  </si>
  <si>
    <t>P1350</t>
  </si>
  <si>
    <t>Valve o-rings</t>
  </si>
  <si>
    <t>P1351</t>
  </si>
  <si>
    <t>Eii</t>
  </si>
  <si>
    <t>Marcello Manto</t>
  </si>
  <si>
    <t>Ethernet Cables</t>
  </si>
  <si>
    <t>Rexel/IFM</t>
  </si>
  <si>
    <t>P1352</t>
  </si>
  <si>
    <t>Josh Rausher</t>
  </si>
  <si>
    <t>Operating handle</t>
  </si>
  <si>
    <t>P1353</t>
  </si>
  <si>
    <t>Upstate Farms Batavia</t>
  </si>
  <si>
    <t>HEPA Filters</t>
  </si>
  <si>
    <t>P1354</t>
  </si>
  <si>
    <t>SMC parts</t>
  </si>
  <si>
    <t>P1355</t>
  </si>
  <si>
    <t>Burkert control tops</t>
  </si>
  <si>
    <t>P1356</t>
  </si>
  <si>
    <t>NF/Cedars</t>
  </si>
  <si>
    <t>Yogurt Trial 11/6-11/10</t>
  </si>
  <si>
    <t>P1357</t>
  </si>
  <si>
    <t>P1358</t>
  </si>
  <si>
    <t>Cognex</t>
  </si>
  <si>
    <t>Cognex barcode reader &amp; parts</t>
  </si>
  <si>
    <t>P1359</t>
  </si>
  <si>
    <t>P1360</t>
  </si>
  <si>
    <t>1/9/2024, 2/13/2024</t>
  </si>
  <si>
    <t>P1361</t>
  </si>
  <si>
    <t>AMD</t>
  </si>
  <si>
    <t>George Siradas</t>
  </si>
  <si>
    <t>Flow Meter</t>
  </si>
  <si>
    <t>P1362</t>
  </si>
  <si>
    <t>Patch cables</t>
  </si>
  <si>
    <t>P1363</t>
  </si>
  <si>
    <t>RS/DP</t>
  </si>
  <si>
    <t>SC 11/21/2023 Blank HMI (White screen)</t>
  </si>
  <si>
    <t>P1364</t>
  </si>
  <si>
    <t>Saginaw enclosures</t>
  </si>
  <si>
    <t>P1365</t>
  </si>
  <si>
    <t>Jenna LaRose</t>
  </si>
  <si>
    <t>Homogenizer Maintenance</t>
  </si>
  <si>
    <t>P1366</t>
  </si>
  <si>
    <t>Burkert 1.5" hot water valve</t>
  </si>
  <si>
    <t>711463163032</t>
  </si>
  <si>
    <t>P1367</t>
  </si>
  <si>
    <t>Brecoflex</t>
  </si>
  <si>
    <t>P1368</t>
  </si>
  <si>
    <t>P1369</t>
  </si>
  <si>
    <t>P1370</t>
  </si>
  <si>
    <t>Frain Industries</t>
  </si>
  <si>
    <t>Matthew Wheatley</t>
  </si>
  <si>
    <t>Lee 60 Gal SS Kettle</t>
  </si>
  <si>
    <t>11/30/2023, 9/30/24</t>
  </si>
  <si>
    <t>P1371</t>
  </si>
  <si>
    <t>Andrew lawrence</t>
  </si>
  <si>
    <t xml:space="preserve">Bold Mold </t>
  </si>
  <si>
    <t>P1372</t>
  </si>
  <si>
    <t>Electrical Parts</t>
  </si>
  <si>
    <t>P1373</t>
  </si>
  <si>
    <t>Carl Bennett</t>
  </si>
  <si>
    <t>1Z1220790190242201</t>
  </si>
  <si>
    <t>P1373A</t>
  </si>
  <si>
    <t>Analog output module</t>
  </si>
  <si>
    <t>1Z9207AY1391582428</t>
  </si>
  <si>
    <t>P1374</t>
  </si>
  <si>
    <t>APG</t>
  </si>
  <si>
    <t>Amy</t>
  </si>
  <si>
    <t>Magnetic Brake</t>
  </si>
  <si>
    <t>P1375</t>
  </si>
  <si>
    <t>Impellers &amp; Stub Shafts</t>
  </si>
  <si>
    <t>P1376</t>
  </si>
  <si>
    <t xml:space="preserve">1Z9207AY0393909635 </t>
  </si>
  <si>
    <t>P1377</t>
  </si>
  <si>
    <t>Positioner top &amp; seal kit</t>
  </si>
  <si>
    <t>P1378</t>
  </si>
  <si>
    <t>P1379</t>
  </si>
  <si>
    <t>Caps &amp; Overload Relay</t>
  </si>
  <si>
    <t>P1380</t>
  </si>
  <si>
    <t>Seal retainer</t>
  </si>
  <si>
    <t>P1381</t>
  </si>
  <si>
    <t>P1382</t>
  </si>
  <si>
    <t>Yogurt Trial 12/4-12/7</t>
  </si>
  <si>
    <t>P1383</t>
  </si>
  <si>
    <t>M12 Cables</t>
  </si>
  <si>
    <t>P1384</t>
  </si>
  <si>
    <t>John</t>
  </si>
  <si>
    <t>Alfa Pumps</t>
  </si>
  <si>
    <t>P1385</t>
  </si>
  <si>
    <t>SD/RS</t>
  </si>
  <si>
    <t>Cuisine Solutions, Inc</t>
  </si>
  <si>
    <t>Brian Jones</t>
  </si>
  <si>
    <t>Axiflow Pump</t>
  </si>
  <si>
    <t>P1386</t>
  </si>
  <si>
    <t>P1387</t>
  </si>
  <si>
    <t>Control top</t>
  </si>
  <si>
    <t>P1388</t>
  </si>
  <si>
    <t>Pump parts</t>
  </si>
  <si>
    <t>Select Stainless</t>
  </si>
  <si>
    <t>SHIPPED 1/17</t>
  </si>
  <si>
    <t>P1389</t>
  </si>
  <si>
    <t>Ludwick Paving</t>
  </si>
  <si>
    <t xml:space="preserve">John Ludwick </t>
  </si>
  <si>
    <t>Tile</t>
  </si>
  <si>
    <t>P1390</t>
  </si>
  <si>
    <t>Likwifier Seal Kits</t>
  </si>
  <si>
    <t>EnSight Solutions</t>
  </si>
  <si>
    <t>P1391</t>
  </si>
  <si>
    <t>Pump seal kits</t>
  </si>
  <si>
    <t>P1392</t>
  </si>
  <si>
    <t>SMC Fittings</t>
  </si>
  <si>
    <t>1Z9207AY0395214551</t>
  </si>
  <si>
    <t>P1393</t>
  </si>
  <si>
    <t>Wittenstein gearboxes</t>
  </si>
  <si>
    <t>1Z9207AY0390210475</t>
  </si>
  <si>
    <t>P1394</t>
  </si>
  <si>
    <t xml:space="preserve">UV Lamps </t>
  </si>
  <si>
    <t>American Air &amp; Water</t>
  </si>
  <si>
    <t>P1395</t>
  </si>
  <si>
    <t>Daniel Stevenovik</t>
  </si>
  <si>
    <t>V38 VFD Replacement Service</t>
  </si>
  <si>
    <t>P1396</t>
  </si>
  <si>
    <t>Likwifier Motor</t>
  </si>
  <si>
    <t>774562653481</t>
  </si>
  <si>
    <t>P1397</t>
  </si>
  <si>
    <t>Pumps seals</t>
  </si>
  <si>
    <t>1Z5383E60144031186</t>
  </si>
  <si>
    <t>P1398</t>
  </si>
  <si>
    <t>Winpack</t>
  </si>
  <si>
    <t>Ronald Rodriguez</t>
  </si>
  <si>
    <t>P1399</t>
  </si>
  <si>
    <t>Fluke Networks meter</t>
  </si>
  <si>
    <t>Amazon</t>
  </si>
  <si>
    <t xml:space="preserve">1Z9207AY0395443170 </t>
  </si>
  <si>
    <t>P1400</t>
  </si>
  <si>
    <t>Baush &amp; Lomb</t>
  </si>
  <si>
    <t>Admix Tank Mixer Trial</t>
  </si>
  <si>
    <t>BitterEnd</t>
  </si>
  <si>
    <t>Returned 8/16</t>
  </si>
  <si>
    <t>P1401</t>
  </si>
  <si>
    <t>P1402</t>
  </si>
  <si>
    <t>SMC components</t>
  </si>
  <si>
    <t>P1403</t>
  </si>
  <si>
    <t>Asco Numatics Manifolds</t>
  </si>
  <si>
    <t>Airline Hydraulics Corp</t>
  </si>
  <si>
    <t>P1404</t>
  </si>
  <si>
    <t>DP / RS</t>
  </si>
  <si>
    <t>Program YASKAWA VFD</t>
  </si>
  <si>
    <t>P1405</t>
  </si>
  <si>
    <t>Program new YASKAWA VFD (Last one blew up)</t>
  </si>
  <si>
    <t>P1406</t>
  </si>
  <si>
    <t>Burkert valves</t>
  </si>
  <si>
    <t>P1407</t>
  </si>
  <si>
    <t xml:space="preserve">Heat Exchanger </t>
  </si>
  <si>
    <t>FPL</t>
  </si>
  <si>
    <t>P1407A</t>
  </si>
  <si>
    <t>P1408</t>
  </si>
  <si>
    <t>Alexandrite Services</t>
  </si>
  <si>
    <t>Judith Herke</t>
  </si>
  <si>
    <t>Ozone Generators</t>
  </si>
  <si>
    <t>P1409</t>
  </si>
  <si>
    <t>Joshua Holt</t>
  </si>
  <si>
    <t>Armstrong hot &amp; cold mixing station</t>
  </si>
  <si>
    <t>P1410</t>
  </si>
  <si>
    <t>Positioner tops</t>
  </si>
  <si>
    <t>P1411</t>
  </si>
  <si>
    <t>P1412</t>
  </si>
  <si>
    <t>Robot Programing</t>
  </si>
  <si>
    <t>P1413</t>
  </si>
  <si>
    <t>P1414</t>
  </si>
  <si>
    <t>Numatics Cylinder</t>
  </si>
  <si>
    <t>NOW 6/4/24</t>
  </si>
  <si>
    <t>P1415</t>
  </si>
  <si>
    <t>Burkert adapters</t>
  </si>
  <si>
    <t>P1416</t>
  </si>
  <si>
    <t>Cognex Dataman Cams</t>
  </si>
  <si>
    <t>P1417</t>
  </si>
  <si>
    <t>Burkert 1.5" steam valves</t>
  </si>
  <si>
    <t>P1418</t>
  </si>
  <si>
    <t>Custom Hofmann Enclosure</t>
  </si>
  <si>
    <t>P1419</t>
  </si>
  <si>
    <t>ZP3-130-SM pump</t>
  </si>
  <si>
    <t>P1420</t>
  </si>
  <si>
    <t>SS Inline Filter</t>
  </si>
  <si>
    <t>P1421</t>
  </si>
  <si>
    <t>GS8103410 seal kit</t>
  </si>
  <si>
    <t>P1422</t>
  </si>
  <si>
    <t>IFM Temp Probes</t>
  </si>
  <si>
    <t>P1423</t>
  </si>
  <si>
    <t>TS6-MFG gasketed heat exchanger</t>
  </si>
  <si>
    <t>MID APRIL</t>
  </si>
  <si>
    <t>P1420A</t>
  </si>
  <si>
    <t>Inline filter screens</t>
  </si>
  <si>
    <t>P1424</t>
  </si>
  <si>
    <t>Flex IO parts</t>
  </si>
  <si>
    <t>P1425</t>
  </si>
  <si>
    <t>Earth leasing LLC</t>
  </si>
  <si>
    <t>Sherrie Piatek</t>
  </si>
  <si>
    <t>John Deere</t>
  </si>
  <si>
    <t>P1426</t>
  </si>
  <si>
    <t>Zoladz Construction Co</t>
  </si>
  <si>
    <t>Topsoil</t>
  </si>
  <si>
    <t>P1427</t>
  </si>
  <si>
    <t>RSJ/DP</t>
  </si>
  <si>
    <t>RJ Watson</t>
  </si>
  <si>
    <t>Trevor Merritt</t>
  </si>
  <si>
    <t xml:space="preserve">Cable </t>
  </si>
  <si>
    <t>P1428</t>
  </si>
  <si>
    <t>RS / RDS / TF</t>
  </si>
  <si>
    <t>Storage for Fermenters</t>
  </si>
  <si>
    <t>P1429</t>
  </si>
  <si>
    <t>Control tops</t>
  </si>
  <si>
    <t>SHIP 3/22/24</t>
  </si>
  <si>
    <t>P1430</t>
  </si>
  <si>
    <t>P1431</t>
  </si>
  <si>
    <t>P1432</t>
  </si>
  <si>
    <t>5G Pump Head</t>
  </si>
  <si>
    <t>P1433</t>
  </si>
  <si>
    <t>KC2-151 Pump</t>
  </si>
  <si>
    <t>P1434</t>
  </si>
  <si>
    <t>Kunkle valve</t>
  </si>
  <si>
    <t>P1435</t>
  </si>
  <si>
    <t>Aaron</t>
  </si>
  <si>
    <t>RTD Cards</t>
  </si>
  <si>
    <t>PLC</t>
  </si>
  <si>
    <t>P1436</t>
  </si>
  <si>
    <t>Pump spare parts</t>
  </si>
  <si>
    <t>P1437</t>
  </si>
  <si>
    <t>Lisa Regensburger</t>
  </si>
  <si>
    <t>Phoenix Sockets</t>
  </si>
  <si>
    <t>P1438</t>
  </si>
  <si>
    <t>Pump shafts</t>
  </si>
  <si>
    <t>P1439</t>
  </si>
  <si>
    <t>Pressure Guages</t>
  </si>
  <si>
    <t>P1440</t>
  </si>
  <si>
    <t>RTD probes</t>
  </si>
  <si>
    <t>P1441</t>
  </si>
  <si>
    <t>Joshua Rauscher</t>
  </si>
  <si>
    <t>Panel Components</t>
  </si>
  <si>
    <t>P1442</t>
  </si>
  <si>
    <t>Pwflx 525 10HP Drive</t>
  </si>
  <si>
    <t>P1443</t>
  </si>
  <si>
    <t>Catherine Holon</t>
  </si>
  <si>
    <t>Breddo Soak Programming</t>
  </si>
  <si>
    <t>P1444</t>
  </si>
  <si>
    <t>Megan Clink</t>
  </si>
  <si>
    <t>P1445</t>
  </si>
  <si>
    <t>Kunkle valve RMA</t>
  </si>
  <si>
    <t>RSA / Mecklenburg</t>
  </si>
  <si>
    <t>P1446</t>
  </si>
  <si>
    <t>Pwrflx 40 2HP VFDs</t>
  </si>
  <si>
    <t>P1447</t>
  </si>
  <si>
    <t>Kunkle Valve</t>
  </si>
  <si>
    <t>P1448</t>
  </si>
  <si>
    <t>Temperature Sensors</t>
  </si>
  <si>
    <t>30, 70</t>
  </si>
  <si>
    <t>3/27/2024 , 4/29/2024</t>
  </si>
  <si>
    <t>P1449</t>
  </si>
  <si>
    <t>Steam Valve</t>
  </si>
  <si>
    <t>P1450</t>
  </si>
  <si>
    <t>Silverson shear pump seals</t>
  </si>
  <si>
    <t>P1451</t>
  </si>
  <si>
    <t>Stub Shaft</t>
  </si>
  <si>
    <t>P1452</t>
  </si>
  <si>
    <t>P1453</t>
  </si>
  <si>
    <t>Andrew  Hutzler</t>
  </si>
  <si>
    <t>Machine 5 Safety Relay Work/Batcher HMI Programming</t>
  </si>
  <si>
    <t>P1454</t>
  </si>
  <si>
    <t>Barcode scanner and parts</t>
  </si>
  <si>
    <t>P1455</t>
  </si>
  <si>
    <t>1/2" valves</t>
  </si>
  <si>
    <t>P1456</t>
  </si>
  <si>
    <t xml:space="preserve">Temperature Transmitter </t>
  </si>
  <si>
    <t>P1457</t>
  </si>
  <si>
    <t>50amp AB Breakers</t>
  </si>
  <si>
    <t>P1458</t>
  </si>
  <si>
    <t>Drum motors</t>
  </si>
  <si>
    <t>Interroll</t>
  </si>
  <si>
    <t>DELIVERED 4/3/2024</t>
  </si>
  <si>
    <t>P1459</t>
  </si>
  <si>
    <t xml:space="preserve">Capricia Carmichael </t>
  </si>
  <si>
    <t>P1460</t>
  </si>
  <si>
    <t>Filter Housing</t>
  </si>
  <si>
    <t>P1461</t>
  </si>
  <si>
    <t>Seal Replacement Q0281</t>
  </si>
  <si>
    <t>Siewert</t>
  </si>
  <si>
    <t>P1462</t>
  </si>
  <si>
    <t>Cables</t>
  </si>
  <si>
    <t>P1463</t>
  </si>
  <si>
    <t>Level transmitter</t>
  </si>
  <si>
    <t>Promag Enviro Systems</t>
  </si>
  <si>
    <t>BILLABLE</t>
  </si>
  <si>
    <t>P1464</t>
  </si>
  <si>
    <t>Oetiker</t>
  </si>
  <si>
    <t>Daniel Russell</t>
  </si>
  <si>
    <t>P1465</t>
  </si>
  <si>
    <t>SLH 5G Seal Kit</t>
  </si>
  <si>
    <t>P1466</t>
  </si>
  <si>
    <t>1769-L24ER-QB1B - Programmed</t>
  </si>
  <si>
    <t>RSA, EBay</t>
  </si>
  <si>
    <t>P1467</t>
  </si>
  <si>
    <t>Eaton Breaker</t>
  </si>
  <si>
    <t>Wesco</t>
  </si>
  <si>
    <t>P1468</t>
  </si>
  <si>
    <t>AB Kinetix Servo</t>
  </si>
  <si>
    <t>P1469</t>
  </si>
  <si>
    <t>150 Lee Onsite Programming</t>
  </si>
  <si>
    <t>P1470</t>
  </si>
  <si>
    <t>Heat Exchanger Controller Needs Programmed</t>
  </si>
  <si>
    <t>P1471</t>
  </si>
  <si>
    <t>AB Kinetix Servos</t>
  </si>
  <si>
    <t>5/16/2024, 9/20</t>
  </si>
  <si>
    <t>P1472</t>
  </si>
  <si>
    <t>CMC Mechanical</t>
  </si>
  <si>
    <t>Tube Heat Exchanger</t>
  </si>
  <si>
    <t>Frank P Langley</t>
  </si>
  <si>
    <t>P1473</t>
  </si>
  <si>
    <t>Steam valves</t>
  </si>
  <si>
    <t>P1474</t>
  </si>
  <si>
    <t>Roller &amp; 140M Circut Breaker</t>
  </si>
  <si>
    <t>P1475</t>
  </si>
  <si>
    <t>P1476</t>
  </si>
  <si>
    <t>AB Servos &amp; Drives</t>
  </si>
  <si>
    <t>90,10</t>
  </si>
  <si>
    <t>4/29/2024,6/13/2024</t>
  </si>
  <si>
    <t>P1477</t>
  </si>
  <si>
    <t>Micro 820 Fault/1769-L24ER/Powerflex 525</t>
  </si>
  <si>
    <t>P1478</t>
  </si>
  <si>
    <t>Goulds pump seal</t>
  </si>
  <si>
    <t>P1479</t>
  </si>
  <si>
    <t>Arena Products</t>
  </si>
  <si>
    <t>Nick Dennie</t>
  </si>
  <si>
    <t>Valves &amp; parts</t>
  </si>
  <si>
    <t>SHIPPED 4/1/24</t>
  </si>
  <si>
    <t>P1480</t>
  </si>
  <si>
    <t>Kinetix servo</t>
  </si>
  <si>
    <t xml:space="preserve">4/26 Parts Only, 5/16 freight chgs </t>
  </si>
  <si>
    <t>P1481</t>
  </si>
  <si>
    <t>Custom Seasonings</t>
  </si>
  <si>
    <t>Fred Ellis</t>
  </si>
  <si>
    <t>Waukesha 030-U2 Pump</t>
  </si>
  <si>
    <t>P1482</t>
  </si>
  <si>
    <t>SHIPPED 4/3/2024</t>
  </si>
  <si>
    <t>P1483</t>
  </si>
  <si>
    <t>4/26 Parts Only, 5/6 freight</t>
  </si>
  <si>
    <t>P1484</t>
  </si>
  <si>
    <t>P1485</t>
  </si>
  <si>
    <t>Inline flow sensor</t>
  </si>
  <si>
    <t>P1486</t>
  </si>
  <si>
    <t>Osgood Filler Main Drive Kinetix Service</t>
  </si>
  <si>
    <t>P1487</t>
  </si>
  <si>
    <t>Raymond Ogle</t>
  </si>
  <si>
    <t>Hardened LFV pump casing &amp; impeller</t>
  </si>
  <si>
    <t>P1488</t>
  </si>
  <si>
    <t>Line 9 Robotics Service Call</t>
  </si>
  <si>
    <t>P1489</t>
  </si>
  <si>
    <t>TeamViewer 2024</t>
  </si>
  <si>
    <t>P1490</t>
  </si>
  <si>
    <t>Luis Gamez</t>
  </si>
  <si>
    <t>LFV Pump Lobes</t>
  </si>
  <si>
    <t>SHIPPED 3/29/24</t>
  </si>
  <si>
    <t>P1491</t>
  </si>
  <si>
    <t>Pump rebuild kit</t>
  </si>
  <si>
    <t>P1492</t>
  </si>
  <si>
    <t>Hoffman Panel</t>
  </si>
  <si>
    <t>RMA'D / RESTOCK 25%</t>
  </si>
  <si>
    <t>P1493</t>
  </si>
  <si>
    <t>Valve plug</t>
  </si>
  <si>
    <t>P1494</t>
  </si>
  <si>
    <t>Osgood Filler Main Drive Not Homing</t>
  </si>
  <si>
    <t>P1495</t>
  </si>
  <si>
    <t>P1496</t>
  </si>
  <si>
    <t>Dairy Farmers of America</t>
  </si>
  <si>
    <t>Dennis Nicholson</t>
  </si>
  <si>
    <t xml:space="preserve">H200 Micromotion mass flow meter </t>
  </si>
  <si>
    <t>P1497</t>
  </si>
  <si>
    <t>36pc - DURACIRC 62 Pumps</t>
  </si>
  <si>
    <t>8 pumps</t>
  </si>
  <si>
    <t>P1498</t>
  </si>
  <si>
    <t>SHIPPED 4/9/24</t>
  </si>
  <si>
    <t>P1499</t>
  </si>
  <si>
    <t>AB parts</t>
  </si>
  <si>
    <t>TBD</t>
  </si>
  <si>
    <t>P1500</t>
  </si>
  <si>
    <t>8692 top</t>
  </si>
  <si>
    <t>DEL 4/26/2024</t>
  </si>
  <si>
    <t>P1501</t>
  </si>
  <si>
    <t>Shaft / Set Tank 2 added to E3778</t>
  </si>
  <si>
    <t xml:space="preserve">RSA  </t>
  </si>
  <si>
    <t>P1502</t>
  </si>
  <si>
    <t>Lightnin' spare parts</t>
  </si>
  <si>
    <t xml:space="preserve">Siewert Equipment </t>
  </si>
  <si>
    <t>P1503</t>
  </si>
  <si>
    <t>Motts / Chem Aqua</t>
  </si>
  <si>
    <t>Ozone Unit Alarming, Ozone Sniffer</t>
  </si>
  <si>
    <t>P1504</t>
  </si>
  <si>
    <t>Stubshafts</t>
  </si>
  <si>
    <t>P1505</t>
  </si>
  <si>
    <t>SEW Helical Gearmotor</t>
  </si>
  <si>
    <t>SEW</t>
  </si>
  <si>
    <t>P1506</t>
  </si>
  <si>
    <t>Custom Hoffman Enclosure</t>
  </si>
  <si>
    <t>P1507</t>
  </si>
  <si>
    <t>RTD fittings</t>
  </si>
  <si>
    <t>4/29/2024,4/30/2024</t>
  </si>
  <si>
    <t>P1508</t>
  </si>
  <si>
    <t>Pumps for Lettuce Line</t>
  </si>
  <si>
    <t>P1509</t>
  </si>
  <si>
    <t>Dorner Conveyor Replacement Belt</t>
  </si>
  <si>
    <t>P1510</t>
  </si>
  <si>
    <t>Dosatron Pumps</t>
  </si>
  <si>
    <t>Dosatron</t>
  </si>
  <si>
    <t>P1511</t>
  </si>
  <si>
    <t>P1512</t>
  </si>
  <si>
    <t>Steam Valves</t>
  </si>
  <si>
    <t>P1513</t>
  </si>
  <si>
    <t>Spirax Sarco Repair Parts</t>
  </si>
  <si>
    <t>P1514</t>
  </si>
  <si>
    <t xml:space="preserve">Bell &amp; Gossett shell &amp; tube </t>
  </si>
  <si>
    <t>P1515</t>
  </si>
  <si>
    <t>RS / SD</t>
  </si>
  <si>
    <t>Void Duplicat</t>
  </si>
  <si>
    <t>P1516</t>
  </si>
  <si>
    <t>Line 9 Case Packer Service - 4_19_2024</t>
  </si>
  <si>
    <t>P1517</t>
  </si>
  <si>
    <t>Arista HMI</t>
  </si>
  <si>
    <t>REC'D 5/13</t>
  </si>
  <si>
    <t>P1518</t>
  </si>
  <si>
    <t>ICH Industries LLC</t>
  </si>
  <si>
    <t>Buster Isennock</t>
  </si>
  <si>
    <t>Automatic Stirrer not working</t>
  </si>
  <si>
    <t>not chargeable per Rick</t>
  </si>
  <si>
    <t>P1519</t>
  </si>
  <si>
    <t xml:space="preserve">Berkley Screw </t>
  </si>
  <si>
    <t>Natalie Rumble</t>
  </si>
  <si>
    <t>Siemens Breaker</t>
  </si>
  <si>
    <t>eBAY</t>
  </si>
  <si>
    <t>P1520</t>
  </si>
  <si>
    <t>Hoffman spares</t>
  </si>
  <si>
    <t>P1521</t>
  </si>
  <si>
    <t>Steam Control Valve</t>
  </si>
  <si>
    <t>P1522</t>
  </si>
  <si>
    <t>SEW AC Motors</t>
  </si>
  <si>
    <t>P1523</t>
  </si>
  <si>
    <t>P1524</t>
  </si>
  <si>
    <t>P1525</t>
  </si>
  <si>
    <t>Leeson Motor</t>
  </si>
  <si>
    <t>P1526</t>
  </si>
  <si>
    <t>Rich Hasenauer</t>
  </si>
  <si>
    <t>Valve repair parts</t>
  </si>
  <si>
    <t>P1527</t>
  </si>
  <si>
    <t>AB Relays</t>
  </si>
  <si>
    <t>P1528</t>
  </si>
  <si>
    <t>Audrey Edwards</t>
  </si>
  <si>
    <t>M12 Cable</t>
  </si>
  <si>
    <t>P1529</t>
  </si>
  <si>
    <t>GS02600651-ND Seal Kits</t>
  </si>
  <si>
    <t>P1530</t>
  </si>
  <si>
    <t>AC Motors</t>
  </si>
  <si>
    <t>P1531</t>
  </si>
  <si>
    <t>Pushbuttons</t>
  </si>
  <si>
    <t>P1532</t>
  </si>
  <si>
    <t>Baldor 5hp Motor</t>
  </si>
  <si>
    <t>P1533</t>
  </si>
  <si>
    <t>SEW Gearmotor</t>
  </si>
  <si>
    <t>REC'D 5/14/24</t>
  </si>
  <si>
    <t>P1534</t>
  </si>
  <si>
    <t>P1535</t>
  </si>
  <si>
    <t>Shrink wrapper parts</t>
  </si>
  <si>
    <t>Continental Paper &amp; Plastics</t>
  </si>
  <si>
    <t>ETA 6/18/24</t>
  </si>
  <si>
    <t>P1536</t>
  </si>
  <si>
    <t>Dodge gearbox &amp; Baldor motor</t>
  </si>
  <si>
    <t>5/8/2024 , 5/15/2024</t>
  </si>
  <si>
    <t>P1537</t>
  </si>
  <si>
    <t>Baldor 5hp TEFC Motor</t>
  </si>
  <si>
    <t>P1538</t>
  </si>
  <si>
    <t>Dorner Parts</t>
  </si>
  <si>
    <t>P1539</t>
  </si>
  <si>
    <t>Saint Gobain Adfors (Flex Screen)</t>
  </si>
  <si>
    <t>Flex Screen Robot Service</t>
  </si>
  <si>
    <t>P1540</t>
  </si>
  <si>
    <t>Josh Holt</t>
  </si>
  <si>
    <t>Load Cells</t>
  </si>
  <si>
    <t>Rochester Scale</t>
  </si>
  <si>
    <t>P1541</t>
  </si>
  <si>
    <t>2" h200 micromotion</t>
  </si>
  <si>
    <t>RS Automation</t>
  </si>
  <si>
    <t>P1542</t>
  </si>
  <si>
    <t>Pyromation RTD</t>
  </si>
  <si>
    <t>P1543</t>
  </si>
  <si>
    <t>Mary Miller</t>
  </si>
  <si>
    <t>ETA 5/17/2024</t>
  </si>
  <si>
    <t>P1544</t>
  </si>
  <si>
    <t>Vat RTD displays</t>
  </si>
  <si>
    <t>ETA 5/20/2024</t>
  </si>
  <si>
    <t>P1545</t>
  </si>
  <si>
    <t>Niagara County Water Authority VFD Troubleshoot</t>
  </si>
  <si>
    <t>P1546</t>
  </si>
  <si>
    <t xml:space="preserve">Sungo Wang </t>
  </si>
  <si>
    <t>Spare Valve Kit 2000L Tank</t>
  </si>
  <si>
    <t>Tetra</t>
  </si>
  <si>
    <t>P1547</t>
  </si>
  <si>
    <t>DEL 6/4/24 - 711463211690</t>
  </si>
  <si>
    <t>P1548</t>
  </si>
  <si>
    <t>GEA Homogenizer impact heads</t>
  </si>
  <si>
    <t>ETA 7/15/2024</t>
  </si>
  <si>
    <t>P1549</t>
  </si>
  <si>
    <t>ETA 5/21/2024</t>
  </si>
  <si>
    <t>P1550</t>
  </si>
  <si>
    <t>P1551</t>
  </si>
  <si>
    <t>D.L. Morre Inc</t>
  </si>
  <si>
    <t>Kelly Moore</t>
  </si>
  <si>
    <t>Ampco pump ASZC2</t>
  </si>
  <si>
    <t>5/17/2024,6/6/2024</t>
  </si>
  <si>
    <t>DEL 6/7/24 - FEDEX 275546599421</t>
  </si>
  <si>
    <t>P1552</t>
  </si>
  <si>
    <t>AB 7.5hp VFD</t>
  </si>
  <si>
    <t>ETA 5/24/2024</t>
  </si>
  <si>
    <t>P1553</t>
  </si>
  <si>
    <t>Guy Bianchi</t>
  </si>
  <si>
    <t>Ampco LFR140 Pump Head</t>
  </si>
  <si>
    <t>ETA 6/6/2024</t>
  </si>
  <si>
    <t>P1554</t>
  </si>
  <si>
    <t>Pump seals</t>
  </si>
  <si>
    <t>P1555</t>
  </si>
  <si>
    <t>LFV Pump Face</t>
  </si>
  <si>
    <t>P1556</t>
  </si>
  <si>
    <t>P1557</t>
  </si>
  <si>
    <t>P1558</t>
  </si>
  <si>
    <t>P1559/P1508</t>
  </si>
  <si>
    <t>Alfa Laval 7.5hp Pumps</t>
  </si>
  <si>
    <t>RSA  P1508</t>
  </si>
  <si>
    <t>Use job P1508</t>
  </si>
  <si>
    <t>P1560</t>
  </si>
  <si>
    <t>Power supply</t>
  </si>
  <si>
    <t>P1561</t>
  </si>
  <si>
    <t>RLH Materials for SCADA Conversion Project</t>
  </si>
  <si>
    <t>RLH Material</t>
  </si>
  <si>
    <t>P1562</t>
  </si>
  <si>
    <t>P1563</t>
  </si>
  <si>
    <t>Culinary steam filters</t>
  </si>
  <si>
    <t>DEL 6/17/24 - 1Z9207AY0393599024</t>
  </si>
  <si>
    <t>P1564</t>
  </si>
  <si>
    <t>Toppings 3 / Steam Trap</t>
  </si>
  <si>
    <t>P1565</t>
  </si>
  <si>
    <t>Pump seal and impellers</t>
  </si>
  <si>
    <t>P1566</t>
  </si>
  <si>
    <t>P1567</t>
  </si>
  <si>
    <t>CE09's</t>
  </si>
  <si>
    <t>Valmont</t>
  </si>
  <si>
    <t>4%, 96%</t>
  </si>
  <si>
    <t>6/21/2024, 8/23/24</t>
  </si>
  <si>
    <t>P1568</t>
  </si>
  <si>
    <t>Paul</t>
  </si>
  <si>
    <t>1/4 Push to Connect Fittings</t>
  </si>
  <si>
    <t>McMaster Carr</t>
  </si>
  <si>
    <t>P1569</t>
  </si>
  <si>
    <t>Chart recorders</t>
  </si>
  <si>
    <t>Cole-Palmer</t>
  </si>
  <si>
    <t>P1570</t>
  </si>
  <si>
    <t>T-strainers</t>
  </si>
  <si>
    <t>P1571</t>
  </si>
  <si>
    <t>Baldor 5hp motor</t>
  </si>
  <si>
    <t>P1572</t>
  </si>
  <si>
    <t xml:space="preserve">Andy </t>
  </si>
  <si>
    <t>Modify filler piston parts</t>
  </si>
  <si>
    <t>P1573</t>
  </si>
  <si>
    <t>SC Screens Repair</t>
  </si>
  <si>
    <t>P1574</t>
  </si>
  <si>
    <t xml:space="preserve">Cat 6 Underground Cable </t>
  </si>
  <si>
    <t>P1575</t>
  </si>
  <si>
    <t>Rotary filler PLC program</t>
  </si>
  <si>
    <t>P1576</t>
  </si>
  <si>
    <t>SEW right angle gearmotor</t>
  </si>
  <si>
    <t>P1577</t>
  </si>
  <si>
    <t>UV lamps &amp; filters</t>
  </si>
  <si>
    <t>Atlantic Ultraviolet</t>
  </si>
  <si>
    <t>1Z1413050396777376</t>
  </si>
  <si>
    <t>P1578</t>
  </si>
  <si>
    <t>CSC Sugar - OH</t>
  </si>
  <si>
    <t>Alex Stegerwalt</t>
  </si>
  <si>
    <t>Brix Meter</t>
  </si>
  <si>
    <t>ATAGO USA</t>
  </si>
  <si>
    <t>P1579</t>
  </si>
  <si>
    <t>P1580</t>
  </si>
  <si>
    <t>Albion County Jail</t>
  </si>
  <si>
    <t>??????</t>
  </si>
  <si>
    <t>Jail Door Troubleshoot and Repair</t>
  </si>
  <si>
    <t>Sales call</t>
  </si>
  <si>
    <t>P1581</t>
  </si>
  <si>
    <t>HTST replacement parts</t>
  </si>
  <si>
    <t>30,70</t>
  </si>
  <si>
    <t>7/11/2024, 7/23/2024</t>
  </si>
  <si>
    <t>P1582</t>
  </si>
  <si>
    <t>Camfil USA</t>
  </si>
  <si>
    <t>P1583</t>
  </si>
  <si>
    <t>EATON FAZ Breakers</t>
  </si>
  <si>
    <t>P1584</t>
  </si>
  <si>
    <t>Dorner brackets</t>
  </si>
  <si>
    <t>P1585</t>
  </si>
  <si>
    <t>Blanket Purchase Order</t>
  </si>
  <si>
    <t>P1586</t>
  </si>
  <si>
    <t>Silo level sensor repalcement/Program</t>
  </si>
  <si>
    <t>P1587</t>
  </si>
  <si>
    <t>P1588</t>
  </si>
  <si>
    <t>P1589</t>
  </si>
  <si>
    <t>Mountainside Farms</t>
  </si>
  <si>
    <t>Dion</t>
  </si>
  <si>
    <t>Sandwich wall panels</t>
  </si>
  <si>
    <t>P1590</t>
  </si>
  <si>
    <t xml:space="preserve">Boom Lift </t>
  </si>
  <si>
    <t>P1591</t>
  </si>
  <si>
    <t>Gaskets &amp; Seal Kit</t>
  </si>
  <si>
    <t>P1592</t>
  </si>
  <si>
    <t>Bearings</t>
  </si>
  <si>
    <t>P1593</t>
  </si>
  <si>
    <t>Dodge gearbox</t>
  </si>
  <si>
    <t>MRO-PT</t>
  </si>
  <si>
    <t>P1594</t>
  </si>
  <si>
    <t>RTD Probes</t>
  </si>
  <si>
    <t>P1595</t>
  </si>
  <si>
    <t>0.5hp Motor</t>
  </si>
  <si>
    <t>P1596</t>
  </si>
  <si>
    <t>Flow meters</t>
  </si>
  <si>
    <t>7/22/2024,7/23/2024</t>
  </si>
  <si>
    <t>P1597</t>
  </si>
  <si>
    <t>Fanuc Robot Service</t>
  </si>
  <si>
    <t>P1598</t>
  </si>
  <si>
    <t>Bulk Material June 24</t>
  </si>
  <si>
    <t>P1599</t>
  </si>
  <si>
    <t>P1600</t>
  </si>
  <si>
    <t>Din Rail</t>
  </si>
  <si>
    <t>P1601</t>
  </si>
  <si>
    <t>J.M. Smucker</t>
  </si>
  <si>
    <t>Melanie Freed</t>
  </si>
  <si>
    <t>Spare manifold &amp; valve</t>
  </si>
  <si>
    <t>Amazon / Bukert</t>
  </si>
  <si>
    <t>P1602</t>
  </si>
  <si>
    <t>Doug</t>
  </si>
  <si>
    <t>P1603</t>
  </si>
  <si>
    <t>P1604</t>
  </si>
  <si>
    <t>VAT RTD</t>
  </si>
  <si>
    <t>P1605</t>
  </si>
  <si>
    <t>SD/RSJ</t>
  </si>
  <si>
    <t>MM H200 Flow Meter</t>
  </si>
  <si>
    <t>P1606</t>
  </si>
  <si>
    <t>P1607</t>
  </si>
  <si>
    <t>Pump Impeller</t>
  </si>
  <si>
    <t>P1608</t>
  </si>
  <si>
    <t>Spiral rings for Nord / Feldmeier</t>
  </si>
  <si>
    <t>Feldmeier</t>
  </si>
  <si>
    <t>P1609</t>
  </si>
  <si>
    <t xml:space="preserve">Nick Piccolo </t>
  </si>
  <si>
    <t>Panelview 800</t>
  </si>
  <si>
    <t>P1610</t>
  </si>
  <si>
    <t>P1611</t>
  </si>
  <si>
    <t>2 Pumps model T6A61S,</t>
  </si>
  <si>
    <t>Auction Rabin</t>
  </si>
  <si>
    <t>P1612</t>
  </si>
  <si>
    <t>Homogenzier parts</t>
  </si>
  <si>
    <t>P1613</t>
  </si>
  <si>
    <t>Dana Mairs</t>
  </si>
  <si>
    <t>2" diaphragm valve &amp; repair kit</t>
  </si>
  <si>
    <t>P1614</t>
  </si>
  <si>
    <t>SD / RSJ</t>
  </si>
  <si>
    <t>Used U2-018 &amp; Invertek drive setup</t>
  </si>
  <si>
    <t>P1615</t>
  </si>
  <si>
    <t>Village of Oakfield</t>
  </si>
  <si>
    <t xml:space="preserve">Tom Mikiolajczyk </t>
  </si>
  <si>
    <t>SOLA UPS UNIT</t>
  </si>
  <si>
    <t>P1616</t>
  </si>
  <si>
    <t>P1617</t>
  </si>
  <si>
    <t>200 gallon Sanitary Kettle 200 D7SI</t>
  </si>
  <si>
    <t>J Little Mercer</t>
  </si>
  <si>
    <t>P1618</t>
  </si>
  <si>
    <t>Turn-Act rotary pneumatic cylinders</t>
  </si>
  <si>
    <t>Roessel Technologies</t>
  </si>
  <si>
    <t>P1619</t>
  </si>
  <si>
    <t>Positioner and stop valves</t>
  </si>
  <si>
    <t>8/28/2024,9/10/2024</t>
  </si>
  <si>
    <t xml:space="preserve">REMAINDER SHIP 9/13 </t>
  </si>
  <si>
    <t>P1620</t>
  </si>
  <si>
    <t xml:space="preserve">Lisa </t>
  </si>
  <si>
    <t>Chart Recorder Kit Pen</t>
  </si>
  <si>
    <t>ACI Controls</t>
  </si>
  <si>
    <t>P1621</t>
  </si>
  <si>
    <t>Regulator valve</t>
  </si>
  <si>
    <t>4433411544 DHL</t>
  </si>
  <si>
    <t>P1622</t>
  </si>
  <si>
    <t>Brekkie Service Call 7/23-7/24</t>
  </si>
  <si>
    <t>P1623</t>
  </si>
  <si>
    <t>Grundfos sael kit</t>
  </si>
  <si>
    <t>Supply House</t>
  </si>
  <si>
    <t>P1624</t>
  </si>
  <si>
    <t>Steve Elliott</t>
  </si>
  <si>
    <t>SP699 Antenna &amp; Accessories</t>
  </si>
  <si>
    <t>10/31/2024, 12/12/24</t>
  </si>
  <si>
    <t>P1624A</t>
  </si>
  <si>
    <t>P1624B</t>
  </si>
  <si>
    <t>Jessica Georgia</t>
  </si>
  <si>
    <t>Cost difference and credit owed</t>
  </si>
  <si>
    <t>P1625</t>
  </si>
  <si>
    <t>SP225 CIP pump head</t>
  </si>
  <si>
    <t>P1626</t>
  </si>
  <si>
    <t>Wrapper/Palletizer Service Call</t>
  </si>
  <si>
    <t>P1627</t>
  </si>
  <si>
    <t>RSJ / SD</t>
  </si>
  <si>
    <t>Replacement pump head (CIP pump)</t>
  </si>
  <si>
    <t>P1628</t>
  </si>
  <si>
    <t>8694 positioner top</t>
  </si>
  <si>
    <t>SHIP 9/23</t>
  </si>
  <si>
    <t>P1629</t>
  </si>
  <si>
    <t>Pwrflx 525 15hp</t>
  </si>
  <si>
    <t>P1630</t>
  </si>
  <si>
    <t>Nikki Lee</t>
  </si>
  <si>
    <t>Seal kits &amp; impeller keys</t>
  </si>
  <si>
    <t>P1631</t>
  </si>
  <si>
    <t>Waste Water Silo Blower</t>
  </si>
  <si>
    <t>P1632</t>
  </si>
  <si>
    <t>P1633</t>
  </si>
  <si>
    <t>SICK photosensor</t>
  </si>
  <si>
    <t>SICK</t>
  </si>
  <si>
    <t>P1634</t>
  </si>
  <si>
    <t>RDS/EO</t>
  </si>
  <si>
    <t>Pressure Sensor Replacement</t>
  </si>
  <si>
    <t>P1635</t>
  </si>
  <si>
    <t>Blower</t>
  </si>
  <si>
    <t>P1636</t>
  </si>
  <si>
    <t>P1637</t>
  </si>
  <si>
    <t>UHMW slide bearings</t>
  </si>
  <si>
    <t>Framing Tech</t>
  </si>
  <si>
    <t>P1638</t>
  </si>
  <si>
    <t>Pump face &amp; casing</t>
  </si>
  <si>
    <t>P1639</t>
  </si>
  <si>
    <t>15/20hp PWR Flex 525 Drive</t>
  </si>
  <si>
    <t>P1640</t>
  </si>
  <si>
    <t>Dorner motor</t>
  </si>
  <si>
    <t>P1641</t>
  </si>
  <si>
    <t>Ampco ZP3 pump w/ flush</t>
  </si>
  <si>
    <t>SHIPS 9/17/24</t>
  </si>
  <si>
    <t>P1642</t>
  </si>
  <si>
    <t>SCADA Migration Materials</t>
  </si>
  <si>
    <t>P1643</t>
  </si>
  <si>
    <t>Burkert inline flow sensor</t>
  </si>
  <si>
    <t>P1644</t>
  </si>
  <si>
    <t>Bulgin M12 Connector</t>
  </si>
  <si>
    <t>Newark</t>
  </si>
  <si>
    <t>P1645</t>
  </si>
  <si>
    <t>Town of Barre</t>
  </si>
  <si>
    <t>Plow</t>
  </si>
  <si>
    <t>P1646</t>
  </si>
  <si>
    <t>Honeywell chart recorder pen arm kit</t>
  </si>
  <si>
    <t>Kele (Lesman)</t>
  </si>
  <si>
    <t>P1647</t>
  </si>
  <si>
    <t>Westrock Coffee</t>
  </si>
  <si>
    <t>Zach Young</t>
  </si>
  <si>
    <t>Ultrasonic Sensor</t>
  </si>
  <si>
    <t>P1648</t>
  </si>
  <si>
    <t>P1649</t>
  </si>
  <si>
    <t xml:space="preserve">ICH </t>
  </si>
  <si>
    <t>Buster / Gary</t>
  </si>
  <si>
    <t>Air Conditioner</t>
  </si>
  <si>
    <t>P1650</t>
  </si>
  <si>
    <t>DP/JT</t>
  </si>
  <si>
    <t>Case Paker Drive Upgrade / Labor Only</t>
  </si>
  <si>
    <t>P1650A</t>
  </si>
  <si>
    <t>VFD 525 / Material</t>
  </si>
  <si>
    <t>P1651</t>
  </si>
  <si>
    <t>Forklift</t>
  </si>
  <si>
    <t xml:space="preserve">Nissan Forklift </t>
  </si>
  <si>
    <t>P1652</t>
  </si>
  <si>
    <t>Genesee Brewery</t>
  </si>
  <si>
    <t>Eric Wallace</t>
  </si>
  <si>
    <t xml:space="preserve">PLC Fault </t>
  </si>
  <si>
    <t>P1653</t>
  </si>
  <si>
    <t>Rick Service Calls / closed goes to E3822</t>
  </si>
  <si>
    <t>P1654</t>
  </si>
  <si>
    <t>V33 Trial</t>
  </si>
  <si>
    <t>P1655</t>
  </si>
  <si>
    <t>Phoenix contact parts</t>
  </si>
  <si>
    <t>Mouser</t>
  </si>
  <si>
    <t>P1656</t>
  </si>
  <si>
    <t>Cookstation 3 PP6 Software Service</t>
  </si>
  <si>
    <t>P1657</t>
  </si>
  <si>
    <t xml:space="preserve">Press 6 Down </t>
  </si>
  <si>
    <t>P1658</t>
  </si>
  <si>
    <t>Flower Drying Rack on Wheels</t>
  </si>
  <si>
    <t>P1659</t>
  </si>
  <si>
    <t>Generatror not switching back over</t>
  </si>
  <si>
    <t>P1660</t>
  </si>
  <si>
    <t>Kelly Robtison</t>
  </si>
  <si>
    <t>Ball valve seal kit</t>
  </si>
  <si>
    <t>P1661</t>
  </si>
  <si>
    <t xml:space="preserve">Slope Top Panel </t>
  </si>
  <si>
    <t>P1662</t>
  </si>
  <si>
    <t>SHIPS 10/10/24</t>
  </si>
  <si>
    <t>P1663</t>
  </si>
  <si>
    <t>C216 Pump</t>
  </si>
  <si>
    <t>SHIPS 9/24/24</t>
  </si>
  <si>
    <t>P1664</t>
  </si>
  <si>
    <t>Temperature Transmitter</t>
  </si>
  <si>
    <t>P1665</t>
  </si>
  <si>
    <t>Micro Cable</t>
  </si>
  <si>
    <t>P1666</t>
  </si>
  <si>
    <t>ETA 9/20/24</t>
  </si>
  <si>
    <t>P1667</t>
  </si>
  <si>
    <t>Actuator</t>
  </si>
  <si>
    <t>P1668</t>
  </si>
  <si>
    <t>Level Switch</t>
  </si>
  <si>
    <t>Vega</t>
  </si>
  <si>
    <t>SHIPS 9/27/24</t>
  </si>
  <si>
    <t>P1669</t>
  </si>
  <si>
    <t>Pneumatic Cylinders</t>
  </si>
  <si>
    <t>RMA / RETURNED</t>
  </si>
  <si>
    <t>P1670</t>
  </si>
  <si>
    <t>1606-XLE240E</t>
  </si>
  <si>
    <t>P1671</t>
  </si>
  <si>
    <t>Contactors</t>
  </si>
  <si>
    <t>P1672</t>
  </si>
  <si>
    <t>Pump Seal Kits</t>
  </si>
  <si>
    <t>P1673</t>
  </si>
  <si>
    <t>Baldor 0.75hp 1750rpm motor</t>
  </si>
  <si>
    <t>P1674</t>
  </si>
  <si>
    <t>Mike Moriaty</t>
  </si>
  <si>
    <t xml:space="preserve">Rotary Filler Line 3 </t>
  </si>
  <si>
    <t>P1675</t>
  </si>
  <si>
    <t>8694 Control top</t>
  </si>
  <si>
    <t>731740760407</t>
  </si>
  <si>
    <t>P1676</t>
  </si>
  <si>
    <t>8691 Control top</t>
  </si>
  <si>
    <t>711463251259</t>
  </si>
  <si>
    <t>P1677</t>
  </si>
  <si>
    <t>Mitsubishi Servos</t>
  </si>
  <si>
    <t>P1678</t>
  </si>
  <si>
    <t xml:space="preserve">Audrey Edwards </t>
  </si>
  <si>
    <t>Pwrflx 4 VFD</t>
  </si>
  <si>
    <t>P1679</t>
  </si>
  <si>
    <t>Zebra Printer Parts</t>
  </si>
  <si>
    <t>P1680</t>
  </si>
  <si>
    <t>Flush Mount ATD Cap &amp; Gasket</t>
  </si>
  <si>
    <t>P1681</t>
  </si>
  <si>
    <t>711463247040</t>
  </si>
  <si>
    <t>P1682</t>
  </si>
  <si>
    <t>4" Unique Seat Valve</t>
  </si>
  <si>
    <t>P1683</t>
  </si>
  <si>
    <t>Viking pump gear reducer</t>
  </si>
  <si>
    <t>Siewart Equipment</t>
  </si>
  <si>
    <t>1Z5305350364448382</t>
  </si>
  <si>
    <t>P1684</t>
  </si>
  <si>
    <t>Labeler Service Call</t>
  </si>
  <si>
    <t>P1685</t>
  </si>
  <si>
    <t xml:space="preserve">4" Swing Check Valve Flanged PVC </t>
  </si>
  <si>
    <t>P1686</t>
  </si>
  <si>
    <t>Onsite Eng Labor / TX</t>
  </si>
  <si>
    <t>P1687</t>
  </si>
  <si>
    <t>Studio 5000 Remote Install</t>
  </si>
  <si>
    <t>P1688</t>
  </si>
  <si>
    <t>Pumps</t>
  </si>
  <si>
    <t>P1689</t>
  </si>
  <si>
    <t>12 - Insulated Panels</t>
  </si>
  <si>
    <t>P1690</t>
  </si>
  <si>
    <t>Case Excavator Rental</t>
  </si>
  <si>
    <t>P1691</t>
  </si>
  <si>
    <t>Valve repair - 2pcs</t>
  </si>
  <si>
    <t>Mecklenberg</t>
  </si>
  <si>
    <t>770158338587</t>
  </si>
  <si>
    <t>P1692</t>
  </si>
  <si>
    <t>Food for Life Baking Co</t>
  </si>
  <si>
    <t>Brandon Simons</t>
  </si>
  <si>
    <t>Portable ozone wash cart</t>
  </si>
  <si>
    <t>McClain Ozone</t>
  </si>
  <si>
    <t>10/9/2024, 11/12/24</t>
  </si>
  <si>
    <t>P1693</t>
  </si>
  <si>
    <t>Scarlin Moralis</t>
  </si>
  <si>
    <t>Maintenence parts</t>
  </si>
  <si>
    <t>SHIPPED 10/16/2024</t>
  </si>
  <si>
    <t>P1694</t>
  </si>
  <si>
    <t>Slotted nut &amp; gaskets</t>
  </si>
  <si>
    <t>Lee Indsutries</t>
  </si>
  <si>
    <t>P1695</t>
  </si>
  <si>
    <t>P1696</t>
  </si>
  <si>
    <t>P1697</t>
  </si>
  <si>
    <t>Romicon Service 10/11/24</t>
  </si>
  <si>
    <t>Service Call finished</t>
  </si>
  <si>
    <t>P1698</t>
  </si>
  <si>
    <t>Replacement Hoffman panel door</t>
  </si>
  <si>
    <t>Rexel / RSA</t>
  </si>
  <si>
    <t>P1699</t>
  </si>
  <si>
    <t>Rosemount 8705 Flow Meters</t>
  </si>
  <si>
    <t>P1700</t>
  </si>
  <si>
    <t>Leeson Motors</t>
  </si>
  <si>
    <t>SHIPPED 10/18/2024</t>
  </si>
  <si>
    <t>P1701</t>
  </si>
  <si>
    <t>Select Collision</t>
  </si>
  <si>
    <t>John Brown</t>
  </si>
  <si>
    <t>Car Parts</t>
  </si>
  <si>
    <t>P1702</t>
  </si>
  <si>
    <t xml:space="preserve">Barrette Outdoor </t>
  </si>
  <si>
    <t>Riveting Tool</t>
  </si>
  <si>
    <t>MRO Hardware</t>
  </si>
  <si>
    <t>P1703</t>
  </si>
  <si>
    <t>Hose and Fittings</t>
  </si>
  <si>
    <t>Upson Maybach</t>
  </si>
  <si>
    <t>P1704</t>
  </si>
  <si>
    <t>10/22/2024 , 12/9/2024</t>
  </si>
  <si>
    <t>Rest Ships December</t>
  </si>
  <si>
    <t>P1705</t>
  </si>
  <si>
    <t>Charles</t>
  </si>
  <si>
    <t>Prox Sensors</t>
  </si>
  <si>
    <t>P1706</t>
  </si>
  <si>
    <t>Service on Puzzle Sorter Line</t>
  </si>
  <si>
    <t>P1707</t>
  </si>
  <si>
    <t>P1708</t>
  </si>
  <si>
    <t>P1709</t>
  </si>
  <si>
    <t>Pushbutton</t>
  </si>
  <si>
    <t>1Z1220790398537572</t>
  </si>
  <si>
    <t>P1710</t>
  </si>
  <si>
    <t>Remote Service - Robot Calibration</t>
  </si>
  <si>
    <t>P1711</t>
  </si>
  <si>
    <t>TF/RDS</t>
  </si>
  <si>
    <t>Jame Lackman</t>
  </si>
  <si>
    <t>4" Unigqu Single Seat Valve</t>
  </si>
  <si>
    <t>P1712</t>
  </si>
  <si>
    <t>Solenoid Valves</t>
  </si>
  <si>
    <t>711463259786</t>
  </si>
  <si>
    <t>P1713</t>
  </si>
  <si>
    <t>11/13/2024, 11/14/2024</t>
  </si>
  <si>
    <t>SHIPS 11/14/2024</t>
  </si>
  <si>
    <t>P1714</t>
  </si>
  <si>
    <t>P1715</t>
  </si>
  <si>
    <t>Corey Robson</t>
  </si>
  <si>
    <t>TLV Steam Trap</t>
  </si>
  <si>
    <t>P1716</t>
  </si>
  <si>
    <t>Brian R</t>
  </si>
  <si>
    <t>SC Chem Line Leaks</t>
  </si>
  <si>
    <t>Linsey Fabricating</t>
  </si>
  <si>
    <t>P1716A</t>
  </si>
  <si>
    <t>SC Chem LInes SC #2</t>
  </si>
  <si>
    <t>P1717</t>
  </si>
  <si>
    <t>Guardmaster module</t>
  </si>
  <si>
    <t>1Z1220790190136675 - 11/8/2024</t>
  </si>
  <si>
    <t>P1718</t>
  </si>
  <si>
    <t>Swing Arm Blow Mold</t>
  </si>
  <si>
    <t>P1719</t>
  </si>
  <si>
    <t>Limit Switch</t>
  </si>
  <si>
    <t>1Z9207AY0394752267</t>
  </si>
  <si>
    <t>23' Alum Gorbel Hoist for Can Line</t>
  </si>
  <si>
    <t>Moved to Job E3849</t>
  </si>
  <si>
    <t>P1721</t>
  </si>
  <si>
    <t xml:space="preserve">Jason Brown </t>
  </si>
  <si>
    <t>2pc Rosemount Magnetic Flowmeter</t>
  </si>
  <si>
    <t>ebay</t>
  </si>
  <si>
    <t>P1722</t>
  </si>
  <si>
    <t>1Z9207AY0390492019</t>
  </si>
  <si>
    <t>P1723</t>
  </si>
  <si>
    <t>Donaldson Filters</t>
  </si>
  <si>
    <t>Dondalson Filtration</t>
  </si>
  <si>
    <t>1Z7R06100360416580</t>
  </si>
  <si>
    <t>P1724</t>
  </si>
  <si>
    <t>Barrel tunnel Heater Problems</t>
  </si>
  <si>
    <t>RS Auto</t>
  </si>
  <si>
    <t>P1725</t>
  </si>
  <si>
    <t>LFV540 replacement parts</t>
  </si>
  <si>
    <t>1Z5383E60344567489</t>
  </si>
  <si>
    <t>P1726</t>
  </si>
  <si>
    <t>Baldor motors</t>
  </si>
  <si>
    <t>11/25/2024, 12/19/24</t>
  </si>
  <si>
    <t>ONE SHIPPED / ONE ON BACK ORDER</t>
  </si>
  <si>
    <t>P1727</t>
  </si>
  <si>
    <t>1Z4682600392881351</t>
  </si>
  <si>
    <t>P1728</t>
  </si>
  <si>
    <t xml:space="preserve">Matt Knights </t>
  </si>
  <si>
    <t>Level TX Programming</t>
  </si>
  <si>
    <t>P1729</t>
  </si>
  <si>
    <t>Mesh strainer screens</t>
  </si>
  <si>
    <t>1Z9207AY0392047256</t>
  </si>
  <si>
    <t>P1730</t>
  </si>
  <si>
    <t>1Z5383E60344389234</t>
  </si>
  <si>
    <t>P1731</t>
  </si>
  <si>
    <t>SIEMENS / ABB Electric Motor</t>
  </si>
  <si>
    <t>XPO 652-648356</t>
  </si>
  <si>
    <t>P1732</t>
  </si>
  <si>
    <t>Kollmorgen Servo Drive</t>
  </si>
  <si>
    <t>1Z9207AY0395628775</t>
  </si>
  <si>
    <t>P1733</t>
  </si>
  <si>
    <t>12/2 Gordy SC</t>
  </si>
  <si>
    <t>P1734</t>
  </si>
  <si>
    <t>Cameras</t>
  </si>
  <si>
    <t xml:space="preserve">1Z9207AY0398150061 </t>
  </si>
  <si>
    <t>P1735</t>
  </si>
  <si>
    <t>FAZ-C6/2-NA-DC</t>
  </si>
  <si>
    <t>P1736</t>
  </si>
  <si>
    <t>Likwifier bellows head seal</t>
  </si>
  <si>
    <t>Ensight</t>
  </si>
  <si>
    <t>1Z9207AY0394016124</t>
  </si>
  <si>
    <t>P1737</t>
  </si>
  <si>
    <t>P1738</t>
  </si>
  <si>
    <t>Down stroke Baler's</t>
  </si>
  <si>
    <t xml:space="preserve">Auction International </t>
  </si>
  <si>
    <t>Moved to E3857</t>
  </si>
  <si>
    <t>P1739</t>
  </si>
  <si>
    <t>Upstate Niagara Cheektowaga</t>
  </si>
  <si>
    <t>Matt</t>
  </si>
  <si>
    <t xml:space="preserve">Meter Repair 2" </t>
  </si>
  <si>
    <t>P1740</t>
  </si>
  <si>
    <t>Cayuga</t>
  </si>
  <si>
    <t>SHIPS 2/7/25</t>
  </si>
  <si>
    <t>P1741</t>
  </si>
  <si>
    <t>Automated Ware House Cart Service</t>
  </si>
  <si>
    <t>P1742</t>
  </si>
  <si>
    <t>Alex Kinney</t>
  </si>
  <si>
    <t>Door closers</t>
  </si>
  <si>
    <t>P1743</t>
  </si>
  <si>
    <t>Angle Seat Valve</t>
  </si>
  <si>
    <t>P1744</t>
  </si>
  <si>
    <t>Brandy Clark</t>
  </si>
  <si>
    <t>Valve seal kit</t>
  </si>
  <si>
    <t>P1745</t>
  </si>
  <si>
    <t>SHIPS 2/6/25</t>
  </si>
  <si>
    <t>P1746</t>
  </si>
  <si>
    <t>Line 9 Packer Lug Chain Service</t>
  </si>
  <si>
    <t>P1747</t>
  </si>
  <si>
    <t>Mesh strainers &amp; replacement screens</t>
  </si>
  <si>
    <t>P1748</t>
  </si>
  <si>
    <t>P1749</t>
  </si>
  <si>
    <t>P1750</t>
  </si>
  <si>
    <t>Angle seat valve</t>
  </si>
  <si>
    <t>P1751</t>
  </si>
  <si>
    <t>RTD probes RMA</t>
  </si>
  <si>
    <t>RETURNING COLLECT TO PYRO FOR EVAL - RMA#20106</t>
  </si>
  <si>
    <t>P1752</t>
  </si>
  <si>
    <t>GAST Pump</t>
  </si>
  <si>
    <t>Kinequip</t>
  </si>
  <si>
    <t>P1753</t>
  </si>
  <si>
    <t>1Z9207AY0397140985</t>
  </si>
  <si>
    <t>P1754</t>
  </si>
  <si>
    <t>Theresa Holt</t>
  </si>
  <si>
    <t>Pressure relief vlaves</t>
  </si>
  <si>
    <t>P1755</t>
  </si>
  <si>
    <t>AC Series Pump Heads</t>
  </si>
  <si>
    <t>P1756</t>
  </si>
  <si>
    <t>P1757</t>
  </si>
  <si>
    <t>Level switches</t>
  </si>
  <si>
    <t>SHIPS 1/22/2025</t>
  </si>
  <si>
    <t>P1758</t>
  </si>
  <si>
    <t>Commercial Pipe</t>
  </si>
  <si>
    <t>P1759</t>
  </si>
  <si>
    <t>NEF x NPT Fittings</t>
  </si>
  <si>
    <t>P1760</t>
  </si>
  <si>
    <t>CT-1 and Drip Tray</t>
  </si>
  <si>
    <t>Linsey Fabrication</t>
  </si>
  <si>
    <t>P1761</t>
  </si>
  <si>
    <t>Brandon Luce</t>
  </si>
  <si>
    <t>SLC 500 10 Slot Rack</t>
  </si>
  <si>
    <t>P1762</t>
  </si>
  <si>
    <t>Wintek-Corp</t>
  </si>
  <si>
    <t>John O'Connor</t>
  </si>
  <si>
    <t>Explosion Proof Motor Control Panel</t>
  </si>
  <si>
    <t>sale fell through closed - cf</t>
  </si>
  <si>
    <t>P1763</t>
  </si>
  <si>
    <t>Saginaw SS EL Panels</t>
  </si>
  <si>
    <t>P1764</t>
  </si>
  <si>
    <t>Electrolux Vegetable Washer Dryer &amp; Panelview</t>
  </si>
  <si>
    <t>Auction</t>
  </si>
  <si>
    <t>P1765</t>
  </si>
  <si>
    <t>Valves and I/O parts</t>
  </si>
  <si>
    <t>BURKERT SHIPS 2/7/2025</t>
  </si>
  <si>
    <t>P1766</t>
  </si>
  <si>
    <t>Generator Controller (ATS Review)</t>
  </si>
  <si>
    <t>P1767</t>
  </si>
  <si>
    <t>Cognex Cameras and Cables</t>
  </si>
  <si>
    <t>P1768</t>
  </si>
  <si>
    <t>Bornemann SLH-4G</t>
  </si>
  <si>
    <t>SHIPPED - FED EX 288094840036</t>
  </si>
  <si>
    <t>P1769</t>
  </si>
  <si>
    <t>New Castle Canning</t>
  </si>
  <si>
    <t>Programming Update Service Call</t>
  </si>
  <si>
    <t>P1770</t>
  </si>
  <si>
    <t>Northern Industrial</t>
  </si>
  <si>
    <t xml:space="preserve">1Z9207AY0393911453 </t>
  </si>
  <si>
    <t>P1771</t>
  </si>
  <si>
    <t>P1772</t>
  </si>
  <si>
    <t>Cameras &amp; switches</t>
  </si>
  <si>
    <t>P1773</t>
  </si>
  <si>
    <t>Upstate Dale Rd</t>
  </si>
  <si>
    <t>Gear Pump Head Diener</t>
  </si>
  <si>
    <t xml:space="preserve">Tetra </t>
  </si>
  <si>
    <t>P1774</t>
  </si>
  <si>
    <t>GreenLight Biosciences</t>
  </si>
  <si>
    <t>Jon Daily</t>
  </si>
  <si>
    <t>V-148H Steam Sterilizer</t>
  </si>
  <si>
    <t>P1775</t>
  </si>
  <si>
    <t>C Series Pump</t>
  </si>
  <si>
    <t>APPROX 1/25/25</t>
  </si>
  <si>
    <t>P1776</t>
  </si>
  <si>
    <t>Alfa Rebuild Kits</t>
  </si>
  <si>
    <t>P1777</t>
  </si>
  <si>
    <t>Romicon Service 1-17-25</t>
  </si>
  <si>
    <t>P1778</t>
  </si>
  <si>
    <t>Excel Solutions</t>
  </si>
  <si>
    <t xml:space="preserve">1Z9207AY0392223538 </t>
  </si>
  <si>
    <t>P1779</t>
  </si>
  <si>
    <t>JT/RDS</t>
  </si>
  <si>
    <t>H</t>
  </si>
  <si>
    <t>Berg services 1/2-1/11</t>
  </si>
  <si>
    <t>P1779A</t>
  </si>
  <si>
    <t>Berg 1/14-1/16</t>
  </si>
  <si>
    <t>P1779B</t>
  </si>
  <si>
    <t>Berg 1/21</t>
  </si>
  <si>
    <t>P1779C</t>
  </si>
  <si>
    <t>Berg 1/24-1/31 - cf re-entered 3/14</t>
  </si>
  <si>
    <t>P1779D</t>
  </si>
  <si>
    <t>Berg  2/14/25</t>
  </si>
  <si>
    <t>P1779E</t>
  </si>
  <si>
    <t>Berg March</t>
  </si>
  <si>
    <t>P1779F</t>
  </si>
  <si>
    <t>Berg  04/10/25</t>
  </si>
  <si>
    <t>P1779G</t>
  </si>
  <si>
    <t>Berg Services May 2025</t>
  </si>
  <si>
    <t>P1779H</t>
  </si>
  <si>
    <t>Berg Services June 2025</t>
  </si>
  <si>
    <t>Weekly</t>
  </si>
  <si>
    <t>P1780</t>
  </si>
  <si>
    <t>Angle seat valves</t>
  </si>
  <si>
    <t>1Z9207AY0395687872</t>
  </si>
  <si>
    <t>P1781</t>
  </si>
  <si>
    <t>LFV Pump Seal kits</t>
  </si>
  <si>
    <t>P1782</t>
  </si>
  <si>
    <t>IBM Industrial Computer</t>
  </si>
  <si>
    <t>P1783</t>
  </si>
  <si>
    <t>RS/SD</t>
  </si>
  <si>
    <t xml:space="preserve">Thermo Scientific Forma 8600 Chest Freezer </t>
  </si>
  <si>
    <t>P1784</t>
  </si>
  <si>
    <t>Native Nations South Dakota</t>
  </si>
  <si>
    <t>Jordan Kuusela</t>
  </si>
  <si>
    <t>Industrial Fans</t>
  </si>
  <si>
    <t>P1785</t>
  </si>
  <si>
    <t>Cooling Bed PLC troubleshoot</t>
  </si>
  <si>
    <t>RS/KR</t>
  </si>
  <si>
    <t xml:space="preserve">Bidleman </t>
  </si>
  <si>
    <t>Compressor Install</t>
  </si>
  <si>
    <t>MOVED TO E3874/FULLY INVOICED</t>
  </si>
  <si>
    <t>P1787</t>
  </si>
  <si>
    <t>SS Panel &amp; backplane</t>
  </si>
  <si>
    <t>P1788</t>
  </si>
  <si>
    <t>Pwrflx 525 30hp drive</t>
  </si>
  <si>
    <t>P1789</t>
  </si>
  <si>
    <t>Phinney Tooland Die</t>
  </si>
  <si>
    <t>SLC 5/04 and HMI Backup</t>
  </si>
  <si>
    <t>P1790</t>
  </si>
  <si>
    <t>Ajax Line Cooling Tower Remote Service</t>
  </si>
  <si>
    <t>P1791</t>
  </si>
  <si>
    <t>Dana Rudy</t>
  </si>
  <si>
    <t>Steam &amp; cold water mixing station</t>
  </si>
  <si>
    <t>Superklean</t>
  </si>
  <si>
    <t>1Z965E260342788021</t>
  </si>
  <si>
    <t>P1792</t>
  </si>
  <si>
    <t>Fanuc Robot Emegency Service</t>
  </si>
  <si>
    <t>P1793</t>
  </si>
  <si>
    <t>Dishwasher Meiko DV</t>
  </si>
  <si>
    <t>P1794</t>
  </si>
  <si>
    <t>Level Transmitter</t>
  </si>
  <si>
    <t>Trinova</t>
  </si>
  <si>
    <t>P1795</t>
  </si>
  <si>
    <t>Noren Cabinet Cooler</t>
  </si>
  <si>
    <t>Bitter End Trading</t>
  </si>
  <si>
    <t xml:space="preserve">1Z9207AY0392899603 </t>
  </si>
  <si>
    <t>P1796</t>
  </si>
  <si>
    <t>CGS Precision Technologies</t>
  </si>
  <si>
    <t>Cynthia Dews</t>
  </si>
  <si>
    <t>Inductive Coupler</t>
  </si>
  <si>
    <t>Ralph W Earl</t>
  </si>
  <si>
    <t>P1797</t>
  </si>
  <si>
    <t xml:space="preserve">General Mills </t>
  </si>
  <si>
    <t>AGC Heat Exchanger Plates</t>
  </si>
  <si>
    <t>P1798</t>
  </si>
  <si>
    <t>Presidio Components, Inc</t>
  </si>
  <si>
    <t>Alan Devoe</t>
  </si>
  <si>
    <t>Fanuc Delta Robot M-1iA</t>
  </si>
  <si>
    <t>P1799</t>
  </si>
  <si>
    <t>1Z9207AY0395236260</t>
  </si>
  <si>
    <t>P1800</t>
  </si>
  <si>
    <t>Valve Repair</t>
  </si>
  <si>
    <t>3/7 CF</t>
  </si>
  <si>
    <t>P1801</t>
  </si>
  <si>
    <t>Furnace</t>
  </si>
  <si>
    <t>P1802</t>
  </si>
  <si>
    <t>Pete Schaffer</t>
  </si>
  <si>
    <t>P1803</t>
  </si>
  <si>
    <t>P1804</t>
  </si>
  <si>
    <t xml:space="preserve"> Nick Weiner </t>
  </si>
  <si>
    <t>Hot Water Set Tuning</t>
  </si>
  <si>
    <t>Ariba 3/5/25</t>
  </si>
  <si>
    <t>P1805</t>
  </si>
  <si>
    <t>Alex Steigerwalt</t>
  </si>
  <si>
    <t>Sanitary valves and fittings quote</t>
  </si>
  <si>
    <t>PO# 54 - 11479</t>
  </si>
  <si>
    <t>P1805A</t>
  </si>
  <si>
    <t>PO# 54 - 11479 (UPDATED)</t>
  </si>
  <si>
    <t>P1806</t>
  </si>
  <si>
    <t>Tom Mayers</t>
  </si>
  <si>
    <t>CIVision Mettler Toledo Vision System</t>
  </si>
  <si>
    <t>P1807</t>
  </si>
  <si>
    <t>Heat exchanger shield</t>
  </si>
  <si>
    <t>439806858936</t>
  </si>
  <si>
    <t>P1808</t>
  </si>
  <si>
    <t>DELIVERED FREIGHT CHARGES SENT 4/7/25</t>
  </si>
  <si>
    <t>P1809</t>
  </si>
  <si>
    <t>Jbox enclosure</t>
  </si>
  <si>
    <t>P1810</t>
  </si>
  <si>
    <t>DS PUT IN 5/13</t>
  </si>
  <si>
    <t>P1811</t>
  </si>
  <si>
    <t>Valve repair kits</t>
  </si>
  <si>
    <t>TetraPak</t>
  </si>
  <si>
    <t>1Z9207AY0390468411</t>
  </si>
  <si>
    <t>P1812</t>
  </si>
  <si>
    <t>P1813</t>
  </si>
  <si>
    <t>SHIPPED 3/25/25</t>
  </si>
  <si>
    <t>P1814</t>
  </si>
  <si>
    <t>Steam shut off valves</t>
  </si>
  <si>
    <t>1Z9207AY0392314047</t>
  </si>
  <si>
    <t>P1815</t>
  </si>
  <si>
    <t>LCR32 Series Pump</t>
  </si>
  <si>
    <t>P1816</t>
  </si>
  <si>
    <t>Pump seals &amp; parts</t>
  </si>
  <si>
    <t>P1817</t>
  </si>
  <si>
    <t>DELIVERED 4/7 - 419142145030</t>
  </si>
  <si>
    <t>P1818</t>
  </si>
  <si>
    <t>Fanuc Robot Emergency Service</t>
  </si>
  <si>
    <t>P1819</t>
  </si>
  <si>
    <t>Calibrate Micromotion 1/2 Meters</t>
  </si>
  <si>
    <t>P1820</t>
  </si>
  <si>
    <t>Acutated ball valves</t>
  </si>
  <si>
    <t>PO# 54-11603</t>
  </si>
  <si>
    <t>P1821</t>
  </si>
  <si>
    <t>PO#54 - 11480</t>
  </si>
  <si>
    <t>P1821A</t>
  </si>
  <si>
    <t>Sanitary valves and fittings quote - updated</t>
  </si>
  <si>
    <t>PO#54 - 11480 - UPDATED</t>
  </si>
  <si>
    <t>P1822</t>
  </si>
  <si>
    <t>P1823</t>
  </si>
  <si>
    <t>3/11/25 cf</t>
  </si>
  <si>
    <t>P1824</t>
  </si>
  <si>
    <t>Automated Warehouse Cart Service</t>
  </si>
  <si>
    <t>P1825</t>
  </si>
  <si>
    <t>Check Weigher Line Stop Service</t>
  </si>
  <si>
    <t>P1826</t>
  </si>
  <si>
    <t>SHIPPED 3/26/25</t>
  </si>
  <si>
    <t>P1827</t>
  </si>
  <si>
    <t>Likwifier seal kits</t>
  </si>
  <si>
    <t>Ensight Solutions</t>
  </si>
  <si>
    <t>P1828</t>
  </si>
  <si>
    <t>P1829</t>
  </si>
  <si>
    <t>Regulating valve</t>
  </si>
  <si>
    <t>Bukert</t>
  </si>
  <si>
    <t>1Z9207AY0394932474</t>
  </si>
  <si>
    <t>P1830</t>
  </si>
  <si>
    <t>PWRFLX 525 2HP VFD</t>
  </si>
  <si>
    <t>P1831</t>
  </si>
  <si>
    <t>POINT ANALOG INPUT MODULE</t>
  </si>
  <si>
    <t>1Z9207AY0398762356</t>
  </si>
  <si>
    <t>P1832</t>
  </si>
  <si>
    <t>More sanitary valves and fittings</t>
  </si>
  <si>
    <t>PO#54-11638</t>
  </si>
  <si>
    <t>P1833</t>
  </si>
  <si>
    <t>Alkhemical</t>
  </si>
  <si>
    <t xml:space="preserve">Michael Jasilewicz </t>
  </si>
  <si>
    <t>D-Limonene pumps</t>
  </si>
  <si>
    <t>Freight invoiced 04/18</t>
  </si>
  <si>
    <t>P1834</t>
  </si>
  <si>
    <t>Regulators</t>
  </si>
  <si>
    <t>FINAL SHIPMENT 5/27/25 - 1Z9207AY0395521380</t>
  </si>
  <si>
    <t>P1835</t>
  </si>
  <si>
    <t>LCR32 pump</t>
  </si>
  <si>
    <t>SHIPPED 3/17/25</t>
  </si>
  <si>
    <t>P1836</t>
  </si>
  <si>
    <t>Line 9 Packer Service</t>
  </si>
  <si>
    <t>P1837</t>
  </si>
  <si>
    <t>Mike M</t>
  </si>
  <si>
    <t>15hp Gorman Rupp Pump</t>
  </si>
  <si>
    <t>P1838</t>
  </si>
  <si>
    <t>Leak in Receiving Room</t>
  </si>
  <si>
    <t>P1839</t>
  </si>
  <si>
    <t>Brain R</t>
  </si>
  <si>
    <t>2/11/25-2/28/25 Cream Tank1 &amp; 2, Sugar Tank</t>
  </si>
  <si>
    <t>P1840</t>
  </si>
  <si>
    <t>P1841</t>
  </si>
  <si>
    <t>SHIPPED 4/4/25</t>
  </si>
  <si>
    <t>P1842</t>
  </si>
  <si>
    <t>SHIPPED 3/21/25</t>
  </si>
  <si>
    <t>P1843</t>
  </si>
  <si>
    <t xml:space="preserve">Mike Kennedy </t>
  </si>
  <si>
    <t>TeamViewer 2025</t>
  </si>
  <si>
    <t>Team Viewer</t>
  </si>
  <si>
    <t>P1844</t>
  </si>
  <si>
    <t>SHIPPED 3/18/25</t>
  </si>
  <si>
    <t>P1845</t>
  </si>
  <si>
    <t>Adapter kits</t>
  </si>
  <si>
    <t>SHIPPED 3/14/25</t>
  </si>
  <si>
    <t>P1846</t>
  </si>
  <si>
    <t>Recalibration RMA</t>
  </si>
  <si>
    <t>Emerson</t>
  </si>
  <si>
    <t>P1847</t>
  </si>
  <si>
    <t>CompactLogix 5380</t>
  </si>
  <si>
    <t>P1848</t>
  </si>
  <si>
    <t>Mixing Station</t>
  </si>
  <si>
    <t>SuperKlean</t>
  </si>
  <si>
    <t>P1849</t>
  </si>
  <si>
    <t>Yoosef Peymani</t>
  </si>
  <si>
    <t>Truck wash pumps</t>
  </si>
  <si>
    <t>SHIPPING 4/11/25</t>
  </si>
  <si>
    <t>P1850</t>
  </si>
  <si>
    <t>P1851</t>
  </si>
  <si>
    <t>Cognex cables</t>
  </si>
  <si>
    <t>SHIPPED 3/31/25</t>
  </si>
  <si>
    <t>P1852</t>
  </si>
  <si>
    <t>Stainless fittings</t>
  </si>
  <si>
    <t>Sanitary Solutions</t>
  </si>
  <si>
    <t>SHIPPED 3/28/25</t>
  </si>
  <si>
    <t>P1853</t>
  </si>
  <si>
    <t>RTDs &amp; transmitters</t>
  </si>
  <si>
    <t>P1854</t>
  </si>
  <si>
    <t>Flow Wolf</t>
  </si>
  <si>
    <t>Pump, Meter, &amp; Compressor</t>
  </si>
  <si>
    <t>SHIPPED 4/2/25</t>
  </si>
  <si>
    <t>P1855</t>
  </si>
  <si>
    <t>Garrett McWalters</t>
  </si>
  <si>
    <t>LFV Pumps</t>
  </si>
  <si>
    <t>DELIVERED 4/25/25</t>
  </si>
  <si>
    <t>P1856</t>
  </si>
  <si>
    <t>CANCELED PER CUSTOMER REQUEST
In Quickbooks with invoice generated - how do I cancel this order?</t>
  </si>
  <si>
    <t>P1857</t>
  </si>
  <si>
    <t>Toroidal Conductivity Sensor</t>
  </si>
  <si>
    <t>P1858</t>
  </si>
  <si>
    <t>Flow Meter Rental Unit</t>
  </si>
  <si>
    <t>SHIPPED</t>
  </si>
  <si>
    <t>P1859</t>
  </si>
  <si>
    <t xml:space="preserve">Mike Moriarity </t>
  </si>
  <si>
    <t>Level Sensors/Cables/Adapters</t>
  </si>
  <si>
    <t>RSA/ IFM</t>
  </si>
  <si>
    <t>Moved to E3882</t>
  </si>
  <si>
    <t>P1860</t>
  </si>
  <si>
    <t>QTS Pump Rotors</t>
  </si>
  <si>
    <t>Thomas Pump</t>
  </si>
  <si>
    <t>IN DISPUTE</t>
  </si>
  <si>
    <t>P1861</t>
  </si>
  <si>
    <t>1756-TBNH Loaner / Swap</t>
  </si>
  <si>
    <t>ORDERED 4/10/25</t>
  </si>
  <si>
    <t>P1862</t>
  </si>
  <si>
    <t>4/28/25 - IFM</t>
  </si>
  <si>
    <t>P1863</t>
  </si>
  <si>
    <t>P1864</t>
  </si>
  <si>
    <t>Helical Gearmotor</t>
  </si>
  <si>
    <t>SHIPPED VIA RSA COLLECT 4/11/25</t>
  </si>
  <si>
    <t>P1865</t>
  </si>
  <si>
    <t>Presidio Components</t>
  </si>
  <si>
    <t>Fanuc Robot Packing Cells</t>
  </si>
  <si>
    <t>PINGED PRESIDEO 4/30/25</t>
  </si>
  <si>
    <t>P1866</t>
  </si>
  <si>
    <t>2 gearboxes - Fasttobuy PO#1163</t>
  </si>
  <si>
    <t>https://www.fasttobuy.com/checkout_success.html</t>
  </si>
  <si>
    <t>Your Order Number is: 2025041121442714 - PO#1163</t>
  </si>
  <si>
    <t>P1867</t>
  </si>
  <si>
    <t xml:space="preserve">Flow wolf  </t>
  </si>
  <si>
    <t xml:space="preserve">3hp spx 3450rpm 2" x 1.5" c ceries pump </t>
  </si>
  <si>
    <t>P1867A</t>
  </si>
  <si>
    <t>Added per JT for additional invoice on second shipment</t>
  </si>
  <si>
    <t>P1868</t>
  </si>
  <si>
    <t>internal shaft bearings</t>
  </si>
  <si>
    <t>mcmaster</t>
  </si>
  <si>
    <t>ordered parts and shipped to pride pak. requested po</t>
  </si>
  <si>
    <t>P1869</t>
  </si>
  <si>
    <t xml:space="preserve">alvin </t>
  </si>
  <si>
    <t xml:space="preserve">fristam fpx742 10hp new pump and seal assembly trial  plus freight of $250.00  cost of pump is $3700.00  plus additional seal assembly $225.00 </t>
  </si>
  <si>
    <t>P1870</t>
  </si>
  <si>
    <t>Paul Dagan</t>
  </si>
  <si>
    <t>SHIPS 6/12/25</t>
  </si>
  <si>
    <t>P1871</t>
  </si>
  <si>
    <t xml:space="preserve">Avangrid </t>
  </si>
  <si>
    <t xml:space="preserve">Jessica Donovan </t>
  </si>
  <si>
    <t>RLH</t>
  </si>
  <si>
    <t>RLH Industries</t>
  </si>
  <si>
    <t>1ZH921X80352028083\1ZH921X80353416474</t>
  </si>
  <si>
    <t>P1872</t>
  </si>
  <si>
    <t>Fanuc Teach Pendant</t>
  </si>
  <si>
    <t>P1873</t>
  </si>
  <si>
    <t>SHIPPING 5/16</t>
  </si>
  <si>
    <t>P1874</t>
  </si>
  <si>
    <t>SMC manifold &amp; solenoids</t>
  </si>
  <si>
    <t>SHIPS 5/19/2025</t>
  </si>
  <si>
    <t>P1875</t>
  </si>
  <si>
    <t>Pressure relief valve</t>
  </si>
  <si>
    <t>SHIPS EARLY / MID JUNE</t>
  </si>
  <si>
    <t>P1876</t>
  </si>
  <si>
    <t>XE16X Batteries</t>
  </si>
  <si>
    <t>OSI Battteries</t>
  </si>
  <si>
    <t>P1877</t>
  </si>
  <si>
    <t>Kevin Komosinski</t>
  </si>
  <si>
    <t xml:space="preserve">CMF200 Meter Calibration </t>
  </si>
  <si>
    <t>ARRIVED TO EMERSON 4/30/25 - AWAITING SHIP DATE</t>
  </si>
  <si>
    <t>P1878</t>
  </si>
  <si>
    <t>Horizontal Pumps</t>
  </si>
  <si>
    <t>P1879</t>
  </si>
  <si>
    <t>2 Trio Motion Licenses</t>
  </si>
  <si>
    <t>Neff Autmation</t>
  </si>
  <si>
    <t>P1880</t>
  </si>
  <si>
    <t>Centrex</t>
  </si>
  <si>
    <t>pumps sold in Job E3860-9527</t>
  </si>
  <si>
    <t>P1881</t>
  </si>
  <si>
    <t>Sterling helical gear reducer</t>
  </si>
  <si>
    <t>Sterling Electric</t>
  </si>
  <si>
    <t>SHIPS 5/20/25</t>
  </si>
  <si>
    <t>P1882</t>
  </si>
  <si>
    <t>Duracirc pump head</t>
  </si>
  <si>
    <t xml:space="preserve"> PRO # 625341754</t>
  </si>
  <si>
    <t>P1883</t>
  </si>
  <si>
    <t>Matt Ford</t>
  </si>
  <si>
    <t>Solenoid valve repair kits</t>
  </si>
  <si>
    <t>P1884</t>
  </si>
  <si>
    <t>DELIVERED 4/29/25 - 1Z1220790396845395</t>
  </si>
  <si>
    <t>P1885</t>
  </si>
  <si>
    <t>Wilfredo Boyrie</t>
  </si>
  <si>
    <t>Actuated ball valve w/ positioner</t>
  </si>
  <si>
    <t>P1886</t>
  </si>
  <si>
    <t>Craig VanCassele</t>
  </si>
  <si>
    <t>FLUXUS F532WD Analogue</t>
  </si>
  <si>
    <t>Flexim</t>
  </si>
  <si>
    <t>P1887</t>
  </si>
  <si>
    <t>Kinetix Drive</t>
  </si>
  <si>
    <t>DELIVERED 4/30/25 - 1Z9207AY1590494192</t>
  </si>
  <si>
    <t>P1888</t>
  </si>
  <si>
    <t>Ashley Horsey</t>
  </si>
  <si>
    <t>Replacement Y2 Drive &amp; Motor</t>
  </si>
  <si>
    <t>DMS</t>
  </si>
  <si>
    <t>P1889</t>
  </si>
  <si>
    <t>P1890</t>
  </si>
  <si>
    <t>T-Strainers</t>
  </si>
  <si>
    <t>Nelson-Jameson</t>
  </si>
  <si>
    <t>P1891</t>
  </si>
  <si>
    <t>Milton Chili Co</t>
  </si>
  <si>
    <t>Chris Shafkalis</t>
  </si>
  <si>
    <t>Waukesha  U2 20 Pump</t>
  </si>
  <si>
    <t xml:space="preserve">PRIVATE SALE FOR RICK STACEY PAID </t>
  </si>
  <si>
    <t>P1892</t>
  </si>
  <si>
    <t>Grupo Industrial del Norte</t>
  </si>
  <si>
    <t>Edwin Rizzo</t>
  </si>
  <si>
    <t>SPX Waukesha divert valve</t>
  </si>
  <si>
    <t>STAGING FOR SHIPMENT, PAYMENT RECEIVED</t>
  </si>
  <si>
    <t>P1893</t>
  </si>
  <si>
    <t>3-way Valve</t>
  </si>
  <si>
    <t>Received 07/11 at RSA, awaitng shipment to Mizkan</t>
  </si>
  <si>
    <t>P1894</t>
  </si>
  <si>
    <t>Advanced Industrial Resources</t>
  </si>
  <si>
    <t>Andrew Rose</t>
  </si>
  <si>
    <t>6 x Waukesha U2 060 pump heads</t>
  </si>
  <si>
    <t>P1895</t>
  </si>
  <si>
    <t>2" Diaphragm pump</t>
  </si>
  <si>
    <t>P1896</t>
  </si>
  <si>
    <t>2" 2100 steam valve</t>
  </si>
  <si>
    <t>P1897</t>
  </si>
  <si>
    <t>Panel door w/ cutout</t>
  </si>
  <si>
    <t>SHIPS TO RSA 5/23/25</t>
  </si>
  <si>
    <t>P1898</t>
  </si>
  <si>
    <t>NAT Module</t>
  </si>
  <si>
    <t>SHIPPED WITH PANEL SKID</t>
  </si>
  <si>
    <t>P1899</t>
  </si>
  <si>
    <t>P1900</t>
  </si>
  <si>
    <t>2000 series angle seat valves</t>
  </si>
  <si>
    <t>P1901</t>
  </si>
  <si>
    <t>Banner Touch Buttons</t>
  </si>
  <si>
    <t>P1902</t>
  </si>
  <si>
    <t>Bornemann pump parts</t>
  </si>
  <si>
    <t>P1903</t>
  </si>
  <si>
    <t>Sanitary fittings</t>
  </si>
  <si>
    <t>P1904</t>
  </si>
  <si>
    <t>Blount Fine Foods</t>
  </si>
  <si>
    <t>Tom Thibeault</t>
  </si>
  <si>
    <t>Ricks Visit 5/13/2025</t>
  </si>
  <si>
    <t>P1905</t>
  </si>
  <si>
    <t xml:space="preserve">Brian Reigle </t>
  </si>
  <si>
    <t xml:space="preserve">High Level Sensor </t>
  </si>
  <si>
    <t xml:space="preserve">Ebay </t>
  </si>
  <si>
    <t>P1906</t>
  </si>
  <si>
    <t>Crane 9 troubleshooting</t>
  </si>
  <si>
    <t>P1907</t>
  </si>
  <si>
    <t>Replacement pump parts</t>
  </si>
  <si>
    <t>P1908</t>
  </si>
  <si>
    <t>Matt Yurdcu</t>
  </si>
  <si>
    <t>P1909</t>
  </si>
  <si>
    <t>P1910</t>
  </si>
  <si>
    <t>Valves &amp; BPHX</t>
  </si>
  <si>
    <t>P1911</t>
  </si>
  <si>
    <t>Water leak in ozone cabinet</t>
  </si>
  <si>
    <t>P1912</t>
  </si>
  <si>
    <t>Vince Ciolino</t>
  </si>
  <si>
    <t>Valve repair kit &amp; scraper blades</t>
  </si>
  <si>
    <t>Lee Industries</t>
  </si>
  <si>
    <t>partial shipment 06/05, remainder awaiting ship date</t>
  </si>
  <si>
    <t>P1913</t>
  </si>
  <si>
    <t>Cognex cams &amp; MOXA switches</t>
  </si>
  <si>
    <t>P1914</t>
  </si>
  <si>
    <t>Flow meter trial &amp; new meter</t>
  </si>
  <si>
    <t>RSA / Emerson</t>
  </si>
  <si>
    <t>P1915</t>
  </si>
  <si>
    <t>AR Arena Products</t>
  </si>
  <si>
    <t>Valve seats</t>
  </si>
  <si>
    <t>SHIPS APPROX 06/30</t>
  </si>
  <si>
    <t>P1916</t>
  </si>
  <si>
    <t>P1917</t>
  </si>
  <si>
    <t>H200 Series Meter</t>
  </si>
  <si>
    <t>P1918</t>
  </si>
  <si>
    <t>T150 Series Meter</t>
  </si>
  <si>
    <t>SHIPS APPROX 08/08</t>
  </si>
  <si>
    <t>P1919</t>
  </si>
  <si>
    <t>6/4/25 ASRS Service</t>
  </si>
  <si>
    <t>P1920</t>
  </si>
  <si>
    <t>I/O link datalink &amp; cable</t>
  </si>
  <si>
    <t>P1921</t>
  </si>
  <si>
    <t>T-Strainer</t>
  </si>
  <si>
    <t>P1922</t>
  </si>
  <si>
    <t>P1923</t>
  </si>
  <si>
    <t>P1924</t>
  </si>
  <si>
    <t>V38 Mixer Hub</t>
  </si>
  <si>
    <t>P1925</t>
  </si>
  <si>
    <t>CS6 Mixer VFD Service</t>
  </si>
  <si>
    <t>P1926</t>
  </si>
  <si>
    <t>Tee strainer (1/4")</t>
  </si>
  <si>
    <t>P1927</t>
  </si>
  <si>
    <t>100% ppd</t>
  </si>
  <si>
    <t>P1928</t>
  </si>
  <si>
    <t>P1929</t>
  </si>
  <si>
    <t>RTD parts</t>
  </si>
  <si>
    <t>P1930</t>
  </si>
  <si>
    <t>P1931</t>
  </si>
  <si>
    <t>P1932</t>
  </si>
  <si>
    <t>Valve Kits</t>
  </si>
  <si>
    <t>P1933</t>
  </si>
  <si>
    <t>P1934</t>
  </si>
  <si>
    <t>Actuator replacement parts</t>
  </si>
  <si>
    <t>P1935</t>
  </si>
  <si>
    <t>Chemical Line Assembly</t>
  </si>
  <si>
    <t>P1936</t>
  </si>
  <si>
    <t>Remote Service on Ajax Line Cooling System</t>
  </si>
  <si>
    <t>P1937</t>
  </si>
  <si>
    <t>Prox switches</t>
  </si>
  <si>
    <t>Shipps approx 07/04</t>
  </si>
  <si>
    <t>P1938</t>
  </si>
  <si>
    <t>Stainless Sanitary Fittings and Supplies</t>
  </si>
  <si>
    <t>P1939</t>
  </si>
  <si>
    <t>Rental of forklift &amp; trailer</t>
  </si>
  <si>
    <t>P1940</t>
  </si>
  <si>
    <t>RS, DP</t>
  </si>
  <si>
    <t>Ishida Filler and Level Sump Programming</t>
  </si>
  <si>
    <t>P1941</t>
  </si>
  <si>
    <t>Prairie Farms</t>
  </si>
  <si>
    <t>Stephen Campbell</t>
  </si>
  <si>
    <t>Burkert Diapraghm valve</t>
  </si>
  <si>
    <t>P1942</t>
  </si>
  <si>
    <t>Matt Hatch</t>
  </si>
  <si>
    <t>P1943</t>
  </si>
  <si>
    <t>Samson Positioner</t>
  </si>
  <si>
    <t>P1944</t>
  </si>
  <si>
    <t>Sterling 1HP motor</t>
  </si>
  <si>
    <t>P1945</t>
  </si>
  <si>
    <t>1 Day Mac and Cheese Audit</t>
  </si>
  <si>
    <t>P1946</t>
  </si>
  <si>
    <t>P1947</t>
  </si>
  <si>
    <t>Rotary Onion Machine Service</t>
  </si>
  <si>
    <t>P1948</t>
  </si>
  <si>
    <t>DP, RS</t>
  </si>
  <si>
    <t>Wash Line</t>
  </si>
  <si>
    <t>P1949</t>
  </si>
  <si>
    <t>Palletizer problems</t>
  </si>
  <si>
    <t>P1950</t>
  </si>
  <si>
    <t>Ships Approx 08/28</t>
  </si>
  <si>
    <t>P1951</t>
  </si>
  <si>
    <t>Custom cut enclosures</t>
  </si>
  <si>
    <t>Ships mid-late August</t>
  </si>
  <si>
    <t>P1952</t>
  </si>
  <si>
    <t>Ashley Harbison</t>
  </si>
  <si>
    <t>Time Meter &amp; Bracket Mount</t>
  </si>
  <si>
    <t>P1953</t>
  </si>
  <si>
    <t>Michael Kennedy</t>
  </si>
  <si>
    <t>Duracirc 54" pump</t>
  </si>
  <si>
    <t>Shipment date TBD</t>
  </si>
  <si>
    <t>P1954</t>
  </si>
  <si>
    <t>Pall Filters</t>
  </si>
  <si>
    <t>eBay/RSA</t>
  </si>
  <si>
    <t>P1955</t>
  </si>
  <si>
    <t xml:space="preserve">RSA/Continental </t>
  </si>
  <si>
    <t>1-2 week lead time per TF</t>
  </si>
  <si>
    <t>P1956</t>
  </si>
  <si>
    <t>Rose Acre</t>
  </si>
  <si>
    <t>Ben Miller</t>
  </si>
  <si>
    <t>Waukesha 180 Pump</t>
  </si>
  <si>
    <t>P1957</t>
  </si>
  <si>
    <t>Maurice Thornton</t>
  </si>
  <si>
    <t>Diaphragm valves</t>
  </si>
  <si>
    <t>Ships approx 07/22</t>
  </si>
  <si>
    <t>P1958</t>
  </si>
  <si>
    <t>P1959</t>
  </si>
  <si>
    <t>David Gaudet</t>
  </si>
  <si>
    <t>Retort Audit/ 1 Day Service Call</t>
  </si>
  <si>
    <t>P1960</t>
  </si>
  <si>
    <t>Cory Robson</t>
  </si>
  <si>
    <t>8692 Control Top</t>
  </si>
  <si>
    <t>P1961</t>
  </si>
  <si>
    <t>Bornemann SLH-4G-3000</t>
  </si>
  <si>
    <t>WAITING ON CHRISTIAN- on hold</t>
  </si>
  <si>
    <t>P1962</t>
  </si>
  <si>
    <t>Concentrate Service Call Start up</t>
  </si>
  <si>
    <t>P1963</t>
  </si>
  <si>
    <t>Pwrflx VFDs</t>
  </si>
  <si>
    <t>P1964</t>
  </si>
  <si>
    <t>Stryten Energy</t>
  </si>
  <si>
    <t>Stepper motor fault</t>
  </si>
  <si>
    <t>P1965</t>
  </si>
  <si>
    <t>P1966</t>
  </si>
  <si>
    <t>Barriers &amp; end caps</t>
  </si>
  <si>
    <t>P1967</t>
  </si>
  <si>
    <t>Gary Hill</t>
  </si>
  <si>
    <t>AC Unit &amp; Fork Lift</t>
  </si>
  <si>
    <t>P1968</t>
  </si>
  <si>
    <t>SHIPPED / GOOD TO BILL AS OF 8/4/25</t>
  </si>
  <si>
    <t>P1969</t>
  </si>
  <si>
    <t>PC Configuration</t>
  </si>
  <si>
    <t>awaiting ship date from ricky</t>
  </si>
  <si>
    <t>P1970</t>
  </si>
  <si>
    <t>Cream Spill Cleanup</t>
  </si>
  <si>
    <t>P1971</t>
  </si>
  <si>
    <t>Panelview 700 / used</t>
  </si>
  <si>
    <t>P1972</t>
  </si>
  <si>
    <t>Metal Insulated Wall Panels</t>
  </si>
  <si>
    <t>Customer picking up 07/28</t>
  </si>
  <si>
    <t>P1973</t>
  </si>
  <si>
    <t>Pura Vida Dairy</t>
  </si>
  <si>
    <t>Victor Fermin</t>
  </si>
  <si>
    <t>Bitzer Scroll Compressor</t>
  </si>
  <si>
    <t>Prepayment rec'd by TN</t>
  </si>
  <si>
    <t>P1974</t>
  </si>
  <si>
    <t>CSC</t>
  </si>
  <si>
    <t>LFV530 Pump</t>
  </si>
  <si>
    <t>Shipping approx 08/19</t>
  </si>
  <si>
    <t>P1975</t>
  </si>
  <si>
    <t>Baldor 7.5hp WASHDOWN TEFC motor</t>
  </si>
  <si>
    <t>SHIPPED 7/29/25</t>
  </si>
  <si>
    <t>P1976</t>
  </si>
  <si>
    <t>Sensors &amp; valves</t>
  </si>
  <si>
    <t>IFM &amp; Dixon</t>
  </si>
  <si>
    <t>P1977</t>
  </si>
  <si>
    <t>P1978</t>
  </si>
  <si>
    <t>P1979</t>
  </si>
  <si>
    <t xml:space="preserve">DuraCirc Pumps </t>
  </si>
  <si>
    <t>Waiting on the other pumps to ship</t>
  </si>
  <si>
    <t>P1980</t>
  </si>
  <si>
    <t>2nd Samson Positioner</t>
  </si>
  <si>
    <t>P1981</t>
  </si>
  <si>
    <t>Air Handler Micro 810 reprogramming</t>
  </si>
  <si>
    <t>P1982</t>
  </si>
  <si>
    <t>Tetra-Pak</t>
  </si>
  <si>
    <t>P1983</t>
  </si>
  <si>
    <t>Upstate Buffalo</t>
  </si>
  <si>
    <t>Trevor SnGeorge</t>
  </si>
  <si>
    <t>Gear Pump head</t>
  </si>
  <si>
    <t>P1984</t>
  </si>
  <si>
    <t>Patterson Warehousing</t>
  </si>
  <si>
    <t>Bill Patterson</t>
  </si>
  <si>
    <t>P1985</t>
  </si>
  <si>
    <t>RD</t>
  </si>
  <si>
    <t>Vestis</t>
  </si>
  <si>
    <t>Andy Wenger</t>
  </si>
  <si>
    <t>Two Gorman Pumps - ebay sale</t>
  </si>
  <si>
    <t>P1986</t>
  </si>
  <si>
    <t>Auto Riveter Robot Service</t>
  </si>
  <si>
    <t>P1987</t>
  </si>
  <si>
    <t>HSX Gaskets</t>
  </si>
  <si>
    <t>P1988</t>
  </si>
  <si>
    <t>Jeffrey Wahr</t>
  </si>
  <si>
    <t>Post Router Drive/Encoder problems</t>
  </si>
  <si>
    <t>P1989</t>
  </si>
  <si>
    <t>Problems with photoeye on Arrow Head Conveyor</t>
  </si>
  <si>
    <t>P1990</t>
  </si>
  <si>
    <t>Retort Recommissioning</t>
  </si>
  <si>
    <t>Q607</t>
  </si>
  <si>
    <t>P1991</t>
  </si>
  <si>
    <t>8694 Postitioner Tops</t>
  </si>
  <si>
    <t>SHIPS 10/29/25</t>
  </si>
  <si>
    <t>P1992</t>
  </si>
  <si>
    <t>Camfil</t>
  </si>
  <si>
    <t>SHIPS 10/8/25</t>
  </si>
  <si>
    <t>P1993</t>
  </si>
  <si>
    <t>DELIVERED 8/19 - 1Z2082VX0368791312</t>
  </si>
  <si>
    <t>P1994</t>
  </si>
  <si>
    <t>Jody Neil</t>
  </si>
  <si>
    <t>Feed Center Problems</t>
  </si>
  <si>
    <t>P1995</t>
  </si>
  <si>
    <t>Heat exchanger problems</t>
  </si>
  <si>
    <t>P1996</t>
  </si>
  <si>
    <t>INVOICED 9/5(?)</t>
  </si>
  <si>
    <t>P1997</t>
  </si>
  <si>
    <t>SS Enclosures</t>
  </si>
  <si>
    <t>P1998</t>
  </si>
  <si>
    <t>DELIVERED 9/29/25</t>
  </si>
  <si>
    <t>P1999</t>
  </si>
  <si>
    <t>Burkert angle seat valves</t>
  </si>
  <si>
    <t>SHIPS 10/17/25</t>
  </si>
  <si>
    <t>P2000</t>
  </si>
  <si>
    <t>BT Remedies</t>
  </si>
  <si>
    <t>Bill Betz</t>
  </si>
  <si>
    <t>Supersack unloader</t>
  </si>
  <si>
    <t>Original P1993</t>
  </si>
  <si>
    <t>P2001</t>
  </si>
  <si>
    <t>Burkert type 2000 angle seat valve</t>
  </si>
  <si>
    <t>SHIPPED 9/10/25 - 478515646220</t>
  </si>
  <si>
    <t>P2002</t>
  </si>
  <si>
    <t>INVOICED 9/29/25</t>
  </si>
  <si>
    <t>P2003</t>
  </si>
  <si>
    <t>Justin Robinson</t>
  </si>
  <si>
    <t>Corm Meal Grinder Program Fix</t>
  </si>
  <si>
    <t>P2004</t>
  </si>
  <si>
    <t>SHIPPED 9/17/25</t>
  </si>
  <si>
    <t>P2005</t>
  </si>
  <si>
    <t>Safety Retort (Safety Relay Controller)</t>
  </si>
  <si>
    <t>P2006</t>
  </si>
  <si>
    <t>SHIPPED 9/4 &amp; 9/8/25</t>
  </si>
  <si>
    <t>P2007</t>
  </si>
  <si>
    <t>Osgood Service Call</t>
  </si>
  <si>
    <t>P2008</t>
  </si>
  <si>
    <t>Conveyors, sealer, and IFM sensors</t>
  </si>
  <si>
    <t>DELIVERED BY SPENCER</t>
  </si>
  <si>
    <t>P2009</t>
  </si>
  <si>
    <t>C-Series pump impeller</t>
  </si>
  <si>
    <t>INVOICED 9/10/25(?)</t>
  </si>
  <si>
    <t>P2010</t>
  </si>
  <si>
    <t>Sean Fryover (RMC)</t>
  </si>
  <si>
    <t>Ozone panel problems, water leak in plant.</t>
  </si>
  <si>
    <t>P2011</t>
  </si>
  <si>
    <t>ZP3-060-DM HEAD &amp; SEAL KIT</t>
  </si>
  <si>
    <t>P2012</t>
  </si>
  <si>
    <t>1.5" NPT STEAM VALVE</t>
  </si>
  <si>
    <t>SHIPPED; INVOICING 9/29/25</t>
  </si>
  <si>
    <t>P2013</t>
  </si>
  <si>
    <t>Kevin Secore</t>
  </si>
  <si>
    <t>Romicon EV3 Service</t>
  </si>
  <si>
    <t>sssssssssssssssssss</t>
  </si>
  <si>
    <t>P2014</t>
  </si>
  <si>
    <t>RDS, TF, SD</t>
  </si>
  <si>
    <t>Tahini Pumps</t>
  </si>
  <si>
    <t>P2015</t>
  </si>
  <si>
    <t>HMI &amp; Saginaw panel</t>
  </si>
  <si>
    <t>NEW ORDER</t>
  </si>
  <si>
    <t>P2016</t>
  </si>
  <si>
    <t>DP, JT</t>
  </si>
  <si>
    <t>Cart service call</t>
  </si>
  <si>
    <t>P2017</t>
  </si>
  <si>
    <t>P2018</t>
  </si>
  <si>
    <t>Inductive probe</t>
  </si>
  <si>
    <t>Balluff</t>
  </si>
  <si>
    <t>SHIPPED 9/24/25</t>
  </si>
  <si>
    <t>P2019</t>
  </si>
  <si>
    <t xml:space="preserve">Justin </t>
  </si>
  <si>
    <t>Service vacuume packager</t>
  </si>
  <si>
    <t>P2020</t>
  </si>
  <si>
    <t>Dwayne Williams</t>
  </si>
  <si>
    <t>Remote Service - HMI Patches</t>
  </si>
  <si>
    <t>P2021</t>
  </si>
  <si>
    <t>Shear pump head</t>
  </si>
  <si>
    <t>SHIPPING 9/29/25</t>
  </si>
  <si>
    <t>P2022</t>
  </si>
  <si>
    <t>Valve adapters</t>
  </si>
  <si>
    <t>P2023</t>
  </si>
  <si>
    <t>Positioner Tops</t>
  </si>
  <si>
    <t>PARTIALLY DELIVERED; BALANCE 11/19/25</t>
  </si>
  <si>
    <t>P2024</t>
  </si>
  <si>
    <t>Wash Water Flowmeter</t>
  </si>
  <si>
    <t>11/26/2025 Shipp date</t>
  </si>
  <si>
    <t>P2025</t>
  </si>
  <si>
    <t>Josh Orchard</t>
  </si>
  <si>
    <t>Positioner top</t>
  </si>
  <si>
    <t>SHIPS 11/21/25</t>
  </si>
  <si>
    <t>P2026</t>
  </si>
  <si>
    <t>2nd Advantech RMA</t>
  </si>
  <si>
    <t>Advantech</t>
  </si>
  <si>
    <t>RETURNING TO RSA; UPS# 1Z56A73V0395010896</t>
  </si>
  <si>
    <t>P2027</t>
  </si>
  <si>
    <t>Forklift Rental</t>
  </si>
  <si>
    <t>Weekly invoice $1500</t>
  </si>
  <si>
    <t>P2028</t>
  </si>
  <si>
    <t>Carter-Wilson</t>
  </si>
  <si>
    <t>P2029</t>
  </si>
  <si>
    <t>RDS, DP</t>
  </si>
  <si>
    <t>Conveyor Drive Service Call</t>
  </si>
  <si>
    <t>P2030</t>
  </si>
  <si>
    <t xml:space="preserve">Ishida Tamper Service call </t>
  </si>
  <si>
    <t>P2031</t>
  </si>
  <si>
    <t>P2032</t>
  </si>
  <si>
    <t>P2033</t>
  </si>
  <si>
    <t>CH21 and CH22 Level Column Service</t>
  </si>
  <si>
    <t>P2034</t>
  </si>
  <si>
    <t>Matt Moore</t>
  </si>
  <si>
    <t>Ampco 220 - Trial</t>
  </si>
  <si>
    <t>P2035</t>
  </si>
  <si>
    <t>C1/C2 Product Routing Upgrade</t>
  </si>
  <si>
    <t>P2036</t>
  </si>
  <si>
    <t>Flow Sensors</t>
  </si>
  <si>
    <t>P2037</t>
  </si>
  <si>
    <t>Pilot Valves</t>
  </si>
  <si>
    <t>P2038</t>
  </si>
  <si>
    <t>Pure Freeze Dry</t>
  </si>
  <si>
    <t>Mark Harvey</t>
  </si>
  <si>
    <t xml:space="preserve">Rigging </t>
  </si>
  <si>
    <t>P2039</t>
  </si>
  <si>
    <t>Fran</t>
  </si>
  <si>
    <t>P2040</t>
  </si>
  <si>
    <t>Pump cover</t>
  </si>
  <si>
    <t>P2041</t>
  </si>
  <si>
    <t>NEF x NPT adapters</t>
  </si>
  <si>
    <t>P2042</t>
  </si>
  <si>
    <t xml:space="preserve">Box Taper </t>
  </si>
  <si>
    <t>P2043</t>
  </si>
  <si>
    <t>Applied Industrial</t>
  </si>
  <si>
    <t>Pete Bourassa</t>
  </si>
  <si>
    <t>SHIPS EARLY JANUARY 2026</t>
  </si>
  <si>
    <t>P2044</t>
  </si>
  <si>
    <t>1 WEEK LEAD TIME</t>
  </si>
  <si>
    <t>P2045</t>
  </si>
  <si>
    <t>1 - 2 WEEKS</t>
  </si>
  <si>
    <t>P2046</t>
  </si>
  <si>
    <t>Rental of Loader until 3/12/26</t>
  </si>
  <si>
    <t>1 month</t>
  </si>
  <si>
    <t>P2047</t>
  </si>
  <si>
    <t>P2048</t>
  </si>
  <si>
    <t>RLH / PMR T1 Migration</t>
  </si>
  <si>
    <t>P2049</t>
  </si>
  <si>
    <t>Jake Polen</t>
  </si>
  <si>
    <t>Chart Recorder (Used)</t>
  </si>
  <si>
    <t>P2050</t>
  </si>
  <si>
    <t>Invoiced the pumps and seal, will invoice freight later</t>
  </si>
  <si>
    <t>P2051</t>
  </si>
  <si>
    <t>Panel hardware</t>
  </si>
  <si>
    <t>P2052</t>
  </si>
  <si>
    <t>P2053</t>
  </si>
  <si>
    <t>Turck Position Sensor</t>
  </si>
  <si>
    <t>P2054</t>
  </si>
  <si>
    <t>SEW Eurodrive</t>
  </si>
  <si>
    <t>P2055</t>
  </si>
  <si>
    <t xml:space="preserve">One Hit Customers </t>
  </si>
  <si>
    <t>E Bay Part Sales</t>
  </si>
  <si>
    <t>P2056</t>
  </si>
  <si>
    <t xml:space="preserve">Valk Industries / One Hit </t>
  </si>
  <si>
    <t xml:space="preserve">Mark  </t>
  </si>
  <si>
    <t>2- Fanuc Delta Robots</t>
  </si>
  <si>
    <t>P2057</t>
  </si>
  <si>
    <t>DP, RDS</t>
  </si>
  <si>
    <t>P2058</t>
  </si>
  <si>
    <t>P2059</t>
  </si>
  <si>
    <t>Chart recoder pen arms</t>
  </si>
  <si>
    <t>P2060</t>
  </si>
  <si>
    <t>Kettle scraper blades</t>
  </si>
  <si>
    <t>Felmeirer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</si>
  <si>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</si>
  <si>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</si>
  <si>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</si>
  <si>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</si>
  <si>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</si>
  <si>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</si>
  <si>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</si>
  <si>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</si>
  <si>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</si>
  <si>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</si>
  <si>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</si>
  <si>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</si>
  <si>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</si>
  <si>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</si>
  <si>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</si>
  <si>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</si>
  <si>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Team Allocation:</t>
  </si>
  <si>
    <t>Task Completion</t>
  </si>
  <si>
    <t>Goal:</t>
  </si>
  <si>
    <t>Num Tasks</t>
  </si>
  <si>
    <t>Critical</t>
  </si>
  <si>
    <t>High</t>
  </si>
  <si>
    <t>Medium</t>
  </si>
  <si>
    <t>Low</t>
  </si>
  <si>
    <t>External Dependency</t>
  </si>
  <si>
    <t>Internal Dependency</t>
  </si>
  <si>
    <t>Ebay Link</t>
  </si>
  <si>
    <t>Ebay Number</t>
  </si>
  <si>
    <t xml:space="preserve">Quantity </t>
  </si>
  <si>
    <t>Location</t>
  </si>
  <si>
    <t>Invoice Number</t>
  </si>
  <si>
    <t>Item Notes</t>
  </si>
  <si>
    <t>IFM AC2900 - AS-Interface ProcessLine module ProcessLine 8 SB IP69K</t>
  </si>
  <si>
    <t>Konecranes XN 5 1-ton Electric Chain Hoist with Trolley</t>
  </si>
  <si>
    <t xml:space="preserve">LMI metering pump model #A751-297 variable speed / stroke stainless head </t>
  </si>
  <si>
    <t>qty 10 Haas BT40 BT-40 Pull Studs retention knobs 40 taper  M16 202-5923  cat</t>
  </si>
  <si>
    <t>FANUC Pulse Coder Encoder Alpha A64; Part No. A860-0360-V501 New</t>
  </si>
  <si>
    <t>Ampco ZP-3 130 Positive displacement 15 30 45 60 220 pump Sanitary Waukesha 130</t>
  </si>
  <si>
    <t xml:space="preserve">Allen-Bradley 1756-L1/A M1/A (1756-L1) Processor/Controller PLC Control Logix </t>
  </si>
  <si>
    <t>Stainless Steel Dispenser Stand - Laser Engraved / Customizable</t>
  </si>
  <si>
    <t>APS sanitary Tubular Double Tube Stainless Heat Exchanger 10'x 2" maple syrup</t>
  </si>
  <si>
    <t xml:space="preserve">60 GALLON STAINLESS STEEL DAIRY BALANCE TANK PMO Rosemount level sensor </t>
  </si>
  <si>
    <t>Reduced for quick Sale Commercial HAVECON GLASS VENLO Dutch GREENHOUSE 300K Sqft</t>
  </si>
  <si>
    <t>Mitsubishi FA20S Wire EDM (2011) 2100hrs on it.</t>
  </si>
  <si>
    <t>CAST IRON CENTRIFUGAL PUMP, 1.5" NPT X 1.25" NPT, BALDOR CWDM3537, .5HP, 3450RPM</t>
  </si>
  <si>
    <t>Pure-Fit Sanitary 2.5" Tri-Clamp food grade Silicone Tubing/Hose process dairy</t>
  </si>
  <si>
    <t>Loren Cook Contour 3hp Centrifugal Axial exhaust Fan 4725 CFM 1.75 High Pressure</t>
  </si>
  <si>
    <t>PRO-FACE 5019T 19" LCD INDUSTRIAL FLAT PANEL MONITOR TOUCH SCREEN</t>
  </si>
  <si>
    <t>Modern Packaging Filler Over Capper 2-Lane tub cup Lidder</t>
  </si>
  <si>
    <t>Robotic Base availab Fanuc200 &amp;3IA Automated 6 axis cell servo turntable AB plc</t>
  </si>
  <si>
    <t>SEW-EURODRIVE 5hp 3500rpm R57DRE112m2/Ln Motor  230/460vac  R57DRE112m2/ln</t>
  </si>
  <si>
    <t>New Atlas Copco - Dynapac CC5200 DOUBLE DRUM VIBRATORY Asphalt Blacktop ROLLER</t>
  </si>
  <si>
    <t>ALLEN-BRADLEY 1492-EBJ3TM Terminal Block End Barrier</t>
  </si>
  <si>
    <t>EMERSON ROSEMOUNT 8721 SANITARY MAGNETIC FLOW METER SENSOR, 2 INCH (DN50)</t>
  </si>
  <si>
    <t>Rosemount 8732E Class I / Div 2 Field Mount Magnetic Flow Meter Transmitter</t>
  </si>
  <si>
    <t>EMERSON ROSEMOUNT 8721A &amp; 8732E SANITARY FLOW METER 1.5 INCH (DN40)</t>
  </si>
  <si>
    <t>Rosemount 8711005 Wafer Magnetic Flow Meter Sensor, 0.5 Inch (DN15)</t>
  </si>
  <si>
    <t>Rosemount 8711 Wafer Magnetic Flow Meter Sensor, 2" (DN50) - 8711TSA020U1N0</t>
  </si>
  <si>
    <t>Rosemount Magnetic flow meter Transmitter - 8732CT03N0M4 - missing rear cover</t>
  </si>
  <si>
    <t>ROSEMOUNT 8721 HYGIENIC MAGNETIC FLOW SENSOR, 1.5" (DN40)</t>
  </si>
  <si>
    <t>MICRO MOTION 1700 FIELD AND INTEGRAL-MOUNT SINGLE VARIABLE FLOW TRANSMITTER</t>
  </si>
  <si>
    <t>Rosemount 8711015 Wafer Magnetic Flow Meter Sensor, 0.5 Inch</t>
  </si>
  <si>
    <t>Modern MP485 Two Lane Cup Filler/Sealer 5oz. to 5Lb Dip/yogurt Updated Control</t>
  </si>
  <si>
    <t>Endress Hauser Levelflex FMP53 Guided wave radar level - 66" Probe 2" triclamp</t>
  </si>
  <si>
    <t>Ampco ZP1-006-SO Sanitary Positive Displacement Pump New 1.5" Waukesha Fristam</t>
  </si>
  <si>
    <t>New HAVECON GLASS VENLO Dutch GREENHOUSE 300K Sqft  hoop</t>
  </si>
  <si>
    <t>Agc AR56 Frame PRO5+ Stainless Steel Plate Heat Exchanger Pasteurizer APV Tetra</t>
  </si>
  <si>
    <t>AGC R5 Pro Plate Heat Exchanger or APV Plates New with Gaskets</t>
  </si>
  <si>
    <t>Sun System Pro Sun LEC 315 Grow Lights 120/240 Ceramic Metal Halide (CMH)</t>
  </si>
  <si>
    <t>Allen-Bradley Stratix 5700 1783-BMS20CGL 20-port Ethernet Switch</t>
  </si>
  <si>
    <t>Goodway Whipper CM35 Continuous Mixer Oakes aerating product injection homogeniz</t>
  </si>
  <si>
    <t>Honeywell Truline DR4500A 12" Chart Recorder - DR45AT-1100-00-001-0-100000-0</t>
  </si>
  <si>
    <t>Honeywell Truline DR4500A 12" Chart Recorder - DR45AT-1000-00-000-0-100000-0</t>
  </si>
  <si>
    <t>Honeywell Truline DR4500A 12" Chart Recorder - DR45AT-1100-00-000-0-2M0000-0</t>
  </si>
  <si>
    <t>Honeywell Truline DR4500A 12" Chart Recorder - DR45AT-1111-00-000-0-3M0000-0</t>
  </si>
  <si>
    <t>Omega CTXL-TRH-G Universal Circular Chart Recorder</t>
  </si>
  <si>
    <t>SUPCO CR87B Digital Temperature Recorder CELCIUS Model 120v</t>
  </si>
  <si>
    <t>2011 Mercedes sprinter van  wiring Harness full engine/cab Harness</t>
  </si>
  <si>
    <t>Groen/Lee 60 Gallon Stainless Steel Kettle Incline Agitated/Jacketed TILTING</t>
  </si>
  <si>
    <t>TWISTER T2 Trimmer KEIRTON weed leaf Medical Grade Flower Centurion</t>
  </si>
  <si>
    <t>Tobbaco Herb Flower Drying Curing Aluminum Perforated Rack Hanging Mesh dry</t>
  </si>
  <si>
    <t>Waukesha 30 U2 Positive displacement Sanitary Pump Ampco zp</t>
  </si>
  <si>
    <t>Volumetric Technologies Modern 2018 Cup Rotary Piston Yogurt/Dip Filler</t>
  </si>
  <si>
    <t>Cook exhaust fan 135cps fume hood inducer Axial blower 1700cfm 1Hp 230ac 3ph</t>
  </si>
  <si>
    <t>Schaefer 24CFO 24" Circulatio Deep Guard Circulation Greenhouse Industrial Fan</t>
  </si>
  <si>
    <t>SCHAEFER VK20 Circulation Deep Guard Circulation Greenhouse Industrial Fan 5473</t>
  </si>
  <si>
    <t>GEA Homogenizer 1200bar 300L Pharmaceutical Process cell disruption nanoparticle</t>
  </si>
  <si>
    <t>ECOLO AIRSTREME Mister Atomizer Ocillating High Output Blower Fan Greenhouse</t>
  </si>
  <si>
    <t>Clean IN Place CIP skid Allen Bradley integrated Control System Integrated New</t>
  </si>
  <si>
    <t>Ampco Sanitary 1.5" TC Positive Displacement Pump zp1-006-so with Gearmotor</t>
  </si>
  <si>
    <t>COGNEX In-Sight D900 High Resolution Vision System with Moritex Optics Package</t>
  </si>
  <si>
    <t>ALLEN-BRADLEY 937TH-DOSND-IP1 Isolator Switch Amplifier Digital Output</t>
  </si>
  <si>
    <t>Rotex 42 Jaw Coupling Hub Half No. KTR7020425020200X1.875</t>
  </si>
  <si>
    <t>Sweco 24" vibratory sifter</t>
  </si>
  <si>
    <t>Sweco 24" vibratory stainless steel sifter w fine mesh screens 1/3 hp 3ph motor</t>
  </si>
  <si>
    <t>Sweco 24" vibratory sifter stainless steel platform &amp; stairs - food grade</t>
  </si>
  <si>
    <t>Iboco T1-F 60X80 (mm x mm) Grey Open Slot Wire Duct, PER FOOT (12") EA, NO COVER</t>
  </si>
  <si>
    <t>Iboco T1-F 100X100 (mm x mm) Grey Open Slot Wire Duct, PER FT (12") EA, NO COVER</t>
  </si>
  <si>
    <t>Panduit G1X3WH6 Type F Slotted Wiring Duct, PVC, 1" x 3", No Cover, PER FT (12")</t>
  </si>
  <si>
    <t>Panduit G1X4WH6 Type F Slotted Wiring Duct, PVC, 1" x 4", No Cover, PER FT (12")</t>
  </si>
  <si>
    <t>Panduit G2X3WH6 Type F Slotted Wiring Duct, PVC, 2" x 3", No Cover, PER FT (12")</t>
  </si>
  <si>
    <t>Panduit G3X4WH6 Type F Slotted Wiring Duct, PVC, 3" x 4", No Cover, PER FT (12")</t>
  </si>
  <si>
    <t>Panduit G4X4WH6 Type F Slotted Wiring Duct, PVC, 4" x 4", No Cover, PER FT (12")</t>
  </si>
  <si>
    <t>Panduit MC25X75IG2 Wire Duct Gray, pVC, 2.85"x0.97" - PER FT (12")</t>
  </si>
  <si>
    <t>NEW RPM TL2+Packaging Machinery robotic pick and place case packer/Unpacker</t>
  </si>
  <si>
    <t>Partlow MRC 700 series chart recorder 710000000022N3</t>
  </si>
  <si>
    <t>IFM O2I102 1D / 2D code reader</t>
  </si>
  <si>
    <t>SureFire Fireye SF1-3 High Energy Spark Igniter</t>
  </si>
  <si>
    <t>GIG Cc28 Bvs 05 Atex G 001 X Transmitter</t>
  </si>
  <si>
    <t>McDaniel Controls 6" Model H 50K PSI Pressure Gauge, 1/2" NPT</t>
  </si>
  <si>
    <t>McDaniel Controls 6" Model H 50K PSI Pressure Gauge, 1/2"FNPT</t>
  </si>
  <si>
    <t>Smith-Blair Quantum Coupling 46108540985000, 8" Pipe</t>
  </si>
  <si>
    <t>Waukesha 220 U2 Positive Displacement Pump Ampco zp2 4x 25hp  washdown</t>
  </si>
  <si>
    <t>Spirax Sarco Pivotrol pressure powered condensate pump - 72962.3</t>
  </si>
  <si>
    <t>AlfaLaval Centrifual Pump 15hp, 230/460V 3PH, 2.5"x3.0" tri-clamp, 200gpm</t>
  </si>
  <si>
    <t>Pall Advanta Filter Housings ALTD440G05HDJ 3⁄4 in. sanitary flange</t>
  </si>
  <si>
    <t>Anderson-Negele Sanitary RTD Probe, 10.5" insertion, for 41280 / SK10274 well</t>
  </si>
  <si>
    <t>Ingenico Chase iCT250 3in LCD USB/Ethernet Ports Dual Comm Credit Card Terminal</t>
  </si>
  <si>
    <t>2-Fanuc M-3iA/6S Delta Robots Automated Packaging line Pick and Place conveyor</t>
  </si>
  <si>
    <t>150 Gal 570 liter Stainless Sterile Vat Pressure Aseptic Pharma processor Tank</t>
  </si>
  <si>
    <t>Breddo Liquifier Square 500gal Likwifier - 75hp Mixer High Shear Agitation</t>
  </si>
  <si>
    <t>WAUKESHA 3"x3" SPX 220/ 180 U2 POSITIVE DISPLACEMENT 10hp Ampco zp pump</t>
  </si>
  <si>
    <t>Haas-Meincke GK05 Heated jacketed Melt tank/Butter Cream Pot positive Pumps</t>
  </si>
  <si>
    <t>SQUARE D JLA361756 - 175A 3P current-limiting circuit breaker 600v 50/60Hz</t>
  </si>
  <si>
    <t>IFM PN2699 Pressure Sensor w Display</t>
  </si>
  <si>
    <t>Banner Engineering Light Curtain Emitter &amp; Receiver SLLE23-910-S &amp; SLLR23-910-S</t>
  </si>
  <si>
    <t>COGNEX DMR-262Q-MAX 1D / 2D Fixed-mount barcode reader</t>
  </si>
  <si>
    <t>Pro-Tech Stainless Steel Washdown HMI Workstation</t>
  </si>
  <si>
    <t>Ampco Sanitary Liquid Ring Sanitary sp215 10hp Centrifugal Fristam fzx Pump</t>
  </si>
  <si>
    <t>POLARIS RZR S 800 EFI 12 FENDER FLARE RIGHT FRONT 5437660-070  OEM</t>
  </si>
  <si>
    <t>Walker Breddo Likwifier Jacketed 300 gallon 40HP high shear</t>
  </si>
  <si>
    <t>Carnes Centrifugal Upblast Roof Exhauster - VUBK21V1G1NA208PH1</t>
  </si>
  <si>
    <t>GFS Tube Axial Exhaust Fan 24" 1hp 200-230/460v 3ph</t>
  </si>
  <si>
    <t>ALLEN BRADLEY 100S-C09EJ32BC / 100SC09EJ32BC (USED TESTED CLEANED)</t>
  </si>
  <si>
    <t>Allen Bradley 140M-C2E-B10 SER C Circuit Breaker 1A USA</t>
  </si>
  <si>
    <t>ALLEN BRADLEY 1492-PDL31124 / 1492PDL31124 (USED TESTED CLEANED)</t>
  </si>
  <si>
    <t xml:space="preserve">Allen Bradley 1734-FPD B  Point I/O </t>
  </si>
  <si>
    <t>1734-IB4 Allen Bradley 1734IB4 POINT I/O 4 Point Digital Input Module</t>
  </si>
  <si>
    <t>Allen Bradley 1734-IB8 Point I/O Module, Input: 24VDC</t>
  </si>
  <si>
    <t>Allen Bradley 1734-OB4E 1734OB4E Output Module Programmable Controller</t>
  </si>
  <si>
    <t>Allen-Bradley 1734-OB8E Module</t>
  </si>
  <si>
    <t>Allen-Bradley 1734-OB8S POINT Guard I/O Safety Module</t>
  </si>
  <si>
    <t>Hoffman Wallmount Sloped Top 1/4-Turn Latch Type 4X, 48x36x16, Brushed 304SS</t>
  </si>
  <si>
    <t>Sanimatic Clean In Place Skid - Model# CIP12-25-P-ST - Item # 157905</t>
  </si>
  <si>
    <t>Ecolab Skid Mount Clean In Place System</t>
  </si>
  <si>
    <t>Fristam FZX2100 Centrifugal Pump - 3HP 1750 RPM (60 Hz.) Inlet 2”Outlet 2” Clamp</t>
  </si>
  <si>
    <t>Fristam FPX3522 Centrifugal pump 10HP 3500RPM 2.5"x 2" triclamp</t>
  </si>
  <si>
    <t>Ecolab Clean in Place (CIP) Skid - Model 3001</t>
  </si>
  <si>
    <t>FANUC DELTA ROBOT M-1iA/0.5A 6-AXES PICK&amp;PACK W/ CELL R-30iA MATE&amp;TEACH PENDANT</t>
  </si>
  <si>
    <t>Allen Bradley 1734-RTB Terminal Block</t>
  </si>
  <si>
    <t>15gal 316 Stainless Steel Mixing Pressure Vessel - Bio / Pharma / Brewing</t>
  </si>
  <si>
    <t>40L (10.5gal) 316 Stainless Steel Mixing Pressure Vessel - Bio / Pharma</t>
  </si>
  <si>
    <t>DUKANE 30AP120-2F IQ SERIES ULTRASONIC WELDING GENERATOR &amp; TRANSDUCER 41A60RE</t>
  </si>
  <si>
    <t>Alfa Laval LKH20 Centrifugal Pump w Baldor 5hp 1750rpm 2.5"x2" clamp</t>
  </si>
  <si>
    <t>Fristam FP1732-165 10hp 2" x 3" Clamp Centrifugal Pump</t>
  </si>
  <si>
    <t>Ashcroft KS7S2042F2150 sanitary pressure transducer/transmitter</t>
  </si>
  <si>
    <t>myQ VKP1-MYQ-BT1 Smart Garage Video Keypad Rechargeable Battery NEW</t>
  </si>
  <si>
    <t>Eaton FAZ-D20-1-NA-SP circuit breaker, 20A, 277 VAC 48 VDC, 1-pole</t>
  </si>
  <si>
    <t>Harvel PVC 1120 Duct / Pipe Section 71"L x 1/4" thick x 18" dia</t>
  </si>
  <si>
    <t>Ingredient V Blender Stainless Steel 5 cu ft</t>
  </si>
  <si>
    <t>Sorgel 75KVA Transformer (OS) 600X480 Volt 3 Phase -T1120 WARRANTY</t>
  </si>
  <si>
    <t>gm 4.3 v6 vortex engine 100k miles on it runs good complete with ecm and starter</t>
  </si>
  <si>
    <t>Allen-Bradley Reactor, Input/Output, 35A, 0.8mh, 3-5% Impedance, 200-690VAC</t>
  </si>
  <si>
    <t>Groen 150Gal Stainless Steel Jacketed Spherical Kettle Scraped Surface Agitation</t>
  </si>
  <si>
    <t>Acu-Rite - IOB610 Option Box (CSS)</t>
  </si>
  <si>
    <t>Allen-Bradley 193-EA1DB Overload Relay Series B 1.0-2.9 Amp 3 Phase 480VAC</t>
  </si>
  <si>
    <t>PRO Scientific PRO 200 Handheld Homogenizer 220V</t>
  </si>
  <si>
    <t>DA97-02019B  Samsung Temperature Sensor OEM DA97-02019B</t>
  </si>
  <si>
    <t>ACROPRINT TQ100 BIOMETRIC TIMECLOCK</t>
  </si>
  <si>
    <t>FANUC DELTA ROBOT M-1iA/0.5A 6-AXES PICK&amp;PACK W/ CELL R-30iA MATE</t>
  </si>
  <si>
    <t>2019 Steris Pre-Vacuum Sterilizer, M/N SV-120, S/N 50468, 100 PSI, 120 Volts</t>
  </si>
  <si>
    <t>Spirax Sarco 6120483 Cover and Mechanism Assembly For APT14HC Automatic Trap</t>
  </si>
  <si>
    <t>Fristam FPX742-205 Sanitary 10 hp 3500rpm 2.5" x 2" Centrifugal Pump New</t>
  </si>
  <si>
    <t>Walker Breddo Likwifier Liquifier Jacketed 300 gallon shear stainless mixer</t>
  </si>
  <si>
    <t>Steris AMSCO 630LS Steam Sterilizer Model LS-136H 2020yr with Steam Generator</t>
  </si>
  <si>
    <t>2011 Ecolab 5400x 3 tank CIP Clean In Place Allen Bradley Sanimatic Skid</t>
  </si>
  <si>
    <t>Band-It / Idex Inc Band-It S75099</t>
  </si>
  <si>
    <t>DCI 200 Gal. S/S Jacketed Tank with Control Panel &amp; Honeywell Chart Recorder</t>
  </si>
  <si>
    <t>Lee 300 Gal. Jacketed Vacuum 316 Stainless Steel Tank</t>
  </si>
  <si>
    <t>250 litre 316L stainless steel jacketed process tank</t>
  </si>
  <si>
    <t>MicroMotion Emerson ELITE CMFHC2M Coriolis Mass FloMeter 8"</t>
  </si>
  <si>
    <t>Siemens/Florite 599 Series 3-Way Mixing Valve &amp; 24Vac electro-hydraulic actuator</t>
  </si>
  <si>
    <t>Polaris Tee Lock Nuts for Lock and Ride Xpedition bed rails Stainless</t>
  </si>
  <si>
    <t>fristam fs3532 10hp 3450rpm shear pump</t>
  </si>
  <si>
    <t>3/8" X 10' CINCINNATI MODEL 2510 POWER SQUARING SHEAR; S/N 16769</t>
  </si>
  <si>
    <t>3,150 WATT AMADA  LCG3015AJMII CNC FIBER LASER  2018  550 only cutting hours</t>
  </si>
  <si>
    <t>7.5 hp Gorman Rupp Self Priming centrifugal pump model T3A60-B/F,</t>
  </si>
  <si>
    <t>BALDOR 20HP 3585RPM 230/460V 3PHASE 256JM TEFC WASHDOWN ELECTRIC MOTOR</t>
  </si>
  <si>
    <t>Pass &amp; Seymour L520-C &amp; L520-P Turnlok Connector &amp; Plug 3Wire 20Amp 125Volt</t>
  </si>
  <si>
    <t>Hubbell HBL2311 &amp; HBL2313 20A 125V Twist-Lock Nylon Plug &amp; Socket, Straight</t>
  </si>
  <si>
    <t>Haas VF 9 Cat50 Vertical 30hp CNC Mill thru coolant spindle</t>
  </si>
  <si>
    <t>Accurshear Hydraulic Power Shear 1/4" x 10' 625010 Low Profile with Backgauge</t>
  </si>
  <si>
    <t>WellMate UT-40, 40 Gallon, Quick Connect Series, Universal Retention Tank</t>
  </si>
  <si>
    <t>WellMate UT-80, 80 Gallon, Quick Connect Series, Universal Retention Tank</t>
  </si>
  <si>
    <t>SUPERSACK UNLOADING SYSTEM WITH HOIST Stainless chain Auger Feeder</t>
  </si>
  <si>
    <t>Flexicon Bulk Bag Unloader Super Sak Hopper with 3" SS Auger system</t>
  </si>
  <si>
    <t>Alfa AIR ELIMINATOR MILK RECEIVING TANK 50 Gallon with Fristam 15hp fpx3551 pump</t>
  </si>
  <si>
    <t>Malt Handling 2" Drag Chain Conveyor Bulk Bag Unloader w/ 12" Iris valve</t>
  </si>
  <si>
    <t>SUPERSACK UNLOADING SYSTEM WITH HOIST Flexicon Auger Feed Stainless</t>
  </si>
  <si>
    <t>Ampco ZP2-045 Sanitary Positive Displacement Pump New 2" Waukesha Fristam</t>
  </si>
  <si>
    <t>Spirax Sarco APT14 steam condensate pressure pump Trap</t>
  </si>
  <si>
    <t>SUPERSACK UNLOADING SYSTEM Hopper with Iris Valve Flexicon Auger Feed Stainless</t>
  </si>
  <si>
    <t>Bitzer scroll compressor GSD80385VwB4-1 refrigeration R410a 460V 60Hz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</si>
</sst>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Aptos"/>
      <family val="2"/>
      <charset val="1"/>
    </font>
    <font>
      <sz val="12"/>
      <color theme="1"/>
      <name val="Aptos"/>
      <family val="2"/>
      <charset val="1"/>
    </font>
    <font>
      <sz val="12"/>
      <color theme="1"/>
      <name val="Aptos"/>
      <family val="2"/>
    </font>
    <font>
      <sz val="11"/>
      <color rgb="FF363636"/>
      <name val="Tahoma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rgb="FF0070C0"/>
      <name val="Calibri"/>
      <family val="2"/>
      <scheme val="minor"/>
    </font>
    <font>
      <u/>
      <sz val="11"/>
      <color rgb="FF0563C1"/>
      <name val="Calibri"/>
      <family val="2"/>
    </font>
    <font>
      <sz val="12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color theme="1"/>
      <name val="Aptos"/>
      <family val="2"/>
    </font>
    <font>
      <sz val="11"/>
      <color rgb="FF00000A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6" tint="0.3999755851924192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4747"/>
      </left>
      <right/>
      <top style="thin">
        <color rgb="FFFF4747"/>
      </top>
      <bottom style="thin">
        <color rgb="FFFF4747"/>
      </bottom>
      <diagonal/>
    </border>
    <border>
      <left style="thin">
        <color rgb="FFFF4747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96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9" fontId="0" fillId="0" borderId="0" xfId="0" applyNumberFormat="1"/>
    <xf numFmtId="0" fontId="4" fillId="0" borderId="0" xfId="0" applyFont="1"/>
    <xf numFmtId="10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/>
    <xf numFmtId="1" fontId="0" fillId="0" borderId="0" xfId="0" applyNumberFormat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14" fontId="6" fillId="0" borderId="0" xfId="0" applyNumberFormat="1" applyFont="1"/>
    <xf numFmtId="16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9" fontId="0" fillId="0" borderId="0" xfId="1" applyFont="1" applyAlignment="1">
      <alignment horizontal="center"/>
    </xf>
    <xf numFmtId="0" fontId="0" fillId="0" borderId="4" xfId="0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0" fillId="3" borderId="0" xfId="0" applyFill="1"/>
    <xf numFmtId="14" fontId="0" fillId="3" borderId="0" xfId="0" applyNumberFormat="1" applyFill="1"/>
    <xf numFmtId="0" fontId="0" fillId="3" borderId="6" xfId="0" applyFill="1" applyBorder="1"/>
    <xf numFmtId="0" fontId="0" fillId="3" borderId="7" xfId="0" applyFill="1" applyBorder="1"/>
    <xf numFmtId="14" fontId="0" fillId="3" borderId="7" xfId="0" applyNumberFormat="1" applyFill="1" applyBorder="1"/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9" xfId="0" applyBorder="1"/>
    <xf numFmtId="0" fontId="0" fillId="0" borderId="0" xfId="0" applyAlignment="1">
      <alignment wrapText="1"/>
    </xf>
    <xf numFmtId="49" fontId="13" fillId="0" borderId="0" xfId="0" applyNumberFormat="1" applyFont="1"/>
    <xf numFmtId="0" fontId="14" fillId="0" borderId="0" xfId="0" applyFont="1"/>
    <xf numFmtId="49" fontId="15" fillId="0" borderId="0" xfId="0" applyNumberFormat="1" applyFont="1"/>
    <xf numFmtId="0" fontId="12" fillId="0" borderId="0" xfId="2"/>
    <xf numFmtId="0" fontId="0" fillId="0" borderId="0" xfId="0" applyAlignment="1">
      <alignment horizontal="left" wrapText="1"/>
    </xf>
    <xf numFmtId="0" fontId="16" fillId="0" borderId="0" xfId="0" applyFont="1"/>
    <xf numFmtId="0" fontId="17" fillId="0" borderId="0" xfId="0" applyFont="1"/>
    <xf numFmtId="49" fontId="6" fillId="0" borderId="0" xfId="0" applyNumberFormat="1" applyFont="1" applyAlignment="1">
      <alignment horizontal="left"/>
    </xf>
    <xf numFmtId="0" fontId="0" fillId="5" borderId="0" xfId="0" applyFill="1"/>
    <xf numFmtId="0" fontId="6" fillId="0" borderId="0" xfId="0" applyFont="1" applyAlignment="1">
      <alignment horizontal="left"/>
    </xf>
    <xf numFmtId="0" fontId="19" fillId="0" borderId="0" xfId="0" applyFont="1"/>
    <xf numFmtId="0" fontId="0" fillId="0" borderId="0" xfId="0" applyAlignment="1">
      <alignment vertical="center"/>
    </xf>
    <xf numFmtId="1" fontId="19" fillId="0" borderId="0" xfId="0" applyNumberFormat="1" applyFont="1" applyAlignment="1">
      <alignment horizontal="center" vertical="center"/>
    </xf>
    <xf numFmtId="0" fontId="20" fillId="0" borderId="0" xfId="2" applyFont="1"/>
    <xf numFmtId="0" fontId="0" fillId="6" borderId="3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2" fillId="0" borderId="0" xfId="2" applyBorder="1"/>
    <xf numFmtId="14" fontId="10" fillId="0" borderId="0" xfId="0" applyNumberFormat="1" applyFont="1"/>
    <xf numFmtId="0" fontId="10" fillId="0" borderId="0" xfId="0" applyFont="1" applyAlignment="1">
      <alignment horizontal="left"/>
    </xf>
    <xf numFmtId="0" fontId="4" fillId="7" borderId="11" xfId="0" applyFont="1" applyFill="1" applyBorder="1"/>
    <xf numFmtId="0" fontId="4" fillId="7" borderId="12" xfId="0" applyFont="1" applyFill="1" applyBorder="1"/>
    <xf numFmtId="14" fontId="4" fillId="7" borderId="12" xfId="0" applyNumberFormat="1" applyFont="1" applyFill="1" applyBorder="1"/>
    <xf numFmtId="0" fontId="4" fillId="7" borderId="13" xfId="0" applyFont="1" applyFill="1" applyBorder="1"/>
    <xf numFmtId="0" fontId="4" fillId="0" borderId="11" xfId="0" applyFont="1" applyBorder="1"/>
    <xf numFmtId="0" fontId="4" fillId="0" borderId="12" xfId="0" applyFont="1" applyBorder="1"/>
    <xf numFmtId="14" fontId="4" fillId="0" borderId="12" xfId="0" applyNumberFormat="1" applyFont="1" applyBorder="1"/>
    <xf numFmtId="0" fontId="4" fillId="0" borderId="13" xfId="0" applyFont="1" applyBorder="1"/>
    <xf numFmtId="0" fontId="4" fillId="8" borderId="12" xfId="0" applyFont="1" applyFill="1" applyBorder="1"/>
    <xf numFmtId="0" fontId="11" fillId="0" borderId="12" xfId="0" applyFont="1" applyBorder="1"/>
    <xf numFmtId="0" fontId="21" fillId="0" borderId="13" xfId="0" applyFont="1" applyBorder="1"/>
    <xf numFmtId="0" fontId="4" fillId="7" borderId="12" xfId="0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11" fillId="7" borderId="12" xfId="0" applyFont="1" applyFill="1" applyBorder="1"/>
    <xf numFmtId="0" fontId="0" fillId="0" borderId="14" xfId="0" applyBorder="1"/>
    <xf numFmtId="14" fontId="0" fillId="0" borderId="14" xfId="0" applyNumberFormat="1" applyBorder="1"/>
    <xf numFmtId="14" fontId="0" fillId="0" borderId="15" xfId="0" applyNumberFormat="1" applyBorder="1"/>
    <xf numFmtId="0" fontId="0" fillId="6" borderId="14" xfId="0" applyFill="1" applyBorder="1"/>
    <xf numFmtId="14" fontId="0" fillId="6" borderId="14" xfId="0" applyNumberFormat="1" applyFill="1" applyBorder="1"/>
    <xf numFmtId="14" fontId="0" fillId="6" borderId="15" xfId="0" applyNumberForma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18" fillId="0" borderId="0" xfId="0" applyFont="1"/>
    <xf numFmtId="0" fontId="22" fillId="0" borderId="0" xfId="0" applyFont="1"/>
    <xf numFmtId="0" fontId="0" fillId="9" borderId="0" xfId="0" applyFill="1"/>
    <xf numFmtId="15" fontId="0" fillId="0" borderId="0" xfId="0" applyNumberFormat="1" applyAlignment="1">
      <alignment horizontal="left"/>
    </xf>
    <xf numFmtId="0" fontId="23" fillId="0" borderId="0" xfId="0" applyFont="1"/>
    <xf numFmtId="0" fontId="15" fillId="0" borderId="0" xfId="0" applyFont="1"/>
    <xf numFmtId="0" fontId="1" fillId="0" borderId="0" xfId="0" applyFont="1"/>
    <xf numFmtId="0" fontId="24" fillId="0" borderId="0" xfId="0" applyFont="1"/>
    <xf numFmtId="0" fontId="4" fillId="0" borderId="0" xfId="0" applyFont="1" applyAlignment="1">
      <alignment horizontal="center" vertical="center"/>
    </xf>
    <xf numFmtId="0" fontId="4" fillId="4" borderId="0" xfId="0" applyFont="1" applyFill="1"/>
    <xf numFmtId="9" fontId="4" fillId="0" borderId="0" xfId="0" applyNumberFormat="1" applyFont="1"/>
    <xf numFmtId="0" fontId="25" fillId="0" borderId="0" xfId="0" applyFont="1"/>
    <xf numFmtId="1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9" fontId="0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0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14996795556505021"/>
      </font>
      <fill>
        <patternFill>
          <bgColor rgb="FF68478D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 tint="-0.14996795556505021"/>
      </font>
      <fill>
        <patternFill>
          <bgColor rgb="FF68478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 tint="-0.14996795556505021"/>
      </font>
      <fill>
        <patternFill>
          <bgColor rgb="FF68478D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 tint="-0.14996795556505021"/>
      </font>
      <fill>
        <patternFill>
          <bgColor rgb="FF68478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rgb="FF68478D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 tint="-0.14996795556505021"/>
      </font>
      <fill>
        <patternFill>
          <bgColor rgb="FF68478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 tint="-0.14996795556505021"/>
      </font>
      <fill>
        <patternFill>
          <bgColor rgb="FF68478D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rgb="FF68478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theme="0" tint="-0.14996795556505021"/>
      </font>
      <fill>
        <patternFill>
          <bgColor rgb="FF68478D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theme="0" tint="-0.14996795556505021"/>
      </font>
      <fill>
        <patternFill>
          <bgColor rgb="FF68478D"/>
        </patternFill>
      </fill>
    </dxf>
    <dxf>
      <font>
        <color rgb="FF000000"/>
      </font>
      <fill>
        <patternFill patternType="solid">
          <bgColor rgb="FFFFF2CC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C65911"/>
        </patternFill>
      </fill>
    </dxf>
    <dxf>
      <font>
        <color rgb="FFFFFFFF"/>
      </font>
      <fill>
        <patternFill patternType="solid">
          <bgColor rgb="FFFF0000"/>
        </patternFill>
      </fill>
    </dxf>
    <dxf>
      <font>
        <color rgb="FF0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70C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left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  <alignment horizontal="right" vertical="bottom" textRotation="0" indent="0" justifyLastLine="0" shrinkToFit="0" readingOrder="0"/>
    </dxf>
    <dxf>
      <numFmt numFmtId="19" formatCode="m/d/yyyy"/>
    </dxf>
    <dxf>
      <numFmt numFmtId="19" formatCode="m/d/yyyy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border outline="0">
        <top style="thin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850B3723-AEF4-463F-8441-274272EA1961}">
    <nsvFilter filterId="{7F1226C1-9F62-49A1-98C9-B3C3767CE296}" ref="A1:L618" tableId="5">
      <columnFilter colId="2" id="{CCA042F6-63C9-44A4-B370-423C2650AD8F}">
        <filter colId="2">
          <x:filters>
            <x:filter val="Saint Gobain Ceramics"/>
            <x:filter val="Saint- Gobain Niagra"/>
            <x:filter val="Saint Gobain Niagra Falls"/>
          </x:filters>
        </filter>
      </columnFilter>
      <sortRules>
        <sortRule colId="0" id="{10EA4C62-E04A-48D8-874C-821D99A55DBF}">
          <sortCondition ref="A1:A618"/>
        </sortRule>
      </sortRules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andon's List" id="{9687A213-B79F-4306-9EF2-15C97E50883D}">
    <nsvFilter filterId="{170F213C-53D0-4521-A182-55AF3C5397DA}" ref="B2:L578" tableId="1">
      <columnFilter colId="3" id="{6B92D401-9FB0-459D-806C-EC2FB9598962}">
        <filter colId="3">
          <x:filters>
            <x:filter val="Brandon"/>
          </x:filters>
        </filter>
      </columnFilter>
      <sortRules>
        <sortRule colId="4" id="{3C8140E4-042F-4C0D-9E48-49C4867904F2}">
          <sortCondition ref="F2:F578"/>
        </sortRule>
      </sortRules>
    </nsvFilter>
  </namedSheetView>
  <namedSheetView name="Jons View" id="{76C03974-3565-4BD3-A313-239CE69E704E}">
    <nsvFilter filterId="{170F213C-53D0-4521-A182-55AF3C5397DA}" ref="B2:L578" tableId="1">
      <columnFilter colId="3" id="{6B92D401-9FB0-459D-806C-EC2FB9598962}">
        <filter colId="3">
          <x:filters>
            <x:filter val="Jon"/>
            <x:filter val="Jon, Brandon"/>
            <x:filter val="Jon, Tom"/>
            <x:filter val="Nick, Jon"/>
            <x:filter val="Notes"/>
            <x:filter val="Tom, Jon"/>
            <x:filter val="Unassigned"/>
          </x:filters>
        </filter>
      </columnFilter>
      <columnFilter colId="7" id="{EB027BED-35F5-4212-9859-F2C944AE1FC2}">
        <filter colId="7">
          <x:filters>
            <x:filter val="Done"/>
            <x:filter val="External Dependency"/>
            <x:filter val="In Progress"/>
            <x:filter val="Internal Dependency"/>
            <x:filter val="Open"/>
          </x:filters>
        </filter>
      </columnFilter>
      <sortRules>
        <sortRule colId="4" id="{3C8140E4-042F-4C0D-9E48-49C4867904F2}">
          <sortCondition ref="F2:F578"/>
        </sortRule>
      </sortRules>
    </nsvFilter>
  </namedSheetView>
  <namedSheetView name="View1" id="{9EE04B12-5E79-46B7-A122-20FB1F58DD47}">
    <nsvFilter filterId="{170F213C-53D0-4521-A182-55AF3C5397DA}" ref="B2:L578" tableId="1">
      <columnFilter colId="3" id="{6B92D401-9FB0-459D-806C-EC2FB9598962}">
        <filter colId="3">
          <x:filters>
            <x:filter val="Jon"/>
            <x:filter val="Notes"/>
            <x:filter val="Tom, Jon"/>
            <x:filter val="Unassigned"/>
          </x:filters>
        </filter>
      </columnFilter>
      <columnFilter colId="7" id="{EB027BED-35F5-4212-9859-F2C944AE1FC2}">
        <filter colId="7">
          <x:filters>
            <x:filter val="External Dependency"/>
            <x:filter val="In Progress"/>
            <x:filter val="Internal Dependency"/>
            <x:filter val="Open"/>
          </x:filters>
        </filter>
      </columnFilter>
      <sortRules>
        <sortRule colId="4" id="{3C8140E4-042F-4C0D-9E48-49C4867904F2}">
          <sortCondition ref="F2:F578"/>
        </sortRule>
      </sortRules>
    </nsvFilter>
  </namedSheetView>
  <namedSheetView name="View2" id="{6C2CDBA9-1D1E-47C2-A7AA-592B223DD49D}">
    <nsvFilter filterId="{170F213C-53D0-4521-A182-55AF3C5397DA}" ref="B2:L578" tableId="1">
      <columnFilter colId="3" id="{6B92D401-9FB0-459D-806C-EC2FB9598962}">
        <filter colId="3">
          <x:filters>
            <x:filter val="Jon"/>
          </x:filters>
        </filter>
      </columnFilter>
      <columnFilter colId="7" id="{EB027BED-35F5-4212-9859-F2C944AE1FC2}">
        <filter colId="7">
          <x:filters>
            <x:filter val="External Dependency"/>
            <x:filter val="In Progress"/>
            <x:filter val="Internal Dependency"/>
            <x:filter val="Open"/>
          </x:filters>
        </filter>
      </columnFilter>
      <sortRules>
        <sortRule colId="4" id="{3C8140E4-042F-4C0D-9E48-49C4867904F2}">
          <sortCondition ref="F2:F578"/>
        </sortRule>
      </sortRules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1E7633CB-104C-4300-8138-AC1353A8047D}">
    <nsvFilter filterId="{1C595CAD-9058-4F5D-9245-733CEB7CD462}" ref="A1:O1310" tableId="2"/>
  </namedSheetView>
  <namedSheetView name="View2" id="{31A24948-D44E-4ABC-876A-0F9A24B33CEC}">
    <nsvFilter filterId="{1C595CAD-9058-4F5D-9245-733CEB7CD462}" ref="A1:O1310" tableId="2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1226C1-9F62-49A1-98C9-B3C3767CE296}" name="Table46" displayName="Table46" ref="A1:L618" totalsRowShown="0" headerRowDxfId="99" headerRowBorderDxfId="98" tableBorderDxfId="97">
  <autoFilter ref="A1:L618" xr:uid="{7F1226C1-9F62-49A1-98C9-B3C3767CE296}"/>
  <sortState xmlns:xlrd2="http://schemas.microsoft.com/office/spreadsheetml/2017/richdata2" ref="A2:L602">
    <sortCondition ref="A1:A602"/>
  </sortState>
  <tableColumns count="12">
    <tableColumn id="1" xr3:uid="{10EA4C62-E04A-48D8-874C-821D99A55DBF}" name="Quote Num."/>
    <tableColumn id="2" xr3:uid="{81C23185-8EC8-4F17-896A-F98F576877BB}" name="Created By"/>
    <tableColumn id="3" xr3:uid="{CCA042F6-63C9-44A4-B370-423C2650AD8F}" name="Customer"/>
    <tableColumn id="4" xr3:uid="{DD9B6DE2-C79D-4854-8F88-411A4D825E95}" name="Cust. Contact"/>
    <tableColumn id="5" xr3:uid="{A3EFD688-B041-4A13-BBE4-13C8445449AD}" name="Description"/>
    <tableColumn id="6" xr3:uid="{529E0081-13F2-4004-AEAB-EBEB4916C573}" name="Start Date" dataDxfId="96"/>
    <tableColumn id="7" xr3:uid="{2725B5E3-1F27-43FE-B658-0E58F0876F0F}" name="Due Date" dataDxfId="95"/>
    <tableColumn id="8" xr3:uid="{E5007F57-715C-43D2-A583-2C89590A4C75}" name="Maturity Date" dataDxfId="94"/>
    <tableColumn id="11" xr3:uid="{979B595A-FC5B-4243-A4AB-FA42ECF644B7}" name="Quote Status"/>
    <tableColumn id="10" xr3:uid="{F6A34AA9-01CE-45B0-964F-BCC6282AEC1E}" name="In L Drive"/>
    <tableColumn id="9" xr3:uid="{FC2C5579-C915-4156-8F37-AC09FF661F9C}" name="Latest Rev" dataDxfId="93"/>
    <tableColumn id="12" xr3:uid="{128269A3-F012-401D-A0F9-DEB2411BA2BF}" name="Column1" dataDxfId="9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AC1BF6-60FA-4E3A-B062-094AFC881A72}" name="Table1" displayName="Table1" ref="B2:L578" totalsRowShown="0" headerRowDxfId="91">
  <autoFilter ref="B2:L578" xr:uid="{170F213C-53D0-4521-A182-55AF3C5397DA}"/>
  <sortState xmlns:xlrd2="http://schemas.microsoft.com/office/spreadsheetml/2017/richdata2" ref="B3:L578">
    <sortCondition ref="L2:L578"/>
  </sortState>
  <tableColumns count="11">
    <tableColumn id="1" xr3:uid="{A4963968-072B-4927-B1AB-DBFB004A7DD0}" name="Customer" dataDxfId="90"/>
    <tableColumn id="2" xr3:uid="{F62656B2-BE0E-4DDA-BE33-E7C1ED1FFECD}" name="Job" dataDxfId="89"/>
    <tableColumn id="9" xr3:uid="{B723C6EF-5F29-4215-9C97-55048E5EFCE5}" name="Meeting Code" dataDxfId="88"/>
    <tableColumn id="3" xr3:uid="{6B92D401-9FB0-459D-806C-EC2FB9598962}" name="Assigned To" dataDxfId="87"/>
    <tableColumn id="4" xr3:uid="{3C8140E4-042F-4C0D-9E48-49C4867904F2}" name="Priority" dataDxfId="86"/>
    <tableColumn id="7" xr3:uid="{DE486D45-E9EC-4F97-975E-8F074AA049A4}" name="Deadline" dataDxfId="85"/>
    <tableColumn id="6" xr3:uid="{7794D6E0-D131-458F-9FD9-B7179029CF02}" name="Task" dataDxfId="84"/>
    <tableColumn id="5" xr3:uid="{EB027BED-35F5-4212-9859-F2C944AE1FC2}" name="Status" dataDxfId="83"/>
    <tableColumn id="10" xr3:uid="{6DFA3C4E-3B65-4CE7-A641-3786042AFA66}" name="Cust. Contact" dataDxfId="82"/>
    <tableColumn id="12" xr3:uid="{B8C5AB11-1421-4044-9364-EBB296E64DEF}" name="Maturity Timeline" dataDxfId="81"/>
    <tableColumn id="8" xr3:uid="{282525D2-6F8E-4E3E-80ED-17D2C5A65EF0}" name="Status Notes" dataDxfId="80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F13539-6B84-4EBC-92CD-C62C47AE6725}" name="Table134" displayName="Table134" ref="A1:O803" totalsRowShown="0">
  <autoFilter ref="A1:O803" xr:uid="{B4F13539-6B84-4EBC-92CD-C62C47AE6725}"/>
  <sortState xmlns:xlrd2="http://schemas.microsoft.com/office/spreadsheetml/2017/richdata2" ref="A2:O749">
    <sortCondition ref="A1:A749"/>
  </sortState>
  <tableColumns count="15">
    <tableColumn id="1" xr3:uid="{BD72288A-1FA9-483D-9401-D6E56D33758D}" name="Project Number" dataDxfId="79"/>
    <tableColumn id="12" xr3:uid="{471454EA-0837-4DD6-9D40-99717C4063EC}" name="Associated Jobs"/>
    <tableColumn id="2" xr3:uid="{50663083-C961-4D59-BE7E-519BF748AA82}" name="Created By"/>
    <tableColumn id="3" xr3:uid="{906B2518-D105-4749-A48D-09348FAC5321}" name="Customer"/>
    <tableColumn id="4" xr3:uid="{06DE95FF-C848-4221-B915-09CEEE649BFF}" name="Cust. Contact"/>
    <tableColumn id="5" xr3:uid="{91C65E6D-A597-4E12-98E5-E7F3EE93B4C1}" name="Description"/>
    <tableColumn id="6" xr3:uid="{C9B4714A-DE16-451B-B40E-DE14BF5D7D46}" name="Start Date" dataDxfId="78"/>
    <tableColumn id="7" xr3:uid="{48103E1A-9259-4210-9DA1-94826B3F7DC2}" name="Due Date" dataDxfId="77"/>
    <tableColumn id="8" xr3:uid="{9AB16DC1-2FD8-4915-BAF8-D1453BA6815D}" name="Job Status"/>
    <tableColumn id="13" xr3:uid="{EE9DB2B9-9BE1-49F3-8FCE-B8E33D4DA9AC}" name="In QB"/>
    <tableColumn id="14" xr3:uid="{B684C4B4-41AC-4A45-B24C-882536A0882A}" name="In L Drive"/>
    <tableColumn id="11" xr3:uid="{5D7E7CE0-BF3D-4996-9D31-F90CE9E1A4A7}" name="Quote Num"/>
    <tableColumn id="9" xr3:uid="{E80C3C6B-A931-48D1-BE93-8A04415247C1}" name="Invoiced" dataDxfId="76"/>
    <tableColumn id="10" xr3:uid="{047545D4-DC21-457B-B4B6-01993F83BE2F}" name="Invoice Date" dataDxfId="75"/>
    <tableColumn id="15" xr3:uid="{7A55BDF6-B326-440F-9586-1F9A8742EFAE}" name="Note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EC8D21-CA7B-4DD0-B15F-BCA0FE56F08A}" name="Table13" displayName="Table13" ref="A1:O1310" totalsRowShown="0">
  <autoFilter ref="A1:O1310" xr:uid="{1C595CAD-9058-4F5D-9245-733CEB7CD462}"/>
  <tableColumns count="15">
    <tableColumn id="1" xr3:uid="{4D038F16-AF0C-4045-921C-2D9612E39AFA}" name="Job Number"/>
    <tableColumn id="2" xr3:uid="{1C077114-E005-4D2A-922E-1044AB4BC27B}" name="Created By"/>
    <tableColumn id="3" xr3:uid="{E7806794-8DD4-4398-8531-3B6581D12754}" name="Customer"/>
    <tableColumn id="4" xr3:uid="{989EE155-C91F-4DF2-955E-BFDF6E2B0EC2}" name="Cust. Contact"/>
    <tableColumn id="5" xr3:uid="{D18B5898-6B49-4C6B-9507-E757B8FDE35D}" name="Description"/>
    <tableColumn id="15" xr3:uid="{591C498B-5969-46E9-B8FB-639BB524771F}" name="Vendor"/>
    <tableColumn id="6" xr3:uid="{1B1F3B3F-85A1-40A5-B101-9EA217AD541E}" name="Start Date" dataDxfId="74"/>
    <tableColumn id="7" xr3:uid="{230F4DE6-D69D-44CF-82EF-FE8938A93FAC}" name="Due Date" dataDxfId="73"/>
    <tableColumn id="8" xr3:uid="{3C93FBD3-796D-454F-8667-2A3322A65E7E}" name="Job Status"/>
    <tableColumn id="9" xr3:uid="{2D8E6EEB-128C-465A-9CAF-7E930829ABF2}" name="In QB"/>
    <tableColumn id="10" xr3:uid="{E1276C75-C2E2-4354-91AF-E40725E206BE}" name="In L Drive"/>
    <tableColumn id="11" xr3:uid="{A57F38E9-116C-4B19-A751-B47CC2751506}" name="Quote Num"/>
    <tableColumn id="12" xr3:uid="{468D5D20-8D8F-42C5-A2D0-83506EE0C5E8}" name="Invoiced"/>
    <tableColumn id="13" xr3:uid="{C1771D04-7F33-48DD-A36D-59BA28B88ECD}" name="Date Inv" dataDxfId="72"/>
    <tableColumn id="14" xr3:uid="{6FC02334-FA38-4F48-948C-D178CBBD7A59}" name="Notes" dataDxfId="7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39714E-5350-4BDC-B405-6C25A35491A1}" name="Table7" displayName="Table7" ref="A1:H199" totalsRowShown="0" headerRowDxfId="70">
  <autoFilter ref="A1:H199" xr:uid="{3639714E-5350-4BDC-B405-6C25A35491A1}"/>
  <tableColumns count="8">
    <tableColumn id="1" xr3:uid="{D43CE572-35D9-462B-8F58-7E0B4FAC02CF}" name="Ebay Link" dataDxfId="69" dataCellStyle="Hyperlink">
      <calculatedColumnFormula>HYPERLINK("https://www.ebay.com/itm/" &amp; B2, "eBay Listing")</calculatedColumnFormula>
    </tableColumn>
    <tableColumn id="2" xr3:uid="{40AB943D-9949-49C5-B021-7CB537ECD273}" name="Ebay Number" dataDxfId="68"/>
    <tableColumn id="3" xr3:uid="{676A3022-DC95-4AEB-82B1-CFE2D208CE84}" name="Description" dataDxfId="67"/>
    <tableColumn id="4" xr3:uid="{D499B383-E0E6-4BDE-BAD2-67E7D95DDCC8}" name="Quantity " dataDxfId="66"/>
    <tableColumn id="5" xr3:uid="{B4364A44-054F-4F49-B17A-4895B1B4EE9A}" name="Status" dataDxfId="65"/>
    <tableColumn id="6" xr3:uid="{BC80052B-B6D3-47B5-A2B1-B9431EB67CE6}" name="Location"/>
    <tableColumn id="8" xr3:uid="{B2D77881-BDB8-404F-A30D-347FDA223010}" name="Invoice Number"/>
    <tableColumn id="7" xr3:uid="{F8074C08-344E-4F93-9199-55DAE3CF5C50}" name="Item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9/04/relationships/namedSheetView" Target="../namedSheetViews/namedSheetView2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fasttobuy.com/account_history_info.html?order_id=5640" TargetMode="External"/><Relationship Id="rId1" Type="http://schemas.openxmlformats.org/officeDocument/2006/relationships/hyperlink" Target="https://www.fasttobuy.com/checkout_success.html" TargetMode="External"/><Relationship Id="rId5" Type="http://schemas.microsoft.com/office/2019/04/relationships/namedSheetView" Target="../namedSheetViews/namedSheetView3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48CA-0AB8-4034-A8BA-0C9F9BEEB5F8}">
  <sheetPr codeName="Sheet1">
    <pageSetUpPr fitToPage="1"/>
  </sheetPr>
  <dimension ref="A1:L618"/>
  <sheetViews>
    <sheetView topLeftCell="A571" zoomScale="85" zoomScaleNormal="85" workbookViewId="0">
      <selection activeCell="I607" sqref="I607"/>
    </sheetView>
  </sheetViews>
  <sheetFormatPr defaultRowHeight="15" x14ac:dyDescent="0.25"/>
  <cols>
    <col min="1" max="1" width="15" bestFit="1" customWidth="1"/>
    <col min="2" max="2" width="18.28515625" customWidth="1"/>
    <col min="3" max="3" width="30.42578125" bestFit="1" customWidth="1"/>
    <col min="4" max="4" width="21.7109375" customWidth="1"/>
    <col min="5" max="5" width="69" bestFit="1" customWidth="1"/>
    <col min="6" max="6" width="15.28515625" style="1" customWidth="1"/>
    <col min="7" max="7" width="20.42578125" style="1" customWidth="1"/>
    <col min="8" max="8" width="16" style="1" customWidth="1"/>
    <col min="9" max="9" width="18.28515625" customWidth="1"/>
    <col min="10" max="10" width="17.140625" customWidth="1"/>
    <col min="11" max="11" width="15.8554687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54" t="s">
        <v>12</v>
      </c>
      <c r="B2" s="55" t="s">
        <v>13</v>
      </c>
      <c r="C2" s="55" t="s">
        <v>14</v>
      </c>
      <c r="D2" s="55" t="s">
        <v>15</v>
      </c>
      <c r="E2" s="55" t="s">
        <v>16</v>
      </c>
      <c r="F2" s="56">
        <v>44837</v>
      </c>
      <c r="G2" s="56">
        <v>44837</v>
      </c>
      <c r="H2" s="56">
        <v>44837</v>
      </c>
      <c r="I2" s="55" t="s">
        <v>17</v>
      </c>
      <c r="J2" s="55" t="s">
        <v>18</v>
      </c>
      <c r="K2" s="55"/>
      <c r="L2" s="57"/>
    </row>
    <row r="3" spans="1:12" x14ac:dyDescent="0.25">
      <c r="A3" s="58" t="s">
        <v>19</v>
      </c>
      <c r="B3" s="59" t="s">
        <v>13</v>
      </c>
      <c r="C3" s="59" t="s">
        <v>20</v>
      </c>
      <c r="D3" s="59" t="s">
        <v>21</v>
      </c>
      <c r="E3" s="59" t="s">
        <v>22</v>
      </c>
      <c r="F3" s="60">
        <v>44837</v>
      </c>
      <c r="G3" s="60">
        <v>44841</v>
      </c>
      <c r="H3" s="59"/>
      <c r="I3" s="59" t="s">
        <v>17</v>
      </c>
      <c r="J3" s="59" t="s">
        <v>18</v>
      </c>
      <c r="K3" s="59"/>
      <c r="L3" s="61"/>
    </row>
    <row r="4" spans="1:12" x14ac:dyDescent="0.25">
      <c r="A4" s="54" t="s">
        <v>23</v>
      </c>
      <c r="B4" s="55" t="s">
        <v>24</v>
      </c>
      <c r="C4" s="55" t="s">
        <v>25</v>
      </c>
      <c r="D4" s="55" t="s">
        <v>26</v>
      </c>
      <c r="E4" s="55" t="s">
        <v>27</v>
      </c>
      <c r="F4" s="56">
        <v>44837</v>
      </c>
      <c r="G4" s="56">
        <v>44837</v>
      </c>
      <c r="H4" s="55"/>
      <c r="I4" s="55" t="s">
        <v>28</v>
      </c>
      <c r="J4" s="55" t="s">
        <v>29</v>
      </c>
      <c r="K4" s="55"/>
      <c r="L4" s="57"/>
    </row>
    <row r="5" spans="1:12" x14ac:dyDescent="0.25">
      <c r="A5" s="58" t="s">
        <v>30</v>
      </c>
      <c r="B5" s="59" t="s">
        <v>31</v>
      </c>
      <c r="C5" s="59" t="s">
        <v>32</v>
      </c>
      <c r="D5" s="59"/>
      <c r="E5" s="59" t="s">
        <v>33</v>
      </c>
      <c r="F5" s="60">
        <v>44838</v>
      </c>
      <c r="G5" s="60">
        <v>44838</v>
      </c>
      <c r="H5" s="59"/>
      <c r="I5" s="59" t="s">
        <v>17</v>
      </c>
      <c r="J5" s="59" t="s">
        <v>18</v>
      </c>
      <c r="K5" s="59"/>
      <c r="L5" s="61"/>
    </row>
    <row r="6" spans="1:12" x14ac:dyDescent="0.25">
      <c r="A6" s="54" t="s">
        <v>34</v>
      </c>
      <c r="B6" s="55" t="s">
        <v>24</v>
      </c>
      <c r="C6" s="55" t="s">
        <v>35</v>
      </c>
      <c r="D6" s="55" t="s">
        <v>36</v>
      </c>
      <c r="E6" s="55" t="s">
        <v>37</v>
      </c>
      <c r="F6" s="56">
        <v>44838</v>
      </c>
      <c r="G6" s="56">
        <v>44839</v>
      </c>
      <c r="H6" s="55"/>
      <c r="I6" s="55" t="s">
        <v>28</v>
      </c>
      <c r="J6" s="55" t="s">
        <v>29</v>
      </c>
      <c r="K6" s="55"/>
      <c r="L6" s="57"/>
    </row>
    <row r="7" spans="1:12" x14ac:dyDescent="0.25">
      <c r="A7" s="58" t="s">
        <v>38</v>
      </c>
      <c r="B7" s="59" t="s">
        <v>24</v>
      </c>
      <c r="C7" s="59" t="s">
        <v>35</v>
      </c>
      <c r="D7" s="59" t="s">
        <v>36</v>
      </c>
      <c r="E7" s="59" t="s">
        <v>39</v>
      </c>
      <c r="F7" s="60">
        <v>44839</v>
      </c>
      <c r="G7" s="60">
        <v>44841</v>
      </c>
      <c r="H7" s="59"/>
      <c r="I7" s="59" t="s">
        <v>28</v>
      </c>
      <c r="J7" s="59" t="s">
        <v>18</v>
      </c>
      <c r="K7" s="59"/>
      <c r="L7" s="61"/>
    </row>
    <row r="8" spans="1:12" x14ac:dyDescent="0.25">
      <c r="A8" s="54" t="s">
        <v>40</v>
      </c>
      <c r="B8" s="55" t="s">
        <v>24</v>
      </c>
      <c r="C8" s="55" t="s">
        <v>35</v>
      </c>
      <c r="D8" s="55" t="s">
        <v>36</v>
      </c>
      <c r="E8" s="55" t="s">
        <v>41</v>
      </c>
      <c r="F8" s="56">
        <v>44839</v>
      </c>
      <c r="G8" s="56">
        <v>44841</v>
      </c>
      <c r="H8" s="55"/>
      <c r="I8" s="55" t="s">
        <v>28</v>
      </c>
      <c r="J8" s="55" t="s">
        <v>18</v>
      </c>
      <c r="K8" s="55"/>
      <c r="L8" s="57"/>
    </row>
    <row r="9" spans="1:12" x14ac:dyDescent="0.25">
      <c r="A9" s="58" t="s">
        <v>42</v>
      </c>
      <c r="B9" s="59" t="s">
        <v>24</v>
      </c>
      <c r="C9" s="59" t="s">
        <v>43</v>
      </c>
      <c r="D9" s="59" t="s">
        <v>44</v>
      </c>
      <c r="E9" s="59" t="s">
        <v>45</v>
      </c>
      <c r="F9" s="60">
        <v>44840</v>
      </c>
      <c r="G9" s="60">
        <v>44840</v>
      </c>
      <c r="H9" s="59"/>
      <c r="I9" s="59" t="s">
        <v>28</v>
      </c>
      <c r="J9" s="59" t="s">
        <v>29</v>
      </c>
      <c r="K9" s="59"/>
      <c r="L9" s="61"/>
    </row>
    <row r="10" spans="1:12" x14ac:dyDescent="0.25">
      <c r="A10" s="54" t="s">
        <v>46</v>
      </c>
      <c r="B10" s="55" t="s">
        <v>13</v>
      </c>
      <c r="C10" s="55" t="s">
        <v>47</v>
      </c>
      <c r="D10" s="55" t="s">
        <v>48</v>
      </c>
      <c r="E10" s="55" t="s">
        <v>49</v>
      </c>
      <c r="F10" s="56">
        <v>44841</v>
      </c>
      <c r="G10" s="56">
        <v>44841</v>
      </c>
      <c r="H10" s="56">
        <v>44844</v>
      </c>
      <c r="I10" s="55" t="s">
        <v>28</v>
      </c>
      <c r="J10" s="55" t="s">
        <v>29</v>
      </c>
      <c r="K10" s="55"/>
      <c r="L10" s="57"/>
    </row>
    <row r="11" spans="1:12" x14ac:dyDescent="0.25">
      <c r="A11" s="58" t="s">
        <v>50</v>
      </c>
      <c r="B11" s="59" t="s">
        <v>31</v>
      </c>
      <c r="C11" s="59" t="s">
        <v>51</v>
      </c>
      <c r="D11" s="59" t="s">
        <v>52</v>
      </c>
      <c r="E11" s="59" t="s">
        <v>53</v>
      </c>
      <c r="F11" s="60">
        <v>44840</v>
      </c>
      <c r="G11" s="60">
        <v>44840</v>
      </c>
      <c r="H11" s="59"/>
      <c r="I11" s="59" t="s">
        <v>17</v>
      </c>
      <c r="J11" s="59" t="s">
        <v>18</v>
      </c>
      <c r="K11" s="59"/>
      <c r="L11" s="61"/>
    </row>
    <row r="12" spans="1:12" x14ac:dyDescent="0.25">
      <c r="A12" s="54" t="s">
        <v>54</v>
      </c>
      <c r="B12" s="55" t="s">
        <v>31</v>
      </c>
      <c r="C12" s="55" t="s">
        <v>55</v>
      </c>
      <c r="D12" s="55" t="s">
        <v>56</v>
      </c>
      <c r="E12" s="55" t="s">
        <v>57</v>
      </c>
      <c r="F12" s="56">
        <v>44841</v>
      </c>
      <c r="G12" s="56">
        <v>44841</v>
      </c>
      <c r="H12" s="55"/>
      <c r="I12" s="55" t="s">
        <v>28</v>
      </c>
      <c r="J12" s="55" t="s">
        <v>29</v>
      </c>
      <c r="K12" s="55"/>
      <c r="L12" s="57"/>
    </row>
    <row r="13" spans="1:12" x14ac:dyDescent="0.25">
      <c r="A13" s="58" t="s">
        <v>58</v>
      </c>
      <c r="B13" s="59" t="s">
        <v>24</v>
      </c>
      <c r="C13" s="59" t="s">
        <v>43</v>
      </c>
      <c r="D13" s="59" t="s">
        <v>44</v>
      </c>
      <c r="E13" s="59" t="s">
        <v>59</v>
      </c>
      <c r="F13" s="60">
        <v>44844</v>
      </c>
      <c r="G13" s="59"/>
      <c r="H13" s="59"/>
      <c r="I13" s="59" t="s">
        <v>28</v>
      </c>
      <c r="J13" s="59" t="s">
        <v>29</v>
      </c>
      <c r="K13" s="59"/>
      <c r="L13" s="61"/>
    </row>
    <row r="14" spans="1:12" x14ac:dyDescent="0.25">
      <c r="A14" s="54" t="s">
        <v>60</v>
      </c>
      <c r="B14" s="55" t="s">
        <v>13</v>
      </c>
      <c r="C14" s="55" t="s">
        <v>51</v>
      </c>
      <c r="D14" s="55" t="s">
        <v>61</v>
      </c>
      <c r="E14" s="55" t="s">
        <v>62</v>
      </c>
      <c r="F14" s="56">
        <v>44844</v>
      </c>
      <c r="G14" s="56">
        <v>44855</v>
      </c>
      <c r="H14" s="55"/>
      <c r="I14" s="55" t="s">
        <v>17</v>
      </c>
      <c r="J14" s="55" t="s">
        <v>29</v>
      </c>
      <c r="K14" s="55"/>
      <c r="L14" s="57"/>
    </row>
    <row r="15" spans="1:12" x14ac:dyDescent="0.25">
      <c r="A15" s="58" t="s">
        <v>63</v>
      </c>
      <c r="B15" s="59" t="s">
        <v>24</v>
      </c>
      <c r="C15" s="59" t="s">
        <v>64</v>
      </c>
      <c r="D15" s="59" t="s">
        <v>65</v>
      </c>
      <c r="E15" s="59" t="s">
        <v>66</v>
      </c>
      <c r="F15" s="60">
        <v>44846</v>
      </c>
      <c r="G15" s="59"/>
      <c r="H15" s="59"/>
      <c r="I15" s="59" t="s">
        <v>28</v>
      </c>
      <c r="J15" s="59"/>
      <c r="K15" s="60">
        <v>2</v>
      </c>
      <c r="L15" s="61"/>
    </row>
    <row r="16" spans="1:12" x14ac:dyDescent="0.25">
      <c r="A16" s="54" t="s">
        <v>67</v>
      </c>
      <c r="B16" s="55" t="s">
        <v>24</v>
      </c>
      <c r="C16" s="55" t="s">
        <v>43</v>
      </c>
      <c r="D16" s="55" t="s">
        <v>44</v>
      </c>
      <c r="E16" s="55" t="s">
        <v>68</v>
      </c>
      <c r="F16" s="56">
        <v>44848</v>
      </c>
      <c r="G16" s="55"/>
      <c r="H16" s="55"/>
      <c r="I16" s="55" t="s">
        <v>28</v>
      </c>
      <c r="J16" s="55" t="s">
        <v>18</v>
      </c>
      <c r="K16" s="55"/>
      <c r="L16" s="57"/>
    </row>
    <row r="17" spans="1:12" x14ac:dyDescent="0.25">
      <c r="A17" s="58" t="s">
        <v>69</v>
      </c>
      <c r="B17" s="59" t="s">
        <v>13</v>
      </c>
      <c r="C17" s="59" t="s">
        <v>70</v>
      </c>
      <c r="D17" s="59" t="s">
        <v>71</v>
      </c>
      <c r="E17" s="59" t="s">
        <v>72</v>
      </c>
      <c r="F17" s="60">
        <v>44848</v>
      </c>
      <c r="G17" s="60">
        <v>44848</v>
      </c>
      <c r="H17" s="59"/>
      <c r="I17" s="59" t="s">
        <v>17</v>
      </c>
      <c r="J17" s="59" t="s">
        <v>29</v>
      </c>
      <c r="K17" s="59"/>
      <c r="L17" s="61"/>
    </row>
    <row r="18" spans="1:12" x14ac:dyDescent="0.25">
      <c r="A18" s="54" t="s">
        <v>73</v>
      </c>
      <c r="B18" s="55" t="s">
        <v>24</v>
      </c>
      <c r="C18" s="55" t="s">
        <v>74</v>
      </c>
      <c r="D18" s="55" t="s">
        <v>75</v>
      </c>
      <c r="E18" s="55" t="s">
        <v>76</v>
      </c>
      <c r="F18" s="56">
        <v>44854</v>
      </c>
      <c r="G18" s="55"/>
      <c r="H18" s="55"/>
      <c r="I18" s="55" t="s">
        <v>17</v>
      </c>
      <c r="J18" s="55" t="s">
        <v>29</v>
      </c>
      <c r="K18" s="55"/>
      <c r="L18" s="57"/>
    </row>
    <row r="19" spans="1:12" x14ac:dyDescent="0.25">
      <c r="A19" s="58" t="s">
        <v>77</v>
      </c>
      <c r="B19" s="59" t="s">
        <v>31</v>
      </c>
      <c r="C19" s="59" t="s">
        <v>78</v>
      </c>
      <c r="D19" s="59" t="s">
        <v>79</v>
      </c>
      <c r="E19" s="59" t="s">
        <v>80</v>
      </c>
      <c r="F19" s="60">
        <v>44855</v>
      </c>
      <c r="G19" s="60">
        <v>44855</v>
      </c>
      <c r="H19" s="59"/>
      <c r="I19" s="59" t="s">
        <v>17</v>
      </c>
      <c r="J19" s="59" t="s">
        <v>18</v>
      </c>
      <c r="K19" s="59"/>
      <c r="L19" s="61"/>
    </row>
    <row r="20" spans="1:12" x14ac:dyDescent="0.25">
      <c r="A20" s="54" t="s">
        <v>81</v>
      </c>
      <c r="B20" s="55" t="s">
        <v>31</v>
      </c>
      <c r="C20" s="55" t="s">
        <v>78</v>
      </c>
      <c r="D20" s="55" t="s">
        <v>79</v>
      </c>
      <c r="E20" s="55" t="s">
        <v>82</v>
      </c>
      <c r="F20" s="56">
        <v>44858</v>
      </c>
      <c r="G20" s="56">
        <v>44858</v>
      </c>
      <c r="H20" s="55"/>
      <c r="I20" s="55" t="s">
        <v>17</v>
      </c>
      <c r="J20" s="55" t="s">
        <v>18</v>
      </c>
      <c r="K20" s="55"/>
      <c r="L20" s="57"/>
    </row>
    <row r="21" spans="1:12" x14ac:dyDescent="0.25">
      <c r="A21" s="58" t="s">
        <v>83</v>
      </c>
      <c r="B21" s="59" t="s">
        <v>24</v>
      </c>
      <c r="C21" s="59" t="s">
        <v>84</v>
      </c>
      <c r="D21" s="59" t="s">
        <v>85</v>
      </c>
      <c r="E21" s="59" t="s">
        <v>86</v>
      </c>
      <c r="F21" s="60">
        <v>44865</v>
      </c>
      <c r="G21" s="59"/>
      <c r="H21" s="59"/>
      <c r="I21" s="59" t="s">
        <v>17</v>
      </c>
      <c r="J21" s="59" t="s">
        <v>29</v>
      </c>
      <c r="K21" s="59"/>
      <c r="L21" s="61"/>
    </row>
    <row r="22" spans="1:12" x14ac:dyDescent="0.25">
      <c r="A22" s="54" t="s">
        <v>87</v>
      </c>
      <c r="B22" s="55" t="s">
        <v>13</v>
      </c>
      <c r="C22" s="55" t="s">
        <v>88</v>
      </c>
      <c r="D22" s="55" t="s">
        <v>89</v>
      </c>
      <c r="E22" s="55" t="s">
        <v>90</v>
      </c>
      <c r="F22" s="56">
        <v>44865</v>
      </c>
      <c r="G22" s="56">
        <v>44866</v>
      </c>
      <c r="H22" s="55"/>
      <c r="I22" s="55" t="s">
        <v>17</v>
      </c>
      <c r="J22" s="55" t="s">
        <v>18</v>
      </c>
      <c r="K22" s="55"/>
      <c r="L22" s="57"/>
    </row>
    <row r="23" spans="1:12" x14ac:dyDescent="0.25">
      <c r="A23" s="58" t="s">
        <v>91</v>
      </c>
      <c r="B23" s="59" t="s">
        <v>31</v>
      </c>
      <c r="C23" s="59" t="s">
        <v>78</v>
      </c>
      <c r="D23" s="59" t="s">
        <v>79</v>
      </c>
      <c r="E23" s="59" t="s">
        <v>92</v>
      </c>
      <c r="F23" s="60">
        <v>44866</v>
      </c>
      <c r="G23" s="60">
        <v>44866</v>
      </c>
      <c r="H23" s="59"/>
      <c r="I23" s="59" t="s">
        <v>17</v>
      </c>
      <c r="J23" s="59" t="s">
        <v>29</v>
      </c>
      <c r="K23" s="59"/>
      <c r="L23" s="61"/>
    </row>
    <row r="24" spans="1:12" x14ac:dyDescent="0.25">
      <c r="A24" s="54" t="s">
        <v>93</v>
      </c>
      <c r="B24" s="55" t="s">
        <v>24</v>
      </c>
      <c r="C24" s="55" t="s">
        <v>94</v>
      </c>
      <c r="D24" s="55" t="s">
        <v>95</v>
      </c>
      <c r="E24" s="55" t="s">
        <v>96</v>
      </c>
      <c r="F24" s="56">
        <v>44867</v>
      </c>
      <c r="G24" s="55"/>
      <c r="H24" s="55"/>
      <c r="I24" s="55" t="s">
        <v>28</v>
      </c>
      <c r="J24" s="55" t="s">
        <v>29</v>
      </c>
      <c r="K24" s="55"/>
      <c r="L24" s="57"/>
    </row>
    <row r="25" spans="1:12" x14ac:dyDescent="0.25">
      <c r="A25" s="58" t="s">
        <v>97</v>
      </c>
      <c r="B25" s="59" t="s">
        <v>24</v>
      </c>
      <c r="C25" s="59" t="s">
        <v>94</v>
      </c>
      <c r="D25" s="59" t="s">
        <v>95</v>
      </c>
      <c r="E25" s="59" t="s">
        <v>98</v>
      </c>
      <c r="F25" s="60">
        <v>44867</v>
      </c>
      <c r="G25" s="59"/>
      <c r="H25" s="59"/>
      <c r="I25" s="59" t="s">
        <v>17</v>
      </c>
      <c r="J25" s="59" t="s">
        <v>29</v>
      </c>
      <c r="K25" s="59"/>
      <c r="L25" s="61"/>
    </row>
    <row r="26" spans="1:12" x14ac:dyDescent="0.25">
      <c r="A26" s="54" t="s">
        <v>99</v>
      </c>
      <c r="B26" s="55" t="s">
        <v>24</v>
      </c>
      <c r="C26" s="55" t="s">
        <v>100</v>
      </c>
      <c r="D26" s="55" t="s">
        <v>101</v>
      </c>
      <c r="E26" s="55" t="s">
        <v>102</v>
      </c>
      <c r="F26" s="56">
        <v>44872</v>
      </c>
      <c r="G26" s="56">
        <v>44873</v>
      </c>
      <c r="H26" s="55"/>
      <c r="I26" s="55" t="s">
        <v>28</v>
      </c>
      <c r="J26" s="55" t="s">
        <v>29</v>
      </c>
      <c r="K26" s="55"/>
      <c r="L26" s="57"/>
    </row>
    <row r="27" spans="1:12" x14ac:dyDescent="0.25">
      <c r="A27" s="58" t="s">
        <v>103</v>
      </c>
      <c r="B27" s="59" t="s">
        <v>13</v>
      </c>
      <c r="C27" s="59" t="s">
        <v>104</v>
      </c>
      <c r="D27" s="59" t="s">
        <v>105</v>
      </c>
      <c r="E27" s="59" t="s">
        <v>106</v>
      </c>
      <c r="F27" s="60">
        <v>44872</v>
      </c>
      <c r="G27" s="60">
        <v>44872</v>
      </c>
      <c r="H27" s="59"/>
      <c r="I27" s="59" t="s">
        <v>17</v>
      </c>
      <c r="J27" s="59" t="s">
        <v>29</v>
      </c>
      <c r="K27" s="59"/>
      <c r="L27" s="61"/>
    </row>
    <row r="28" spans="1:12" x14ac:dyDescent="0.25">
      <c r="A28" s="54" t="s">
        <v>107</v>
      </c>
      <c r="B28" s="55" t="s">
        <v>24</v>
      </c>
      <c r="C28" s="55" t="s">
        <v>35</v>
      </c>
      <c r="D28" s="55" t="s">
        <v>36</v>
      </c>
      <c r="E28" s="55" t="s">
        <v>108</v>
      </c>
      <c r="F28" s="56">
        <v>44873</v>
      </c>
      <c r="G28" s="55"/>
      <c r="H28" s="55"/>
      <c r="I28" s="55" t="s">
        <v>28</v>
      </c>
      <c r="J28" s="55" t="s">
        <v>29</v>
      </c>
      <c r="K28" s="55"/>
      <c r="L28" s="57"/>
    </row>
    <row r="29" spans="1:12" x14ac:dyDescent="0.25">
      <c r="A29" s="58" t="s">
        <v>109</v>
      </c>
      <c r="B29" s="59" t="s">
        <v>13</v>
      </c>
      <c r="C29" s="59" t="s">
        <v>110</v>
      </c>
      <c r="D29" s="59" t="s">
        <v>111</v>
      </c>
      <c r="E29" s="59" t="s">
        <v>112</v>
      </c>
      <c r="F29" s="60">
        <v>44874</v>
      </c>
      <c r="G29" s="60">
        <v>44874</v>
      </c>
      <c r="H29" s="59"/>
      <c r="I29" s="59" t="s">
        <v>28</v>
      </c>
      <c r="J29" s="59" t="s">
        <v>29</v>
      </c>
      <c r="K29" s="59"/>
      <c r="L29" s="61"/>
    </row>
    <row r="30" spans="1:12" x14ac:dyDescent="0.25">
      <c r="A30" s="54" t="s">
        <v>113</v>
      </c>
      <c r="B30" s="55" t="s">
        <v>24</v>
      </c>
      <c r="C30" s="55" t="s">
        <v>100</v>
      </c>
      <c r="D30" s="55" t="s">
        <v>101</v>
      </c>
      <c r="E30" s="55" t="s">
        <v>114</v>
      </c>
      <c r="F30" s="56">
        <v>44874</v>
      </c>
      <c r="G30" s="55"/>
      <c r="H30" s="55"/>
      <c r="I30" s="55" t="s">
        <v>17</v>
      </c>
      <c r="J30" s="55" t="s">
        <v>29</v>
      </c>
      <c r="K30" s="55"/>
      <c r="L30" s="57"/>
    </row>
    <row r="31" spans="1:12" x14ac:dyDescent="0.25">
      <c r="A31" s="58" t="s">
        <v>115</v>
      </c>
      <c r="B31" s="59" t="s">
        <v>13</v>
      </c>
      <c r="C31" s="59" t="s">
        <v>51</v>
      </c>
      <c r="D31" s="59" t="s">
        <v>61</v>
      </c>
      <c r="E31" s="59" t="s">
        <v>116</v>
      </c>
      <c r="F31" s="60">
        <v>44883</v>
      </c>
      <c r="G31" s="60">
        <v>44883</v>
      </c>
      <c r="H31" s="59"/>
      <c r="I31" s="59" t="s">
        <v>28</v>
      </c>
      <c r="J31" s="59" t="s">
        <v>29</v>
      </c>
      <c r="K31" s="59"/>
      <c r="L31" s="61"/>
    </row>
    <row r="32" spans="1:12" x14ac:dyDescent="0.25">
      <c r="A32" s="54" t="s">
        <v>117</v>
      </c>
      <c r="B32" s="55" t="s">
        <v>13</v>
      </c>
      <c r="C32" s="55" t="s">
        <v>70</v>
      </c>
      <c r="D32" s="55" t="s">
        <v>71</v>
      </c>
      <c r="E32" s="55" t="s">
        <v>118</v>
      </c>
      <c r="F32" s="56">
        <v>44887</v>
      </c>
      <c r="G32" s="55"/>
      <c r="H32" s="55"/>
      <c r="I32" s="55" t="s">
        <v>17</v>
      </c>
      <c r="J32" s="55" t="s">
        <v>29</v>
      </c>
      <c r="K32" s="55"/>
      <c r="L32" s="57"/>
    </row>
    <row r="33" spans="1:12" x14ac:dyDescent="0.25">
      <c r="A33" s="58" t="s">
        <v>119</v>
      </c>
      <c r="B33" s="59" t="s">
        <v>13</v>
      </c>
      <c r="C33" s="59" t="s">
        <v>47</v>
      </c>
      <c r="D33" s="59" t="s">
        <v>48</v>
      </c>
      <c r="E33" s="59" t="s">
        <v>120</v>
      </c>
      <c r="F33" s="60">
        <v>44894</v>
      </c>
      <c r="G33" s="60">
        <v>44894</v>
      </c>
      <c r="H33" s="59"/>
      <c r="I33" s="59" t="s">
        <v>28</v>
      </c>
      <c r="J33" s="59" t="s">
        <v>29</v>
      </c>
      <c r="K33" s="59"/>
      <c r="L33" s="61"/>
    </row>
    <row r="34" spans="1:12" x14ac:dyDescent="0.25">
      <c r="A34" s="54" t="s">
        <v>121</v>
      </c>
      <c r="B34" s="55" t="s">
        <v>24</v>
      </c>
      <c r="C34" s="55" t="s">
        <v>122</v>
      </c>
      <c r="D34" s="55" t="s">
        <v>123</v>
      </c>
      <c r="E34" s="55" t="s">
        <v>124</v>
      </c>
      <c r="F34" s="56">
        <v>44897</v>
      </c>
      <c r="G34" s="55"/>
      <c r="H34" s="55"/>
      <c r="I34" s="55" t="s">
        <v>28</v>
      </c>
      <c r="J34" s="55" t="s">
        <v>29</v>
      </c>
      <c r="K34" s="55"/>
      <c r="L34" s="57"/>
    </row>
    <row r="35" spans="1:12" x14ac:dyDescent="0.25">
      <c r="A35" s="58" t="s">
        <v>125</v>
      </c>
      <c r="B35" s="59" t="s">
        <v>24</v>
      </c>
      <c r="C35" s="59" t="s">
        <v>126</v>
      </c>
      <c r="D35" s="59" t="s">
        <v>36</v>
      </c>
      <c r="E35" s="59" t="s">
        <v>127</v>
      </c>
      <c r="F35" s="60">
        <v>44897</v>
      </c>
      <c r="G35" s="59"/>
      <c r="H35" s="59"/>
      <c r="I35" s="59" t="s">
        <v>28</v>
      </c>
      <c r="J35" s="59" t="s">
        <v>29</v>
      </c>
      <c r="K35" s="59"/>
      <c r="L35" s="61"/>
    </row>
    <row r="36" spans="1:12" x14ac:dyDescent="0.25">
      <c r="A36" s="54" t="s">
        <v>128</v>
      </c>
      <c r="B36" s="55" t="s">
        <v>24</v>
      </c>
      <c r="C36" s="55" t="s">
        <v>122</v>
      </c>
      <c r="D36" s="55" t="s">
        <v>123</v>
      </c>
      <c r="E36" s="55" t="s">
        <v>129</v>
      </c>
      <c r="F36" s="56">
        <v>44900</v>
      </c>
      <c r="G36" s="55"/>
      <c r="H36" s="55"/>
      <c r="I36" s="55" t="s">
        <v>28</v>
      </c>
      <c r="J36" s="55" t="s">
        <v>29</v>
      </c>
      <c r="K36" s="55"/>
      <c r="L36" s="57"/>
    </row>
    <row r="37" spans="1:12" x14ac:dyDescent="0.25">
      <c r="A37" s="58" t="s">
        <v>130</v>
      </c>
      <c r="B37" s="59" t="s">
        <v>24</v>
      </c>
      <c r="C37" s="59" t="s">
        <v>43</v>
      </c>
      <c r="D37" s="59" t="s">
        <v>131</v>
      </c>
      <c r="E37" s="59" t="s">
        <v>132</v>
      </c>
      <c r="F37" s="60">
        <v>44901</v>
      </c>
      <c r="G37" s="59"/>
      <c r="H37" s="59"/>
      <c r="I37" s="59" t="s">
        <v>28</v>
      </c>
      <c r="J37" s="59" t="s">
        <v>29</v>
      </c>
      <c r="K37" s="59" t="s">
        <v>133</v>
      </c>
      <c r="L37" s="61"/>
    </row>
    <row r="38" spans="1:12" x14ac:dyDescent="0.25">
      <c r="A38" s="54" t="s">
        <v>134</v>
      </c>
      <c r="B38" s="55" t="s">
        <v>135</v>
      </c>
      <c r="C38" s="55" t="s">
        <v>136</v>
      </c>
      <c r="D38" s="55" t="s">
        <v>137</v>
      </c>
      <c r="E38" s="55" t="s">
        <v>138</v>
      </c>
      <c r="F38" s="56">
        <v>44904</v>
      </c>
      <c r="G38" s="55"/>
      <c r="H38" s="55"/>
      <c r="I38" s="55" t="s">
        <v>17</v>
      </c>
      <c r="J38" s="55" t="s">
        <v>18</v>
      </c>
      <c r="K38" s="55"/>
      <c r="L38" s="57"/>
    </row>
    <row r="39" spans="1:12" x14ac:dyDescent="0.25">
      <c r="A39" s="58" t="s">
        <v>139</v>
      </c>
      <c r="B39" s="59" t="s">
        <v>13</v>
      </c>
      <c r="C39" s="59" t="s">
        <v>110</v>
      </c>
      <c r="D39" s="59" t="s">
        <v>111</v>
      </c>
      <c r="E39" s="59" t="s">
        <v>140</v>
      </c>
      <c r="F39" s="60">
        <v>44909</v>
      </c>
      <c r="G39" s="59"/>
      <c r="H39" s="59"/>
      <c r="I39" s="59" t="s">
        <v>17</v>
      </c>
      <c r="J39" s="59" t="s">
        <v>29</v>
      </c>
      <c r="K39" s="59"/>
      <c r="L39" s="61"/>
    </row>
    <row r="40" spans="1:12" x14ac:dyDescent="0.25">
      <c r="A40" s="54" t="s">
        <v>141</v>
      </c>
      <c r="B40" s="55" t="s">
        <v>13</v>
      </c>
      <c r="C40" s="55" t="s">
        <v>51</v>
      </c>
      <c r="D40" s="55" t="s">
        <v>61</v>
      </c>
      <c r="E40" s="55" t="s">
        <v>142</v>
      </c>
      <c r="F40" s="56">
        <v>44911</v>
      </c>
      <c r="G40" s="56">
        <v>44915</v>
      </c>
      <c r="H40" s="55"/>
      <c r="I40" s="55" t="s">
        <v>17</v>
      </c>
      <c r="J40" s="55" t="s">
        <v>18</v>
      </c>
      <c r="K40" s="55"/>
      <c r="L40" s="57"/>
    </row>
    <row r="41" spans="1:12" x14ac:dyDescent="0.25">
      <c r="A41" s="58" t="s">
        <v>143</v>
      </c>
      <c r="B41" s="59" t="s">
        <v>13</v>
      </c>
      <c r="C41" s="59" t="s">
        <v>104</v>
      </c>
      <c r="D41" s="59" t="s">
        <v>105</v>
      </c>
      <c r="E41" s="59" t="s">
        <v>142</v>
      </c>
      <c r="F41" s="60">
        <v>44915</v>
      </c>
      <c r="G41" s="59"/>
      <c r="H41" s="59"/>
      <c r="I41" s="59" t="s">
        <v>17</v>
      </c>
      <c r="J41" s="59" t="s">
        <v>18</v>
      </c>
      <c r="K41" s="59"/>
      <c r="L41" s="61"/>
    </row>
    <row r="42" spans="1:12" x14ac:dyDescent="0.25">
      <c r="A42" s="54" t="s">
        <v>144</v>
      </c>
      <c r="B42" s="55" t="s">
        <v>135</v>
      </c>
      <c r="C42" s="55" t="s">
        <v>78</v>
      </c>
      <c r="D42" s="55" t="s">
        <v>79</v>
      </c>
      <c r="E42" s="55" t="s">
        <v>145</v>
      </c>
      <c r="F42" s="56">
        <v>44917</v>
      </c>
      <c r="G42" s="55"/>
      <c r="H42" s="55"/>
      <c r="I42" s="55" t="s">
        <v>28</v>
      </c>
      <c r="J42" s="55" t="s">
        <v>29</v>
      </c>
      <c r="K42" s="55"/>
      <c r="L42" s="57"/>
    </row>
    <row r="43" spans="1:12" x14ac:dyDescent="0.25">
      <c r="A43" s="58" t="s">
        <v>146</v>
      </c>
      <c r="B43" s="59" t="s">
        <v>13</v>
      </c>
      <c r="C43" s="59" t="s">
        <v>136</v>
      </c>
      <c r="D43" s="59" t="s">
        <v>147</v>
      </c>
      <c r="E43" s="59" t="s">
        <v>148</v>
      </c>
      <c r="F43" s="60">
        <v>44930</v>
      </c>
      <c r="G43" s="59"/>
      <c r="H43" s="59"/>
      <c r="I43" s="59" t="s">
        <v>17</v>
      </c>
      <c r="J43" s="59" t="s">
        <v>29</v>
      </c>
      <c r="K43" s="59"/>
      <c r="L43" s="61"/>
    </row>
    <row r="44" spans="1:12" x14ac:dyDescent="0.25">
      <c r="A44" s="54" t="s">
        <v>149</v>
      </c>
      <c r="B44" s="55" t="s">
        <v>135</v>
      </c>
      <c r="C44" s="55" t="s">
        <v>55</v>
      </c>
      <c r="D44" s="55" t="s">
        <v>150</v>
      </c>
      <c r="E44" s="55" t="s">
        <v>151</v>
      </c>
      <c r="F44" s="56">
        <v>44931</v>
      </c>
      <c r="G44" s="55"/>
      <c r="H44" s="55"/>
      <c r="I44" s="55" t="s">
        <v>17</v>
      </c>
      <c r="J44" s="55" t="s">
        <v>29</v>
      </c>
      <c r="K44" s="55"/>
      <c r="L44" s="57"/>
    </row>
    <row r="45" spans="1:12" x14ac:dyDescent="0.25">
      <c r="A45" s="58" t="s">
        <v>152</v>
      </c>
      <c r="B45" s="59" t="s">
        <v>13</v>
      </c>
      <c r="C45" s="59" t="s">
        <v>104</v>
      </c>
      <c r="D45" s="59" t="s">
        <v>105</v>
      </c>
      <c r="E45" s="59" t="s">
        <v>153</v>
      </c>
      <c r="F45" s="60">
        <v>44942</v>
      </c>
      <c r="G45" s="60">
        <v>44942</v>
      </c>
      <c r="H45" s="59"/>
      <c r="I45" s="59" t="s">
        <v>28</v>
      </c>
      <c r="J45" s="59" t="s">
        <v>29</v>
      </c>
      <c r="K45" s="59"/>
      <c r="L45" s="61"/>
    </row>
    <row r="46" spans="1:12" x14ac:dyDescent="0.25">
      <c r="A46" s="54" t="s">
        <v>154</v>
      </c>
      <c r="B46" s="55" t="s">
        <v>13</v>
      </c>
      <c r="C46" s="55" t="s">
        <v>110</v>
      </c>
      <c r="D46" s="55" t="s">
        <v>111</v>
      </c>
      <c r="E46" s="55" t="s">
        <v>155</v>
      </c>
      <c r="F46" s="56">
        <v>44943</v>
      </c>
      <c r="G46" s="56">
        <v>44943</v>
      </c>
      <c r="H46" s="55"/>
      <c r="I46" s="55" t="s">
        <v>28</v>
      </c>
      <c r="J46" s="55" t="s">
        <v>29</v>
      </c>
      <c r="K46" s="55"/>
      <c r="L46" s="57"/>
    </row>
    <row r="47" spans="1:12" x14ac:dyDescent="0.25">
      <c r="A47" s="58" t="s">
        <v>156</v>
      </c>
      <c r="B47" s="59" t="s">
        <v>24</v>
      </c>
      <c r="C47" s="59" t="s">
        <v>35</v>
      </c>
      <c r="D47" s="59" t="s">
        <v>36</v>
      </c>
      <c r="E47" s="59" t="s">
        <v>157</v>
      </c>
      <c r="F47" s="60">
        <v>44944</v>
      </c>
      <c r="G47" s="59"/>
      <c r="H47" s="59"/>
      <c r="I47" s="59" t="s">
        <v>28</v>
      </c>
      <c r="J47" s="59"/>
      <c r="K47" s="59"/>
      <c r="L47" s="61"/>
    </row>
    <row r="48" spans="1:12" x14ac:dyDescent="0.25">
      <c r="A48" s="54" t="s">
        <v>158</v>
      </c>
      <c r="B48" s="55" t="s">
        <v>13</v>
      </c>
      <c r="C48" s="55" t="s">
        <v>159</v>
      </c>
      <c r="D48" s="55" t="s">
        <v>160</v>
      </c>
      <c r="E48" s="55" t="s">
        <v>161</v>
      </c>
      <c r="F48" s="56">
        <v>44946</v>
      </c>
      <c r="G48" s="56">
        <v>44951</v>
      </c>
      <c r="H48" s="55"/>
      <c r="I48" s="55" t="s">
        <v>17</v>
      </c>
      <c r="J48" s="55" t="s">
        <v>29</v>
      </c>
      <c r="K48" s="55"/>
      <c r="L48" s="57"/>
    </row>
    <row r="49" spans="1:12" x14ac:dyDescent="0.25">
      <c r="A49" s="58" t="s">
        <v>162</v>
      </c>
      <c r="B49" s="59" t="s">
        <v>24</v>
      </c>
      <c r="C49" s="59" t="s">
        <v>163</v>
      </c>
      <c r="D49" s="59" t="s">
        <v>164</v>
      </c>
      <c r="E49" s="59" t="s">
        <v>165</v>
      </c>
      <c r="F49" s="60">
        <v>44951</v>
      </c>
      <c r="G49" s="59"/>
      <c r="H49" s="59"/>
      <c r="I49" s="59" t="s">
        <v>28</v>
      </c>
      <c r="J49" s="59" t="s">
        <v>29</v>
      </c>
      <c r="K49" s="59"/>
      <c r="L49" s="61"/>
    </row>
    <row r="50" spans="1:12" x14ac:dyDescent="0.25">
      <c r="A50" s="54" t="s">
        <v>166</v>
      </c>
      <c r="B50" s="55" t="s">
        <v>167</v>
      </c>
      <c r="C50" s="55" t="s">
        <v>168</v>
      </c>
      <c r="D50" s="55" t="s">
        <v>169</v>
      </c>
      <c r="E50" s="55" t="s">
        <v>170</v>
      </c>
      <c r="F50" s="56">
        <v>44951</v>
      </c>
      <c r="G50" s="56">
        <v>44952</v>
      </c>
      <c r="H50" s="55"/>
      <c r="I50" s="55" t="s">
        <v>28</v>
      </c>
      <c r="J50" s="55" t="s">
        <v>29</v>
      </c>
      <c r="K50" s="55"/>
      <c r="L50" s="57"/>
    </row>
    <row r="51" spans="1:12" x14ac:dyDescent="0.25">
      <c r="A51" s="58" t="s">
        <v>171</v>
      </c>
      <c r="B51" s="59" t="s">
        <v>24</v>
      </c>
      <c r="C51" s="59" t="s">
        <v>172</v>
      </c>
      <c r="D51" s="59" t="s">
        <v>173</v>
      </c>
      <c r="E51" s="59" t="s">
        <v>174</v>
      </c>
      <c r="F51" s="60">
        <v>44952</v>
      </c>
      <c r="G51" s="59"/>
      <c r="H51" s="59"/>
      <c r="I51" s="59" t="s">
        <v>17</v>
      </c>
      <c r="J51" s="59"/>
      <c r="K51" s="59"/>
      <c r="L51" s="61"/>
    </row>
    <row r="52" spans="1:12" x14ac:dyDescent="0.25">
      <c r="A52" s="54" t="s">
        <v>175</v>
      </c>
      <c r="B52" s="55" t="s">
        <v>176</v>
      </c>
      <c r="C52" s="55" t="s">
        <v>177</v>
      </c>
      <c r="D52" s="55" t="s">
        <v>178</v>
      </c>
      <c r="E52" s="55" t="s">
        <v>179</v>
      </c>
      <c r="F52" s="56">
        <v>44957</v>
      </c>
      <c r="G52" s="55"/>
      <c r="H52" s="55"/>
      <c r="I52" s="55" t="s">
        <v>17</v>
      </c>
      <c r="J52" s="55" t="s">
        <v>18</v>
      </c>
      <c r="K52" s="55"/>
      <c r="L52" s="57"/>
    </row>
    <row r="53" spans="1:12" x14ac:dyDescent="0.25">
      <c r="A53" s="58" t="s">
        <v>180</v>
      </c>
      <c r="B53" s="59" t="s">
        <v>13</v>
      </c>
      <c r="C53" s="59" t="s">
        <v>104</v>
      </c>
      <c r="D53" s="59" t="s">
        <v>105</v>
      </c>
      <c r="E53" s="59" t="s">
        <v>181</v>
      </c>
      <c r="F53" s="60">
        <v>44957</v>
      </c>
      <c r="G53" s="59"/>
      <c r="H53" s="59"/>
      <c r="I53" s="59" t="s">
        <v>28</v>
      </c>
      <c r="J53" s="59" t="s">
        <v>29</v>
      </c>
      <c r="K53" s="59"/>
      <c r="L53" s="61"/>
    </row>
    <row r="54" spans="1:12" x14ac:dyDescent="0.25">
      <c r="A54" s="54" t="s">
        <v>182</v>
      </c>
      <c r="B54" s="55" t="s">
        <v>13</v>
      </c>
      <c r="C54" s="55" t="s">
        <v>183</v>
      </c>
      <c r="D54" s="55" t="s">
        <v>184</v>
      </c>
      <c r="E54" s="55" t="s">
        <v>185</v>
      </c>
      <c r="F54" s="56">
        <v>44945</v>
      </c>
      <c r="G54" s="56">
        <v>44945</v>
      </c>
      <c r="H54" s="55"/>
      <c r="I54" s="55" t="s">
        <v>17</v>
      </c>
      <c r="J54" s="55" t="s">
        <v>18</v>
      </c>
      <c r="K54" s="55"/>
      <c r="L54" s="57"/>
    </row>
    <row r="55" spans="1:12" x14ac:dyDescent="0.25">
      <c r="A55" s="58" t="s">
        <v>186</v>
      </c>
      <c r="B55" s="59" t="s">
        <v>24</v>
      </c>
      <c r="C55" s="59" t="s">
        <v>187</v>
      </c>
      <c r="D55" s="59" t="s">
        <v>188</v>
      </c>
      <c r="E55" s="59" t="s">
        <v>189</v>
      </c>
      <c r="F55" s="60">
        <v>44958</v>
      </c>
      <c r="G55" s="59"/>
      <c r="H55" s="59"/>
      <c r="I55" s="59" t="s">
        <v>17</v>
      </c>
      <c r="J55" s="59"/>
      <c r="K55" s="59"/>
      <c r="L55" s="61"/>
    </row>
    <row r="56" spans="1:12" x14ac:dyDescent="0.25">
      <c r="A56" s="54" t="s">
        <v>190</v>
      </c>
      <c r="B56" s="55" t="s">
        <v>13</v>
      </c>
      <c r="C56" s="55" t="s">
        <v>191</v>
      </c>
      <c r="D56" s="55" t="s">
        <v>192</v>
      </c>
      <c r="E56" s="55" t="s">
        <v>193</v>
      </c>
      <c r="F56" s="56">
        <v>44958</v>
      </c>
      <c r="G56" s="55"/>
      <c r="H56" s="55"/>
      <c r="I56" s="55" t="s">
        <v>17</v>
      </c>
      <c r="J56" s="55" t="s">
        <v>18</v>
      </c>
      <c r="K56" s="55"/>
      <c r="L56" s="57"/>
    </row>
    <row r="57" spans="1:12" x14ac:dyDescent="0.25">
      <c r="A57" s="58" t="s">
        <v>194</v>
      </c>
      <c r="B57" s="59" t="s">
        <v>24</v>
      </c>
      <c r="C57" s="59" t="s">
        <v>195</v>
      </c>
      <c r="D57" s="59" t="s">
        <v>196</v>
      </c>
      <c r="E57" s="59" t="s">
        <v>197</v>
      </c>
      <c r="F57" s="60">
        <v>44960</v>
      </c>
      <c r="G57" s="59"/>
      <c r="H57" s="59"/>
      <c r="I57" s="59" t="s">
        <v>28</v>
      </c>
      <c r="J57" s="59"/>
      <c r="K57" s="59"/>
      <c r="L57" s="61"/>
    </row>
    <row r="58" spans="1:12" x14ac:dyDescent="0.25">
      <c r="A58" s="54" t="s">
        <v>198</v>
      </c>
      <c r="B58" s="55" t="s">
        <v>24</v>
      </c>
      <c r="C58" s="55" t="s">
        <v>126</v>
      </c>
      <c r="D58" s="55" t="s">
        <v>36</v>
      </c>
      <c r="E58" s="55" t="s">
        <v>199</v>
      </c>
      <c r="F58" s="56">
        <v>44964</v>
      </c>
      <c r="G58" s="55"/>
      <c r="H58" s="55"/>
      <c r="I58" s="55" t="s">
        <v>28</v>
      </c>
      <c r="J58" s="55"/>
      <c r="K58" s="55"/>
      <c r="L58" s="57"/>
    </row>
    <row r="59" spans="1:12" x14ac:dyDescent="0.25">
      <c r="A59" s="58" t="s">
        <v>200</v>
      </c>
      <c r="B59" s="59" t="s">
        <v>24</v>
      </c>
      <c r="C59" s="59" t="s">
        <v>126</v>
      </c>
      <c r="D59" s="59" t="s">
        <v>36</v>
      </c>
      <c r="E59" s="59" t="s">
        <v>201</v>
      </c>
      <c r="F59" s="60">
        <v>44964</v>
      </c>
      <c r="G59" s="59"/>
      <c r="H59" s="59"/>
      <c r="I59" s="59" t="s">
        <v>28</v>
      </c>
      <c r="J59" s="59"/>
      <c r="K59" s="59"/>
      <c r="L59" s="61"/>
    </row>
    <row r="60" spans="1:12" x14ac:dyDescent="0.25">
      <c r="A60" s="54" t="s">
        <v>202</v>
      </c>
      <c r="B60" s="55" t="s">
        <v>24</v>
      </c>
      <c r="C60" s="55" t="s">
        <v>126</v>
      </c>
      <c r="D60" s="55" t="s">
        <v>36</v>
      </c>
      <c r="E60" s="55" t="s">
        <v>203</v>
      </c>
      <c r="F60" s="56">
        <v>44964</v>
      </c>
      <c r="G60" s="55"/>
      <c r="H60" s="55"/>
      <c r="I60" s="55" t="s">
        <v>28</v>
      </c>
      <c r="J60" s="55"/>
      <c r="K60" s="55"/>
      <c r="L60" s="57"/>
    </row>
    <row r="61" spans="1:12" x14ac:dyDescent="0.25">
      <c r="A61" s="58" t="s">
        <v>204</v>
      </c>
      <c r="B61" s="59" t="s">
        <v>24</v>
      </c>
      <c r="C61" s="59" t="s">
        <v>126</v>
      </c>
      <c r="D61" s="59" t="s">
        <v>36</v>
      </c>
      <c r="E61" s="59" t="s">
        <v>205</v>
      </c>
      <c r="F61" s="60">
        <v>44964</v>
      </c>
      <c r="G61" s="59"/>
      <c r="H61" s="59"/>
      <c r="I61" s="59" t="s">
        <v>28</v>
      </c>
      <c r="J61" s="59"/>
      <c r="K61" s="59"/>
      <c r="L61" s="61"/>
    </row>
    <row r="62" spans="1:12" x14ac:dyDescent="0.25">
      <c r="A62" s="54" t="s">
        <v>206</v>
      </c>
      <c r="B62" s="55" t="s">
        <v>24</v>
      </c>
      <c r="C62" s="55" t="s">
        <v>126</v>
      </c>
      <c r="D62" s="55" t="s">
        <v>36</v>
      </c>
      <c r="E62" s="55" t="s">
        <v>207</v>
      </c>
      <c r="F62" s="56">
        <v>44964</v>
      </c>
      <c r="G62" s="55"/>
      <c r="H62" s="55"/>
      <c r="I62" s="55" t="s">
        <v>28</v>
      </c>
      <c r="J62" s="55"/>
      <c r="K62" s="55"/>
      <c r="L62" s="57"/>
    </row>
    <row r="63" spans="1:12" x14ac:dyDescent="0.25">
      <c r="A63" s="58" t="s">
        <v>208</v>
      </c>
      <c r="B63" s="59" t="s">
        <v>24</v>
      </c>
      <c r="C63" s="59" t="s">
        <v>126</v>
      </c>
      <c r="D63" s="59" t="s">
        <v>36</v>
      </c>
      <c r="E63" s="59" t="s">
        <v>209</v>
      </c>
      <c r="F63" s="60">
        <v>44965</v>
      </c>
      <c r="G63" s="59"/>
      <c r="H63" s="59"/>
      <c r="I63" s="59" t="s">
        <v>28</v>
      </c>
      <c r="J63" s="59"/>
      <c r="K63" s="59"/>
      <c r="L63" s="61"/>
    </row>
    <row r="64" spans="1:12" x14ac:dyDescent="0.25">
      <c r="A64" s="54" t="s">
        <v>210</v>
      </c>
      <c r="B64" s="55" t="s">
        <v>24</v>
      </c>
      <c r="C64" s="55" t="s">
        <v>211</v>
      </c>
      <c r="D64" s="55" t="s">
        <v>212</v>
      </c>
      <c r="E64" s="55" t="s">
        <v>213</v>
      </c>
      <c r="F64" s="56">
        <v>44967</v>
      </c>
      <c r="G64" s="55"/>
      <c r="H64" s="55"/>
      <c r="I64" s="55" t="s">
        <v>17</v>
      </c>
      <c r="J64" s="55"/>
      <c r="K64" s="55"/>
      <c r="L64" s="57"/>
    </row>
    <row r="65" spans="1:12" x14ac:dyDescent="0.25">
      <c r="A65" s="58" t="s">
        <v>214</v>
      </c>
      <c r="B65" s="59" t="s">
        <v>24</v>
      </c>
      <c r="C65" s="59" t="s">
        <v>211</v>
      </c>
      <c r="D65" s="59" t="s">
        <v>212</v>
      </c>
      <c r="E65" s="59" t="s">
        <v>215</v>
      </c>
      <c r="F65" s="60">
        <v>44967</v>
      </c>
      <c r="G65" s="59"/>
      <c r="H65" s="59"/>
      <c r="I65" s="59" t="s">
        <v>28</v>
      </c>
      <c r="J65" s="59"/>
      <c r="K65" s="59"/>
      <c r="L65" s="61"/>
    </row>
    <row r="66" spans="1:12" x14ac:dyDescent="0.25">
      <c r="A66" s="54" t="s">
        <v>216</v>
      </c>
      <c r="B66" s="55" t="s">
        <v>13</v>
      </c>
      <c r="C66" s="55" t="s">
        <v>183</v>
      </c>
      <c r="D66" s="55" t="s">
        <v>217</v>
      </c>
      <c r="E66" s="55" t="s">
        <v>218</v>
      </c>
      <c r="F66" s="56">
        <v>44968</v>
      </c>
      <c r="G66" s="55"/>
      <c r="H66" s="55"/>
      <c r="I66" s="55" t="s">
        <v>17</v>
      </c>
      <c r="J66" s="55"/>
      <c r="K66" s="55"/>
      <c r="L66" s="57"/>
    </row>
    <row r="67" spans="1:12" x14ac:dyDescent="0.25">
      <c r="A67" s="58" t="s">
        <v>219</v>
      </c>
      <c r="B67" s="59" t="s">
        <v>220</v>
      </c>
      <c r="C67" s="59" t="s">
        <v>168</v>
      </c>
      <c r="D67" s="59" t="s">
        <v>221</v>
      </c>
      <c r="E67" s="59" t="s">
        <v>222</v>
      </c>
      <c r="F67" s="60">
        <v>44970</v>
      </c>
      <c r="G67" s="59"/>
      <c r="H67" s="59"/>
      <c r="I67" s="59" t="s">
        <v>28</v>
      </c>
      <c r="J67" s="59"/>
      <c r="K67" s="59"/>
      <c r="L67" s="61"/>
    </row>
    <row r="68" spans="1:12" x14ac:dyDescent="0.25">
      <c r="A68" s="54" t="s">
        <v>223</v>
      </c>
      <c r="B68" s="55" t="s">
        <v>224</v>
      </c>
      <c r="C68" s="55" t="s">
        <v>25</v>
      </c>
      <c r="D68" s="55" t="s">
        <v>225</v>
      </c>
      <c r="E68" s="55" t="s">
        <v>226</v>
      </c>
      <c r="F68" s="56">
        <v>44971</v>
      </c>
      <c r="G68" s="55"/>
      <c r="H68" s="55"/>
      <c r="I68" s="55" t="s">
        <v>28</v>
      </c>
      <c r="J68" s="55"/>
      <c r="K68" s="55"/>
      <c r="L68" s="57"/>
    </row>
    <row r="69" spans="1:12" x14ac:dyDescent="0.25">
      <c r="A69" s="58" t="s">
        <v>227</v>
      </c>
      <c r="B69" s="59" t="s">
        <v>135</v>
      </c>
      <c r="C69" s="59" t="s">
        <v>228</v>
      </c>
      <c r="D69" s="59" t="s">
        <v>150</v>
      </c>
      <c r="E69" s="59" t="s">
        <v>229</v>
      </c>
      <c r="F69" s="60">
        <v>44971</v>
      </c>
      <c r="G69" s="59"/>
      <c r="H69" s="59"/>
      <c r="I69" s="59" t="s">
        <v>28</v>
      </c>
      <c r="J69" s="59"/>
      <c r="K69" s="59"/>
      <c r="L69" s="61"/>
    </row>
    <row r="70" spans="1:12" x14ac:dyDescent="0.25">
      <c r="A70" s="54" t="s">
        <v>230</v>
      </c>
      <c r="B70" s="55" t="s">
        <v>231</v>
      </c>
      <c r="C70" s="55" t="s">
        <v>35</v>
      </c>
      <c r="D70" s="55" t="s">
        <v>232</v>
      </c>
      <c r="E70" s="55" t="s">
        <v>233</v>
      </c>
      <c r="F70" s="56">
        <v>44972</v>
      </c>
      <c r="G70" s="56">
        <v>44974</v>
      </c>
      <c r="H70" s="55"/>
      <c r="I70" s="55" t="s">
        <v>28</v>
      </c>
      <c r="J70" s="55"/>
      <c r="K70" s="55"/>
      <c r="L70" s="57"/>
    </row>
    <row r="71" spans="1:12" x14ac:dyDescent="0.25">
      <c r="A71" s="58" t="s">
        <v>234</v>
      </c>
      <c r="B71" s="59" t="s">
        <v>235</v>
      </c>
      <c r="C71" s="59" t="s">
        <v>55</v>
      </c>
      <c r="D71" s="59" t="s">
        <v>150</v>
      </c>
      <c r="E71" s="59" t="s">
        <v>236</v>
      </c>
      <c r="F71" s="60">
        <v>44970</v>
      </c>
      <c r="G71" s="59"/>
      <c r="H71" s="59"/>
      <c r="I71" s="59" t="s">
        <v>17</v>
      </c>
      <c r="J71" s="59" t="s">
        <v>29</v>
      </c>
      <c r="K71" s="59"/>
      <c r="L71" s="61"/>
    </row>
    <row r="72" spans="1:12" x14ac:dyDescent="0.25">
      <c r="A72" s="54" t="s">
        <v>237</v>
      </c>
      <c r="B72" s="55" t="s">
        <v>24</v>
      </c>
      <c r="C72" s="55" t="s">
        <v>110</v>
      </c>
      <c r="D72" s="55" t="s">
        <v>111</v>
      </c>
      <c r="E72" s="55" t="s">
        <v>238</v>
      </c>
      <c r="F72" s="56">
        <v>44979</v>
      </c>
      <c r="G72" s="55"/>
      <c r="H72" s="55"/>
      <c r="I72" s="55" t="s">
        <v>28</v>
      </c>
      <c r="J72" s="55"/>
      <c r="K72" s="55"/>
      <c r="L72" s="57"/>
    </row>
    <row r="73" spans="1:12" x14ac:dyDescent="0.25">
      <c r="A73" s="58" t="s">
        <v>239</v>
      </c>
      <c r="B73" s="59" t="s">
        <v>24</v>
      </c>
      <c r="C73" s="59" t="s">
        <v>64</v>
      </c>
      <c r="D73" s="59" t="s">
        <v>240</v>
      </c>
      <c r="E73" s="59" t="s">
        <v>241</v>
      </c>
      <c r="F73" s="60">
        <v>44980</v>
      </c>
      <c r="G73" s="59"/>
      <c r="H73" s="59"/>
      <c r="I73" s="59" t="s">
        <v>28</v>
      </c>
      <c r="J73" s="59"/>
      <c r="K73" s="59"/>
      <c r="L73" s="61"/>
    </row>
    <row r="74" spans="1:12" x14ac:dyDescent="0.25">
      <c r="A74" s="54" t="s">
        <v>242</v>
      </c>
      <c r="B74" s="55" t="s">
        <v>13</v>
      </c>
      <c r="C74" s="55" t="s">
        <v>243</v>
      </c>
      <c r="D74" s="55" t="s">
        <v>244</v>
      </c>
      <c r="E74" s="55" t="s">
        <v>245</v>
      </c>
      <c r="F74" s="56">
        <v>44986</v>
      </c>
      <c r="G74" s="55"/>
      <c r="H74" s="55"/>
      <c r="I74" s="55" t="s">
        <v>28</v>
      </c>
      <c r="J74" s="55" t="s">
        <v>29</v>
      </c>
      <c r="K74" s="55"/>
      <c r="L74" s="57"/>
    </row>
    <row r="75" spans="1:12" x14ac:dyDescent="0.25">
      <c r="A75" s="58" t="s">
        <v>246</v>
      </c>
      <c r="B75" s="59" t="s">
        <v>135</v>
      </c>
      <c r="C75" s="59" t="s">
        <v>247</v>
      </c>
      <c r="D75" s="59" t="s">
        <v>248</v>
      </c>
      <c r="E75" s="59" t="s">
        <v>249</v>
      </c>
      <c r="F75" s="60">
        <v>44991</v>
      </c>
      <c r="G75" s="59"/>
      <c r="H75" s="59"/>
      <c r="I75" s="59" t="s">
        <v>28</v>
      </c>
      <c r="J75" s="59" t="s">
        <v>29</v>
      </c>
      <c r="K75" s="59"/>
      <c r="L75" s="61"/>
    </row>
    <row r="76" spans="1:12" x14ac:dyDescent="0.25">
      <c r="A76" s="54" t="s">
        <v>250</v>
      </c>
      <c r="B76" s="55" t="s">
        <v>13</v>
      </c>
      <c r="C76" s="55" t="s">
        <v>51</v>
      </c>
      <c r="D76" s="55" t="s">
        <v>61</v>
      </c>
      <c r="E76" s="55" t="s">
        <v>251</v>
      </c>
      <c r="F76" s="56">
        <v>44992</v>
      </c>
      <c r="G76" s="55"/>
      <c r="H76" s="55"/>
      <c r="I76" s="55" t="s">
        <v>28</v>
      </c>
      <c r="J76" s="55" t="s">
        <v>29</v>
      </c>
      <c r="K76" s="55"/>
      <c r="L76" s="57"/>
    </row>
    <row r="77" spans="1:12" x14ac:dyDescent="0.25">
      <c r="A77" s="58" t="s">
        <v>252</v>
      </c>
      <c r="B77" s="59" t="s">
        <v>220</v>
      </c>
      <c r="C77" s="59" t="s">
        <v>253</v>
      </c>
      <c r="D77" s="59" t="s">
        <v>254</v>
      </c>
      <c r="E77" s="59" t="s">
        <v>255</v>
      </c>
      <c r="F77" s="60">
        <v>44970</v>
      </c>
      <c r="G77" s="59"/>
      <c r="H77" s="59"/>
      <c r="I77" s="59" t="s">
        <v>28</v>
      </c>
      <c r="J77" s="59" t="s">
        <v>29</v>
      </c>
      <c r="K77" s="59"/>
      <c r="L77" s="61"/>
    </row>
    <row r="78" spans="1:12" x14ac:dyDescent="0.25">
      <c r="A78" s="54" t="s">
        <v>256</v>
      </c>
      <c r="B78" s="55" t="s">
        <v>257</v>
      </c>
      <c r="C78" s="55" t="s">
        <v>258</v>
      </c>
      <c r="D78" s="55" t="s">
        <v>259</v>
      </c>
      <c r="E78" s="55" t="s">
        <v>260</v>
      </c>
      <c r="F78" s="56">
        <v>44981</v>
      </c>
      <c r="G78" s="55"/>
      <c r="H78" s="55"/>
      <c r="I78" s="55" t="s">
        <v>17</v>
      </c>
      <c r="J78" s="55" t="s">
        <v>29</v>
      </c>
      <c r="K78" s="55"/>
      <c r="L78" s="57"/>
    </row>
    <row r="79" spans="1:12" x14ac:dyDescent="0.25">
      <c r="A79" s="58" t="s">
        <v>261</v>
      </c>
      <c r="B79" s="59" t="s">
        <v>220</v>
      </c>
      <c r="C79" s="59" t="s">
        <v>168</v>
      </c>
      <c r="D79" s="59" t="s">
        <v>262</v>
      </c>
      <c r="E79" s="59" t="s">
        <v>263</v>
      </c>
      <c r="F79" s="60">
        <v>44987</v>
      </c>
      <c r="G79" s="59"/>
      <c r="H79" s="59"/>
      <c r="I79" s="62" t="s">
        <v>28</v>
      </c>
      <c r="J79" s="59" t="s">
        <v>29</v>
      </c>
      <c r="K79" s="59"/>
      <c r="L79" s="61"/>
    </row>
    <row r="80" spans="1:12" x14ac:dyDescent="0.25">
      <c r="A80" s="54" t="s">
        <v>264</v>
      </c>
      <c r="B80" s="55" t="s">
        <v>220</v>
      </c>
      <c r="C80" s="55" t="s">
        <v>265</v>
      </c>
      <c r="D80" s="55" t="s">
        <v>266</v>
      </c>
      <c r="E80" s="55" t="s">
        <v>267</v>
      </c>
      <c r="F80" s="56">
        <v>44986</v>
      </c>
      <c r="G80" s="55"/>
      <c r="H80" s="55"/>
      <c r="I80" s="55" t="s">
        <v>28</v>
      </c>
      <c r="J80" s="55" t="s">
        <v>29</v>
      </c>
      <c r="K80" s="55"/>
      <c r="L80" s="57"/>
    </row>
    <row r="81" spans="1:12" x14ac:dyDescent="0.25">
      <c r="A81" s="58" t="s">
        <v>268</v>
      </c>
      <c r="B81" s="59" t="s">
        <v>24</v>
      </c>
      <c r="C81" s="59" t="s">
        <v>126</v>
      </c>
      <c r="D81" s="59" t="s">
        <v>36</v>
      </c>
      <c r="E81" s="59" t="s">
        <v>269</v>
      </c>
      <c r="F81" s="60">
        <v>44995</v>
      </c>
      <c r="G81" s="59"/>
      <c r="H81" s="59"/>
      <c r="I81" s="59" t="s">
        <v>28</v>
      </c>
      <c r="J81" s="59" t="s">
        <v>29</v>
      </c>
      <c r="K81" s="59"/>
      <c r="L81" s="61"/>
    </row>
    <row r="82" spans="1:12" x14ac:dyDescent="0.25">
      <c r="A82" s="54" t="s">
        <v>270</v>
      </c>
      <c r="B82" s="55" t="s">
        <v>24</v>
      </c>
      <c r="C82" s="55" t="s">
        <v>126</v>
      </c>
      <c r="D82" s="55" t="s">
        <v>36</v>
      </c>
      <c r="E82" s="55" t="s">
        <v>271</v>
      </c>
      <c r="F82" s="56">
        <v>44995</v>
      </c>
      <c r="G82" s="55"/>
      <c r="H82" s="55"/>
      <c r="I82" s="55" t="s">
        <v>28</v>
      </c>
      <c r="J82" s="55" t="s">
        <v>29</v>
      </c>
      <c r="K82" s="55"/>
      <c r="L82" s="57"/>
    </row>
    <row r="83" spans="1:12" x14ac:dyDescent="0.25">
      <c r="A83" s="58" t="s">
        <v>272</v>
      </c>
      <c r="B83" s="59" t="s">
        <v>24</v>
      </c>
      <c r="C83" s="59" t="s">
        <v>126</v>
      </c>
      <c r="D83" s="59" t="s">
        <v>36</v>
      </c>
      <c r="E83" s="59" t="s">
        <v>273</v>
      </c>
      <c r="F83" s="60">
        <v>44995</v>
      </c>
      <c r="G83" s="59"/>
      <c r="H83" s="59"/>
      <c r="I83" s="59" t="s">
        <v>28</v>
      </c>
      <c r="J83" s="59" t="s">
        <v>29</v>
      </c>
      <c r="K83" s="59"/>
      <c r="L83" s="61"/>
    </row>
    <row r="84" spans="1:12" x14ac:dyDescent="0.25">
      <c r="A84" s="54" t="s">
        <v>274</v>
      </c>
      <c r="B84" s="55" t="s">
        <v>24</v>
      </c>
      <c r="C84" s="55" t="s">
        <v>126</v>
      </c>
      <c r="D84" s="55" t="s">
        <v>36</v>
      </c>
      <c r="E84" s="55" t="s">
        <v>275</v>
      </c>
      <c r="F84" s="56">
        <v>44995</v>
      </c>
      <c r="G84" s="55"/>
      <c r="H84" s="55"/>
      <c r="I84" s="55" t="s">
        <v>28</v>
      </c>
      <c r="J84" s="55" t="s">
        <v>29</v>
      </c>
      <c r="K84" s="55"/>
      <c r="L84" s="57"/>
    </row>
    <row r="85" spans="1:12" x14ac:dyDescent="0.25">
      <c r="A85" s="58" t="s">
        <v>276</v>
      </c>
      <c r="B85" s="59" t="s">
        <v>24</v>
      </c>
      <c r="C85" s="59" t="s">
        <v>126</v>
      </c>
      <c r="D85" s="59" t="s">
        <v>36</v>
      </c>
      <c r="E85" s="59" t="s">
        <v>277</v>
      </c>
      <c r="F85" s="60">
        <v>44995</v>
      </c>
      <c r="G85" s="59"/>
      <c r="H85" s="59"/>
      <c r="I85" s="59" t="s">
        <v>28</v>
      </c>
      <c r="J85" s="59" t="s">
        <v>29</v>
      </c>
      <c r="K85" s="59"/>
      <c r="L85" s="61"/>
    </row>
    <row r="86" spans="1:12" x14ac:dyDescent="0.25">
      <c r="A86" s="54" t="s">
        <v>278</v>
      </c>
      <c r="B86" s="55" t="s">
        <v>24</v>
      </c>
      <c r="C86" s="55" t="s">
        <v>126</v>
      </c>
      <c r="D86" s="55" t="s">
        <v>36</v>
      </c>
      <c r="E86" s="55" t="s">
        <v>279</v>
      </c>
      <c r="F86" s="56">
        <v>44995</v>
      </c>
      <c r="G86" s="55"/>
      <c r="H86" s="55"/>
      <c r="I86" s="55" t="s">
        <v>28</v>
      </c>
      <c r="J86" s="55" t="s">
        <v>29</v>
      </c>
      <c r="K86" s="55"/>
      <c r="L86" s="57"/>
    </row>
    <row r="87" spans="1:12" x14ac:dyDescent="0.25">
      <c r="A87" s="58" t="s">
        <v>280</v>
      </c>
      <c r="B87" s="59" t="s">
        <v>24</v>
      </c>
      <c r="C87" s="59" t="s">
        <v>126</v>
      </c>
      <c r="D87" s="59" t="s">
        <v>36</v>
      </c>
      <c r="E87" s="63" t="s">
        <v>281</v>
      </c>
      <c r="F87" s="60">
        <v>44995</v>
      </c>
      <c r="G87" s="59"/>
      <c r="H87" s="59"/>
      <c r="I87" s="59" t="s">
        <v>28</v>
      </c>
      <c r="J87" s="59" t="s">
        <v>29</v>
      </c>
      <c r="K87" s="59"/>
      <c r="L87" s="61"/>
    </row>
    <row r="88" spans="1:12" x14ac:dyDescent="0.25">
      <c r="A88" s="54" t="s">
        <v>282</v>
      </c>
      <c r="B88" s="55" t="s">
        <v>176</v>
      </c>
      <c r="C88" s="55" t="s">
        <v>283</v>
      </c>
      <c r="D88" s="55" t="s">
        <v>284</v>
      </c>
      <c r="E88" s="55" t="s">
        <v>285</v>
      </c>
      <c r="F88" s="56">
        <v>44995</v>
      </c>
      <c r="G88" s="55"/>
      <c r="H88" s="55"/>
      <c r="I88" s="55" t="s">
        <v>28</v>
      </c>
      <c r="J88" s="55" t="s">
        <v>29</v>
      </c>
      <c r="K88" s="55"/>
      <c r="L88" s="57"/>
    </row>
    <row r="89" spans="1:12" x14ac:dyDescent="0.25">
      <c r="A89" s="58" t="s">
        <v>286</v>
      </c>
      <c r="B89" s="59" t="s">
        <v>24</v>
      </c>
      <c r="C89" s="59" t="s">
        <v>35</v>
      </c>
      <c r="D89" s="59" t="s">
        <v>287</v>
      </c>
      <c r="E89" s="59" t="s">
        <v>288</v>
      </c>
      <c r="F89" s="60">
        <v>44998</v>
      </c>
      <c r="G89" s="59"/>
      <c r="H89" s="59"/>
      <c r="I89" s="59" t="s">
        <v>17</v>
      </c>
      <c r="J89" s="59"/>
      <c r="K89" s="59"/>
      <c r="L89" s="61"/>
    </row>
    <row r="90" spans="1:12" x14ac:dyDescent="0.25">
      <c r="A90" s="54" t="s">
        <v>289</v>
      </c>
      <c r="B90" s="55" t="s">
        <v>13</v>
      </c>
      <c r="C90" s="55" t="s">
        <v>290</v>
      </c>
      <c r="D90" s="55" t="s">
        <v>291</v>
      </c>
      <c r="E90" s="55" t="s">
        <v>292</v>
      </c>
      <c r="F90" s="56">
        <v>44999</v>
      </c>
      <c r="G90" s="55"/>
      <c r="H90" s="55"/>
      <c r="I90" s="55" t="s">
        <v>17</v>
      </c>
      <c r="J90" s="55"/>
      <c r="K90" s="55"/>
      <c r="L90" s="57"/>
    </row>
    <row r="91" spans="1:12" x14ac:dyDescent="0.25">
      <c r="A91" s="58" t="s">
        <v>293</v>
      </c>
      <c r="B91" s="59" t="s">
        <v>24</v>
      </c>
      <c r="C91" s="59" t="s">
        <v>294</v>
      </c>
      <c r="D91" s="59" t="s">
        <v>295</v>
      </c>
      <c r="E91" s="59" t="s">
        <v>296</v>
      </c>
      <c r="F91" s="60">
        <v>45000</v>
      </c>
      <c r="G91" s="59"/>
      <c r="H91" s="59"/>
      <c r="I91" s="59" t="s">
        <v>28</v>
      </c>
      <c r="J91" s="59"/>
      <c r="K91" s="59"/>
      <c r="L91" s="61"/>
    </row>
    <row r="92" spans="1:12" x14ac:dyDescent="0.25">
      <c r="A92" s="54" t="s">
        <v>297</v>
      </c>
      <c r="B92" s="55" t="s">
        <v>13</v>
      </c>
      <c r="C92" s="55" t="s">
        <v>298</v>
      </c>
      <c r="D92" s="55" t="s">
        <v>299</v>
      </c>
      <c r="E92" s="55" t="s">
        <v>300</v>
      </c>
      <c r="F92" s="56">
        <v>45001</v>
      </c>
      <c r="G92" s="56">
        <v>45002</v>
      </c>
      <c r="H92" s="55"/>
      <c r="I92" s="55" t="s">
        <v>17</v>
      </c>
      <c r="J92" s="55" t="s">
        <v>29</v>
      </c>
      <c r="K92" s="55"/>
      <c r="L92" s="57"/>
    </row>
    <row r="93" spans="1:12" x14ac:dyDescent="0.25">
      <c r="A93" s="58" t="s">
        <v>301</v>
      </c>
      <c r="B93" s="59" t="s">
        <v>13</v>
      </c>
      <c r="C93" s="59" t="s">
        <v>302</v>
      </c>
      <c r="D93" s="59" t="s">
        <v>303</v>
      </c>
      <c r="E93" s="59" t="s">
        <v>304</v>
      </c>
      <c r="F93" s="60">
        <v>45001</v>
      </c>
      <c r="G93" s="60">
        <v>45009</v>
      </c>
      <c r="H93" s="59"/>
      <c r="I93" s="59" t="s">
        <v>17</v>
      </c>
      <c r="J93" s="59" t="s">
        <v>18</v>
      </c>
      <c r="K93" s="59"/>
      <c r="L93" s="61"/>
    </row>
    <row r="94" spans="1:12" x14ac:dyDescent="0.25">
      <c r="A94" s="54" t="s">
        <v>305</v>
      </c>
      <c r="B94" s="55" t="s">
        <v>24</v>
      </c>
      <c r="C94" s="55" t="s">
        <v>243</v>
      </c>
      <c r="D94" s="55" t="s">
        <v>244</v>
      </c>
      <c r="E94" s="55" t="s">
        <v>306</v>
      </c>
      <c r="F94" s="56">
        <v>45001</v>
      </c>
      <c r="G94" s="55"/>
      <c r="H94" s="55"/>
      <c r="I94" s="55" t="s">
        <v>28</v>
      </c>
      <c r="J94" s="55"/>
      <c r="K94" s="55"/>
      <c r="L94" s="57"/>
    </row>
    <row r="95" spans="1:12" x14ac:dyDescent="0.25">
      <c r="A95" s="58" t="s">
        <v>307</v>
      </c>
      <c r="B95" s="59" t="s">
        <v>13</v>
      </c>
      <c r="C95" s="59" t="s">
        <v>290</v>
      </c>
      <c r="D95" s="59" t="s">
        <v>291</v>
      </c>
      <c r="E95" s="59" t="s">
        <v>308</v>
      </c>
      <c r="F95" s="60">
        <v>45002</v>
      </c>
      <c r="G95" s="59"/>
      <c r="H95" s="59"/>
      <c r="I95" s="59" t="s">
        <v>17</v>
      </c>
      <c r="J95" s="59" t="s">
        <v>29</v>
      </c>
      <c r="K95" s="59"/>
      <c r="L95" s="61"/>
    </row>
    <row r="96" spans="1:12" x14ac:dyDescent="0.25">
      <c r="A96" s="54" t="s">
        <v>309</v>
      </c>
      <c r="B96" s="55" t="s">
        <v>13</v>
      </c>
      <c r="C96" s="55" t="s">
        <v>310</v>
      </c>
      <c r="D96" s="55" t="s">
        <v>311</v>
      </c>
      <c r="E96" s="55" t="s">
        <v>312</v>
      </c>
      <c r="F96" s="56">
        <v>45005</v>
      </c>
      <c r="G96" s="56">
        <v>45006</v>
      </c>
      <c r="H96" s="55"/>
      <c r="I96" s="55" t="s">
        <v>28</v>
      </c>
      <c r="J96" s="55" t="s">
        <v>18</v>
      </c>
      <c r="K96" s="55"/>
      <c r="L96" s="57"/>
    </row>
    <row r="97" spans="1:12" x14ac:dyDescent="0.25">
      <c r="A97" s="58" t="s">
        <v>313</v>
      </c>
      <c r="B97" s="59" t="s">
        <v>314</v>
      </c>
      <c r="C97" s="59" t="s">
        <v>43</v>
      </c>
      <c r="D97" s="59" t="s">
        <v>315</v>
      </c>
      <c r="E97" s="59" t="s">
        <v>316</v>
      </c>
      <c r="F97" s="60">
        <v>45009</v>
      </c>
      <c r="G97" s="59"/>
      <c r="H97" s="59"/>
      <c r="I97" s="59" t="s">
        <v>17</v>
      </c>
      <c r="J97" s="59"/>
      <c r="K97" s="59"/>
      <c r="L97" s="61"/>
    </row>
    <row r="98" spans="1:12" x14ac:dyDescent="0.25">
      <c r="A98" s="54" t="s">
        <v>317</v>
      </c>
      <c r="B98" s="55" t="s">
        <v>318</v>
      </c>
      <c r="C98" s="55" t="s">
        <v>43</v>
      </c>
      <c r="D98" s="55" t="s">
        <v>315</v>
      </c>
      <c r="E98" s="55" t="s">
        <v>319</v>
      </c>
      <c r="F98" s="56">
        <v>45009</v>
      </c>
      <c r="G98" s="55"/>
      <c r="H98" s="55"/>
      <c r="I98" s="55" t="s">
        <v>28</v>
      </c>
      <c r="J98" s="55"/>
      <c r="K98" s="55"/>
      <c r="L98" s="57"/>
    </row>
    <row r="99" spans="1:12" x14ac:dyDescent="0.25">
      <c r="A99" s="58" t="s">
        <v>320</v>
      </c>
      <c r="B99" s="59" t="s">
        <v>135</v>
      </c>
      <c r="C99" s="59" t="s">
        <v>321</v>
      </c>
      <c r="D99" s="59" t="s">
        <v>322</v>
      </c>
      <c r="E99" s="59" t="s">
        <v>323</v>
      </c>
      <c r="F99" s="60">
        <v>45009</v>
      </c>
      <c r="G99" s="59"/>
      <c r="H99" s="59"/>
      <c r="I99" s="59" t="s">
        <v>28</v>
      </c>
      <c r="J99" s="59" t="s">
        <v>18</v>
      </c>
      <c r="K99" s="59"/>
      <c r="L99" s="61"/>
    </row>
    <row r="100" spans="1:12" x14ac:dyDescent="0.25">
      <c r="A100" s="54" t="s">
        <v>324</v>
      </c>
      <c r="B100" s="55" t="s">
        <v>325</v>
      </c>
      <c r="C100" s="55" t="s">
        <v>283</v>
      </c>
      <c r="D100" s="55" t="s">
        <v>326</v>
      </c>
      <c r="E100" s="55" t="s">
        <v>327</v>
      </c>
      <c r="F100" s="56">
        <v>45008</v>
      </c>
      <c r="G100" s="55"/>
      <c r="H100" s="55"/>
      <c r="I100" s="55" t="s">
        <v>28</v>
      </c>
      <c r="J100" s="55"/>
      <c r="K100" s="55"/>
      <c r="L100" s="57"/>
    </row>
    <row r="101" spans="1:12" x14ac:dyDescent="0.25">
      <c r="A101" s="58" t="s">
        <v>328</v>
      </c>
      <c r="B101" s="59" t="s">
        <v>220</v>
      </c>
      <c r="C101" s="59" t="s">
        <v>329</v>
      </c>
      <c r="D101" s="59" t="s">
        <v>330</v>
      </c>
      <c r="E101" s="59" t="s">
        <v>331</v>
      </c>
      <c r="F101" s="60">
        <v>45013</v>
      </c>
      <c r="G101" s="59"/>
      <c r="H101" s="59"/>
      <c r="I101" s="62" t="s">
        <v>17</v>
      </c>
      <c r="J101" s="59"/>
      <c r="K101" s="59"/>
      <c r="L101" s="61"/>
    </row>
    <row r="102" spans="1:12" x14ac:dyDescent="0.25">
      <c r="A102" s="54" t="s">
        <v>332</v>
      </c>
      <c r="B102" s="55" t="s">
        <v>24</v>
      </c>
      <c r="C102" s="55" t="s">
        <v>25</v>
      </c>
      <c r="D102" s="55" t="s">
        <v>333</v>
      </c>
      <c r="E102" s="55" t="s">
        <v>334</v>
      </c>
      <c r="F102" s="56">
        <v>45014</v>
      </c>
      <c r="G102" s="55"/>
      <c r="H102" s="55"/>
      <c r="I102" s="55" t="s">
        <v>28</v>
      </c>
      <c r="J102" s="55"/>
      <c r="K102" s="55"/>
      <c r="L102" s="57"/>
    </row>
    <row r="103" spans="1:12" x14ac:dyDescent="0.25">
      <c r="A103" s="58" t="s">
        <v>335</v>
      </c>
      <c r="B103" s="59" t="s">
        <v>336</v>
      </c>
      <c r="C103" s="59" t="s">
        <v>126</v>
      </c>
      <c r="D103" s="59" t="s">
        <v>36</v>
      </c>
      <c r="E103" s="59" t="s">
        <v>337</v>
      </c>
      <c r="F103" s="60">
        <v>45015</v>
      </c>
      <c r="G103" s="59"/>
      <c r="H103" s="59"/>
      <c r="I103" s="59" t="s">
        <v>28</v>
      </c>
      <c r="J103" s="59"/>
      <c r="K103" s="59"/>
      <c r="L103" s="61"/>
    </row>
    <row r="104" spans="1:12" x14ac:dyDescent="0.25">
      <c r="A104" s="54" t="s">
        <v>338</v>
      </c>
      <c r="B104" s="55" t="s">
        <v>13</v>
      </c>
      <c r="C104" s="55" t="s">
        <v>339</v>
      </c>
      <c r="D104" s="55" t="s">
        <v>340</v>
      </c>
      <c r="E104" s="55" t="s">
        <v>341</v>
      </c>
      <c r="F104" s="56">
        <v>45015</v>
      </c>
      <c r="G104" s="55"/>
      <c r="H104" s="55"/>
      <c r="I104" s="55" t="s">
        <v>17</v>
      </c>
      <c r="J104" s="55" t="s">
        <v>18</v>
      </c>
      <c r="K104" s="55"/>
      <c r="L104" s="57"/>
    </row>
    <row r="105" spans="1:12" x14ac:dyDescent="0.25">
      <c r="A105" s="58" t="s">
        <v>342</v>
      </c>
      <c r="B105" s="59" t="s">
        <v>13</v>
      </c>
      <c r="C105" s="59" t="s">
        <v>104</v>
      </c>
      <c r="D105" s="59" t="s">
        <v>105</v>
      </c>
      <c r="E105" s="59" t="s">
        <v>343</v>
      </c>
      <c r="F105" s="60">
        <v>45015</v>
      </c>
      <c r="G105" s="59"/>
      <c r="H105" s="59"/>
      <c r="I105" s="59" t="s">
        <v>28</v>
      </c>
      <c r="J105" s="59" t="s">
        <v>18</v>
      </c>
      <c r="K105" s="59"/>
      <c r="L105" s="61"/>
    </row>
    <row r="106" spans="1:12" x14ac:dyDescent="0.25">
      <c r="A106" s="54" t="s">
        <v>344</v>
      </c>
      <c r="B106" s="55" t="s">
        <v>13</v>
      </c>
      <c r="C106" s="55" t="s">
        <v>47</v>
      </c>
      <c r="D106" s="55" t="s">
        <v>345</v>
      </c>
      <c r="E106" s="55" t="s">
        <v>346</v>
      </c>
      <c r="F106" s="56">
        <v>45015</v>
      </c>
      <c r="G106" s="55"/>
      <c r="H106" s="55"/>
      <c r="I106" s="55" t="s">
        <v>28</v>
      </c>
      <c r="J106" s="55" t="s">
        <v>29</v>
      </c>
      <c r="K106" s="55"/>
      <c r="L106" s="57"/>
    </row>
    <row r="107" spans="1:12" x14ac:dyDescent="0.25">
      <c r="A107" s="58" t="s">
        <v>347</v>
      </c>
      <c r="B107" s="59" t="s">
        <v>348</v>
      </c>
      <c r="C107" s="59" t="s">
        <v>14</v>
      </c>
      <c r="D107" s="59" t="s">
        <v>349</v>
      </c>
      <c r="E107" s="59" t="s">
        <v>350</v>
      </c>
      <c r="F107" s="60">
        <v>45020</v>
      </c>
      <c r="G107" s="59"/>
      <c r="H107" s="59"/>
      <c r="I107" s="59" t="s">
        <v>17</v>
      </c>
      <c r="J107" s="59" t="s">
        <v>18</v>
      </c>
      <c r="K107" s="59"/>
      <c r="L107" s="61"/>
    </row>
    <row r="108" spans="1:12" x14ac:dyDescent="0.25">
      <c r="A108" s="54" t="s">
        <v>351</v>
      </c>
      <c r="B108" s="55" t="s">
        <v>13</v>
      </c>
      <c r="C108" s="55" t="s">
        <v>78</v>
      </c>
      <c r="D108" s="55" t="s">
        <v>352</v>
      </c>
      <c r="E108" s="55" t="s">
        <v>353</v>
      </c>
      <c r="F108" s="56">
        <v>45021</v>
      </c>
      <c r="G108" s="56">
        <v>45021</v>
      </c>
      <c r="H108" s="55"/>
      <c r="I108" s="55" t="s">
        <v>28</v>
      </c>
      <c r="J108" s="55" t="s">
        <v>29</v>
      </c>
      <c r="K108" s="55"/>
      <c r="L108" s="57"/>
    </row>
    <row r="109" spans="1:12" x14ac:dyDescent="0.25">
      <c r="A109" s="58" t="s">
        <v>354</v>
      </c>
      <c r="B109" s="59" t="s">
        <v>13</v>
      </c>
      <c r="C109" s="59" t="s">
        <v>78</v>
      </c>
      <c r="D109" s="59" t="s">
        <v>355</v>
      </c>
      <c r="E109" s="59" t="s">
        <v>356</v>
      </c>
      <c r="F109" s="60">
        <v>45021</v>
      </c>
      <c r="G109" s="59"/>
      <c r="H109" s="59"/>
      <c r="I109" s="59" t="s">
        <v>28</v>
      </c>
      <c r="J109" s="59" t="s">
        <v>29</v>
      </c>
      <c r="K109" s="59"/>
      <c r="L109" s="61"/>
    </row>
    <row r="110" spans="1:12" x14ac:dyDescent="0.25">
      <c r="A110" s="54" t="s">
        <v>357</v>
      </c>
      <c r="B110" s="55" t="s">
        <v>13</v>
      </c>
      <c r="C110" s="55" t="s">
        <v>47</v>
      </c>
      <c r="D110" s="55" t="s">
        <v>48</v>
      </c>
      <c r="E110" s="55" t="s">
        <v>358</v>
      </c>
      <c r="F110" s="56">
        <v>45026</v>
      </c>
      <c r="G110" s="56">
        <v>45030</v>
      </c>
      <c r="H110" s="55"/>
      <c r="I110" s="55" t="s">
        <v>28</v>
      </c>
      <c r="J110" s="55" t="s">
        <v>18</v>
      </c>
      <c r="K110" s="55"/>
      <c r="L110" s="57"/>
    </row>
    <row r="111" spans="1:12" x14ac:dyDescent="0.25">
      <c r="A111" s="58" t="s">
        <v>359</v>
      </c>
      <c r="B111" s="59" t="s">
        <v>24</v>
      </c>
      <c r="C111" s="59" t="s">
        <v>100</v>
      </c>
      <c r="D111" s="59" t="s">
        <v>101</v>
      </c>
      <c r="E111" s="59" t="s">
        <v>360</v>
      </c>
      <c r="F111" s="60">
        <v>45029</v>
      </c>
      <c r="G111" s="59"/>
      <c r="H111" s="59"/>
      <c r="I111" s="59" t="s">
        <v>28</v>
      </c>
      <c r="J111" s="59"/>
      <c r="K111" s="59"/>
      <c r="L111" s="61"/>
    </row>
    <row r="112" spans="1:12" x14ac:dyDescent="0.25">
      <c r="A112" s="54" t="s">
        <v>361</v>
      </c>
      <c r="B112" s="55" t="s">
        <v>24</v>
      </c>
      <c r="C112" s="55" t="s">
        <v>110</v>
      </c>
      <c r="D112" s="55" t="s">
        <v>111</v>
      </c>
      <c r="E112" s="55" t="s">
        <v>362</v>
      </c>
      <c r="F112" s="56">
        <v>45029</v>
      </c>
      <c r="G112" s="55"/>
      <c r="H112" s="55"/>
      <c r="I112" s="55" t="s">
        <v>28</v>
      </c>
      <c r="J112" s="55"/>
      <c r="K112" s="55"/>
      <c r="L112" s="57"/>
    </row>
    <row r="113" spans="1:12" x14ac:dyDescent="0.25">
      <c r="A113" s="58" t="s">
        <v>363</v>
      </c>
      <c r="B113" s="59" t="s">
        <v>24</v>
      </c>
      <c r="C113" s="59" t="s">
        <v>126</v>
      </c>
      <c r="D113" s="59" t="s">
        <v>232</v>
      </c>
      <c r="E113" s="59" t="s">
        <v>364</v>
      </c>
      <c r="F113" s="60">
        <v>45033</v>
      </c>
      <c r="G113" s="59"/>
      <c r="H113" s="59"/>
      <c r="I113" s="59" t="s">
        <v>28</v>
      </c>
      <c r="J113" s="59" t="s">
        <v>29</v>
      </c>
      <c r="K113" s="59"/>
      <c r="L113" s="61"/>
    </row>
    <row r="114" spans="1:12" x14ac:dyDescent="0.25">
      <c r="A114" s="54" t="s">
        <v>365</v>
      </c>
      <c r="B114" s="55" t="s">
        <v>220</v>
      </c>
      <c r="C114" s="55" t="s">
        <v>253</v>
      </c>
      <c r="D114" s="55" t="s">
        <v>254</v>
      </c>
      <c r="E114" s="55" t="s">
        <v>366</v>
      </c>
      <c r="F114" s="56">
        <v>45034</v>
      </c>
      <c r="G114" s="55"/>
      <c r="H114" s="55"/>
      <c r="I114" s="55" t="s">
        <v>28</v>
      </c>
      <c r="J114" s="55"/>
      <c r="K114" s="55"/>
      <c r="L114" s="57"/>
    </row>
    <row r="115" spans="1:12" x14ac:dyDescent="0.25">
      <c r="A115" s="58" t="s">
        <v>367</v>
      </c>
      <c r="B115" s="59" t="s">
        <v>13</v>
      </c>
      <c r="C115" s="59" t="s">
        <v>310</v>
      </c>
      <c r="D115" s="59" t="s">
        <v>311</v>
      </c>
      <c r="E115" s="59" t="s">
        <v>368</v>
      </c>
      <c r="F115" s="60">
        <v>45034</v>
      </c>
      <c r="G115" s="59"/>
      <c r="H115" s="59"/>
      <c r="I115" s="59" t="s">
        <v>17</v>
      </c>
      <c r="J115" s="59" t="s">
        <v>29</v>
      </c>
      <c r="K115" s="59"/>
      <c r="L115" s="61"/>
    </row>
    <row r="116" spans="1:12" x14ac:dyDescent="0.25">
      <c r="A116" s="54" t="s">
        <v>369</v>
      </c>
      <c r="B116" s="55" t="s">
        <v>13</v>
      </c>
      <c r="C116" s="55" t="s">
        <v>51</v>
      </c>
      <c r="D116" s="55" t="s">
        <v>61</v>
      </c>
      <c r="E116" s="55" t="s">
        <v>370</v>
      </c>
      <c r="F116" s="56">
        <v>45034</v>
      </c>
      <c r="G116" s="55"/>
      <c r="H116" s="55"/>
      <c r="I116" s="55" t="s">
        <v>17</v>
      </c>
      <c r="J116" s="55"/>
      <c r="K116" s="55"/>
      <c r="L116" s="57"/>
    </row>
    <row r="117" spans="1:12" x14ac:dyDescent="0.25">
      <c r="A117" s="58" t="s">
        <v>371</v>
      </c>
      <c r="B117" s="59" t="s">
        <v>220</v>
      </c>
      <c r="C117" s="59" t="s">
        <v>253</v>
      </c>
      <c r="D117" s="59" t="s">
        <v>254</v>
      </c>
      <c r="E117" s="59" t="s">
        <v>372</v>
      </c>
      <c r="F117" s="60">
        <v>45035</v>
      </c>
      <c r="G117" s="59"/>
      <c r="H117" s="59"/>
      <c r="I117" s="59" t="s">
        <v>28</v>
      </c>
      <c r="J117" s="59"/>
      <c r="K117" s="59"/>
      <c r="L117" s="61"/>
    </row>
    <row r="118" spans="1:12" x14ac:dyDescent="0.25">
      <c r="A118" s="54" t="s">
        <v>373</v>
      </c>
      <c r="B118" s="55" t="s">
        <v>374</v>
      </c>
      <c r="C118" s="55" t="s">
        <v>78</v>
      </c>
      <c r="D118" s="55" t="s">
        <v>355</v>
      </c>
      <c r="E118" s="55" t="s">
        <v>375</v>
      </c>
      <c r="F118" s="56">
        <v>45036</v>
      </c>
      <c r="G118" s="55"/>
      <c r="H118" s="55"/>
      <c r="I118" s="55" t="s">
        <v>28</v>
      </c>
      <c r="J118" s="55" t="s">
        <v>29</v>
      </c>
      <c r="K118" s="55"/>
      <c r="L118" s="57"/>
    </row>
    <row r="119" spans="1:12" x14ac:dyDescent="0.25">
      <c r="A119" s="58" t="s">
        <v>376</v>
      </c>
      <c r="B119" s="59" t="s">
        <v>220</v>
      </c>
      <c r="C119" s="59" t="s">
        <v>253</v>
      </c>
      <c r="D119" s="59" t="s">
        <v>254</v>
      </c>
      <c r="E119" s="59" t="s">
        <v>377</v>
      </c>
      <c r="F119" s="60">
        <v>45036</v>
      </c>
      <c r="G119" s="59"/>
      <c r="H119" s="59"/>
      <c r="I119" s="59" t="s">
        <v>17</v>
      </c>
      <c r="J119" s="59"/>
      <c r="K119" s="59"/>
      <c r="L119" s="61"/>
    </row>
    <row r="120" spans="1:12" x14ac:dyDescent="0.25">
      <c r="A120" s="54" t="s">
        <v>378</v>
      </c>
      <c r="B120" s="55" t="s">
        <v>13</v>
      </c>
      <c r="C120" s="55" t="s">
        <v>243</v>
      </c>
      <c r="D120" s="55" t="s">
        <v>244</v>
      </c>
      <c r="E120" s="55" t="s">
        <v>379</v>
      </c>
      <c r="F120" s="56">
        <v>45041</v>
      </c>
      <c r="G120" s="56">
        <v>45078</v>
      </c>
      <c r="H120" s="55"/>
      <c r="I120" s="55" t="s">
        <v>380</v>
      </c>
      <c r="J120" s="55"/>
      <c r="K120" s="55"/>
      <c r="L120" s="57"/>
    </row>
    <row r="121" spans="1:12" x14ac:dyDescent="0.25">
      <c r="A121" s="58" t="s">
        <v>381</v>
      </c>
      <c r="B121" s="59" t="s">
        <v>325</v>
      </c>
      <c r="C121" s="59" t="s">
        <v>382</v>
      </c>
      <c r="D121" s="59" t="s">
        <v>383</v>
      </c>
      <c r="E121" s="59" t="s">
        <v>384</v>
      </c>
      <c r="F121" s="60">
        <v>45041</v>
      </c>
      <c r="G121" s="59"/>
      <c r="H121" s="59"/>
      <c r="I121" s="59" t="s">
        <v>385</v>
      </c>
      <c r="J121" s="59"/>
      <c r="K121" s="59"/>
      <c r="L121" s="61"/>
    </row>
    <row r="122" spans="1:12" x14ac:dyDescent="0.25">
      <c r="A122" s="54" t="s">
        <v>386</v>
      </c>
      <c r="B122" s="55" t="s">
        <v>325</v>
      </c>
      <c r="C122" s="55" t="s">
        <v>382</v>
      </c>
      <c r="D122" s="55" t="s">
        <v>383</v>
      </c>
      <c r="E122" s="55" t="s">
        <v>387</v>
      </c>
      <c r="F122" s="56">
        <v>45041</v>
      </c>
      <c r="G122" s="55"/>
      <c r="H122" s="55"/>
      <c r="I122" s="55" t="s">
        <v>388</v>
      </c>
      <c r="J122" s="55" t="s">
        <v>29</v>
      </c>
      <c r="K122" s="55"/>
      <c r="L122" s="57"/>
    </row>
    <row r="123" spans="1:12" x14ac:dyDescent="0.25">
      <c r="A123" s="58" t="s">
        <v>389</v>
      </c>
      <c r="B123" s="59" t="s">
        <v>24</v>
      </c>
      <c r="C123" s="59" t="s">
        <v>126</v>
      </c>
      <c r="D123" s="59" t="s">
        <v>390</v>
      </c>
      <c r="E123" s="59" t="s">
        <v>391</v>
      </c>
      <c r="F123" s="60">
        <v>45042</v>
      </c>
      <c r="G123" s="59"/>
      <c r="H123" s="59"/>
      <c r="I123" s="59" t="s">
        <v>388</v>
      </c>
      <c r="J123" s="59"/>
      <c r="K123" s="59"/>
      <c r="L123" s="61"/>
    </row>
    <row r="124" spans="1:12" x14ac:dyDescent="0.25">
      <c r="A124" s="54" t="s">
        <v>392</v>
      </c>
      <c r="B124" s="55" t="s">
        <v>325</v>
      </c>
      <c r="C124" s="55" t="s">
        <v>393</v>
      </c>
      <c r="D124" s="55" t="s">
        <v>394</v>
      </c>
      <c r="E124" s="55" t="s">
        <v>395</v>
      </c>
      <c r="F124" s="56">
        <v>45042</v>
      </c>
      <c r="G124" s="55"/>
      <c r="H124" s="55"/>
      <c r="I124" s="55" t="s">
        <v>28</v>
      </c>
      <c r="J124" s="55" t="s">
        <v>29</v>
      </c>
      <c r="K124" s="55"/>
      <c r="L124" s="57"/>
    </row>
    <row r="125" spans="1:12" x14ac:dyDescent="0.25">
      <c r="A125" s="58" t="s">
        <v>396</v>
      </c>
      <c r="B125" s="59" t="s">
        <v>325</v>
      </c>
      <c r="C125" s="59" t="s">
        <v>32</v>
      </c>
      <c r="D125" s="59" t="s">
        <v>397</v>
      </c>
      <c r="E125" s="59" t="s">
        <v>398</v>
      </c>
      <c r="F125" s="60">
        <v>45043</v>
      </c>
      <c r="G125" s="59"/>
      <c r="H125" s="59"/>
      <c r="I125" s="59" t="s">
        <v>28</v>
      </c>
      <c r="J125" s="59"/>
      <c r="K125" s="59"/>
      <c r="L125" s="61"/>
    </row>
    <row r="126" spans="1:12" x14ac:dyDescent="0.25">
      <c r="A126" s="54" t="s">
        <v>399</v>
      </c>
      <c r="B126" s="55" t="s">
        <v>24</v>
      </c>
      <c r="C126" s="55" t="s">
        <v>126</v>
      </c>
      <c r="D126" s="55" t="s">
        <v>232</v>
      </c>
      <c r="E126" s="55" t="s">
        <v>364</v>
      </c>
      <c r="F126" s="56">
        <v>45043</v>
      </c>
      <c r="G126" s="55"/>
      <c r="H126" s="55"/>
      <c r="I126" s="55" t="s">
        <v>28</v>
      </c>
      <c r="J126" s="55"/>
      <c r="K126" s="55"/>
      <c r="L126" s="57"/>
    </row>
    <row r="127" spans="1:12" x14ac:dyDescent="0.25">
      <c r="A127" s="58" t="s">
        <v>400</v>
      </c>
      <c r="B127" s="59" t="s">
        <v>13</v>
      </c>
      <c r="C127" s="59" t="s">
        <v>47</v>
      </c>
      <c r="D127" s="59" t="s">
        <v>345</v>
      </c>
      <c r="E127" s="59" t="s">
        <v>401</v>
      </c>
      <c r="F127" s="60">
        <v>45043</v>
      </c>
      <c r="G127" s="59"/>
      <c r="H127" s="59"/>
      <c r="I127" s="59" t="s">
        <v>28</v>
      </c>
      <c r="J127" s="59" t="s">
        <v>29</v>
      </c>
      <c r="K127" s="59"/>
      <c r="L127" s="61"/>
    </row>
    <row r="128" spans="1:12" x14ac:dyDescent="0.25">
      <c r="A128" s="54" t="s">
        <v>402</v>
      </c>
      <c r="B128" s="55" t="s">
        <v>325</v>
      </c>
      <c r="C128" s="55" t="s">
        <v>243</v>
      </c>
      <c r="D128" s="55" t="s">
        <v>244</v>
      </c>
      <c r="E128" s="55" t="s">
        <v>403</v>
      </c>
      <c r="F128" s="56">
        <v>45048</v>
      </c>
      <c r="G128" s="55"/>
      <c r="H128" s="55"/>
      <c r="I128" s="55" t="s">
        <v>17</v>
      </c>
      <c r="J128" s="55"/>
      <c r="K128" s="55"/>
      <c r="L128" s="57"/>
    </row>
    <row r="129" spans="1:12" x14ac:dyDescent="0.25">
      <c r="A129" s="58" t="s">
        <v>404</v>
      </c>
      <c r="B129" s="59" t="s">
        <v>257</v>
      </c>
      <c r="C129" s="59" t="s">
        <v>243</v>
      </c>
      <c r="D129" s="59" t="s">
        <v>244</v>
      </c>
      <c r="E129" s="59" t="s">
        <v>405</v>
      </c>
      <c r="F129" s="60">
        <v>45049</v>
      </c>
      <c r="G129" s="59"/>
      <c r="H129" s="59"/>
      <c r="I129" s="59" t="s">
        <v>17</v>
      </c>
      <c r="J129" s="59"/>
      <c r="K129" s="59"/>
      <c r="L129" s="61"/>
    </row>
    <row r="130" spans="1:12" x14ac:dyDescent="0.25">
      <c r="A130" s="54" t="s">
        <v>406</v>
      </c>
      <c r="B130" s="55" t="s">
        <v>13</v>
      </c>
      <c r="C130" s="55" t="s">
        <v>407</v>
      </c>
      <c r="D130" s="55" t="s">
        <v>408</v>
      </c>
      <c r="E130" s="55" t="s">
        <v>409</v>
      </c>
      <c r="F130" s="56">
        <v>45050</v>
      </c>
      <c r="G130" s="55"/>
      <c r="H130" s="55"/>
      <c r="I130" s="55" t="s">
        <v>17</v>
      </c>
      <c r="J130" s="55"/>
      <c r="K130" s="55"/>
      <c r="L130" s="57"/>
    </row>
    <row r="131" spans="1:12" x14ac:dyDescent="0.25">
      <c r="A131" s="58" t="s">
        <v>410</v>
      </c>
      <c r="B131" s="59" t="s">
        <v>13</v>
      </c>
      <c r="C131" s="59" t="s">
        <v>411</v>
      </c>
      <c r="D131" s="59" t="s">
        <v>412</v>
      </c>
      <c r="E131" s="59" t="s">
        <v>413</v>
      </c>
      <c r="F131" s="60">
        <v>45050</v>
      </c>
      <c r="G131" s="60">
        <v>45050</v>
      </c>
      <c r="H131" s="59"/>
      <c r="I131" s="59" t="s">
        <v>28</v>
      </c>
      <c r="J131" s="59" t="s">
        <v>18</v>
      </c>
      <c r="K131" s="59"/>
      <c r="L131" s="61"/>
    </row>
    <row r="132" spans="1:12" x14ac:dyDescent="0.25">
      <c r="A132" s="54" t="s">
        <v>414</v>
      </c>
      <c r="B132" s="55" t="s">
        <v>220</v>
      </c>
      <c r="C132" s="55" t="s">
        <v>253</v>
      </c>
      <c r="D132" s="55" t="s">
        <v>254</v>
      </c>
      <c r="E132" s="55" t="s">
        <v>415</v>
      </c>
      <c r="F132" s="56">
        <v>45050</v>
      </c>
      <c r="G132" s="55"/>
      <c r="H132" s="55"/>
      <c r="I132" s="62" t="s">
        <v>380</v>
      </c>
      <c r="J132" s="55"/>
      <c r="K132" s="55"/>
      <c r="L132" s="57"/>
    </row>
    <row r="133" spans="1:12" x14ac:dyDescent="0.25">
      <c r="A133" s="58" t="s">
        <v>416</v>
      </c>
      <c r="B133" s="59" t="s">
        <v>417</v>
      </c>
      <c r="C133" s="59" t="s">
        <v>191</v>
      </c>
      <c r="D133" s="59" t="s">
        <v>192</v>
      </c>
      <c r="E133" s="59" t="s">
        <v>418</v>
      </c>
      <c r="F133" s="60">
        <v>45054</v>
      </c>
      <c r="G133" s="59"/>
      <c r="H133" s="59"/>
      <c r="I133" s="59" t="s">
        <v>17</v>
      </c>
      <c r="J133" s="59"/>
      <c r="K133" s="59"/>
      <c r="L133" s="61"/>
    </row>
    <row r="134" spans="1:12" x14ac:dyDescent="0.25">
      <c r="A134" s="54" t="s">
        <v>419</v>
      </c>
      <c r="B134" s="55" t="s">
        <v>420</v>
      </c>
      <c r="C134" s="55" t="s">
        <v>393</v>
      </c>
      <c r="D134" s="55" t="s">
        <v>421</v>
      </c>
      <c r="E134" s="55" t="s">
        <v>422</v>
      </c>
      <c r="F134" s="56">
        <v>45054</v>
      </c>
      <c r="G134" s="55"/>
      <c r="H134" s="55"/>
      <c r="I134" s="55" t="s">
        <v>17</v>
      </c>
      <c r="J134" s="55"/>
      <c r="K134" s="55"/>
      <c r="L134" s="57"/>
    </row>
    <row r="135" spans="1:12" x14ac:dyDescent="0.25">
      <c r="A135" s="58" t="s">
        <v>423</v>
      </c>
      <c r="B135" s="59" t="s">
        <v>13</v>
      </c>
      <c r="C135" s="59" t="s">
        <v>159</v>
      </c>
      <c r="D135" s="59" t="s">
        <v>424</v>
      </c>
      <c r="E135" s="59" t="s">
        <v>425</v>
      </c>
      <c r="F135" s="60">
        <v>45054</v>
      </c>
      <c r="G135" s="59"/>
      <c r="H135" s="59"/>
      <c r="I135" s="59" t="s">
        <v>17</v>
      </c>
      <c r="J135" s="59"/>
      <c r="K135" s="59"/>
      <c r="L135" s="61"/>
    </row>
    <row r="136" spans="1:12" x14ac:dyDescent="0.25">
      <c r="A136" s="54" t="s">
        <v>426</v>
      </c>
      <c r="B136" s="55" t="s">
        <v>24</v>
      </c>
      <c r="C136" s="55" t="s">
        <v>126</v>
      </c>
      <c r="D136" s="55" t="s">
        <v>36</v>
      </c>
      <c r="E136" s="55" t="s">
        <v>427</v>
      </c>
      <c r="F136" s="56">
        <v>45055</v>
      </c>
      <c r="G136" s="55"/>
      <c r="H136" s="55"/>
      <c r="I136" s="55" t="s">
        <v>28</v>
      </c>
      <c r="J136" s="55"/>
      <c r="K136" s="55"/>
      <c r="L136" s="57"/>
    </row>
    <row r="137" spans="1:12" x14ac:dyDescent="0.25">
      <c r="A137" s="58" t="s">
        <v>428</v>
      </c>
      <c r="B137" s="59" t="s">
        <v>13</v>
      </c>
      <c r="C137" s="59" t="s">
        <v>429</v>
      </c>
      <c r="D137" s="59" t="s">
        <v>430</v>
      </c>
      <c r="E137" s="59" t="s">
        <v>431</v>
      </c>
      <c r="F137" s="60">
        <v>45051</v>
      </c>
      <c r="G137" s="59"/>
      <c r="H137" s="59"/>
      <c r="I137" s="59" t="s">
        <v>28</v>
      </c>
      <c r="J137" s="59"/>
      <c r="K137" s="59"/>
      <c r="L137" s="61"/>
    </row>
    <row r="138" spans="1:12" x14ac:dyDescent="0.25">
      <c r="A138" s="54" t="s">
        <v>432</v>
      </c>
      <c r="B138" s="55" t="s">
        <v>433</v>
      </c>
      <c r="C138" s="55" t="s">
        <v>253</v>
      </c>
      <c r="D138" s="55" t="s">
        <v>254</v>
      </c>
      <c r="E138" s="55" t="s">
        <v>434</v>
      </c>
      <c r="F138" s="56">
        <v>45055</v>
      </c>
      <c r="G138" s="55"/>
      <c r="H138" s="55"/>
      <c r="I138" s="55" t="s">
        <v>28</v>
      </c>
      <c r="J138" s="55"/>
      <c r="K138" s="55"/>
      <c r="L138" s="57"/>
    </row>
    <row r="139" spans="1:12" x14ac:dyDescent="0.25">
      <c r="A139" s="58" t="s">
        <v>435</v>
      </c>
      <c r="B139" s="59" t="s">
        <v>336</v>
      </c>
      <c r="C139" s="59" t="s">
        <v>429</v>
      </c>
      <c r="D139" s="59" t="s">
        <v>430</v>
      </c>
      <c r="E139" s="59" t="s">
        <v>436</v>
      </c>
      <c r="F139" s="60">
        <v>45057</v>
      </c>
      <c r="G139" s="59"/>
      <c r="H139" s="59"/>
      <c r="I139" s="59" t="s">
        <v>28</v>
      </c>
      <c r="J139" s="59"/>
      <c r="K139" s="59"/>
      <c r="L139" s="61"/>
    </row>
    <row r="140" spans="1:12" x14ac:dyDescent="0.25">
      <c r="A140" s="54" t="s">
        <v>437</v>
      </c>
      <c r="B140" s="55" t="s">
        <v>438</v>
      </c>
      <c r="C140" s="55" t="s">
        <v>439</v>
      </c>
      <c r="D140" s="55"/>
      <c r="E140" s="55" t="s">
        <v>440</v>
      </c>
      <c r="F140" s="56">
        <v>45058</v>
      </c>
      <c r="G140" s="55"/>
      <c r="H140" s="55"/>
      <c r="I140" s="55" t="s">
        <v>17</v>
      </c>
      <c r="J140" s="55"/>
      <c r="K140" s="55"/>
      <c r="L140" s="57"/>
    </row>
    <row r="141" spans="1:12" x14ac:dyDescent="0.25">
      <c r="A141" s="58" t="s">
        <v>441</v>
      </c>
      <c r="B141" s="59" t="s">
        <v>24</v>
      </c>
      <c r="C141" s="59" t="s">
        <v>243</v>
      </c>
      <c r="D141" s="59" t="s">
        <v>244</v>
      </c>
      <c r="E141" s="59" t="s">
        <v>442</v>
      </c>
      <c r="F141" s="60">
        <v>45061</v>
      </c>
      <c r="G141" s="59"/>
      <c r="H141" s="59"/>
      <c r="I141" s="59" t="s">
        <v>28</v>
      </c>
      <c r="J141" s="59"/>
      <c r="K141" s="59"/>
      <c r="L141" s="61"/>
    </row>
    <row r="142" spans="1:12" x14ac:dyDescent="0.25">
      <c r="A142" s="54" t="s">
        <v>443</v>
      </c>
      <c r="B142" s="55" t="s">
        <v>220</v>
      </c>
      <c r="C142" s="55" t="s">
        <v>70</v>
      </c>
      <c r="D142" s="55" t="s">
        <v>71</v>
      </c>
      <c r="E142" s="55" t="s">
        <v>444</v>
      </c>
      <c r="F142" s="56">
        <v>45061</v>
      </c>
      <c r="G142" s="55"/>
      <c r="H142" s="55"/>
      <c r="I142" s="55" t="s">
        <v>17</v>
      </c>
      <c r="J142" s="55"/>
      <c r="K142" s="55"/>
      <c r="L142" s="57"/>
    </row>
    <row r="143" spans="1:12" x14ac:dyDescent="0.25">
      <c r="A143" s="58" t="s">
        <v>445</v>
      </c>
      <c r="B143" s="59" t="s">
        <v>220</v>
      </c>
      <c r="C143" s="59" t="s">
        <v>43</v>
      </c>
      <c r="D143" s="59" t="s">
        <v>446</v>
      </c>
      <c r="E143" s="59" t="s">
        <v>447</v>
      </c>
      <c r="F143" s="60">
        <v>45061</v>
      </c>
      <c r="G143" s="59"/>
      <c r="H143" s="59"/>
      <c r="I143" s="59" t="s">
        <v>28</v>
      </c>
      <c r="J143" s="59"/>
      <c r="K143" s="59"/>
      <c r="L143" s="61"/>
    </row>
    <row r="144" spans="1:12" x14ac:dyDescent="0.25">
      <c r="A144" s="54" t="s">
        <v>448</v>
      </c>
      <c r="B144" s="55" t="s">
        <v>24</v>
      </c>
      <c r="C144" s="55" t="s">
        <v>126</v>
      </c>
      <c r="D144" s="55" t="s">
        <v>36</v>
      </c>
      <c r="E144" s="55" t="s">
        <v>449</v>
      </c>
      <c r="F144" s="56">
        <v>45062</v>
      </c>
      <c r="G144" s="55"/>
      <c r="H144" s="55"/>
      <c r="I144" s="55" t="s">
        <v>28</v>
      </c>
      <c r="J144" s="55"/>
      <c r="K144" s="55"/>
      <c r="L144" s="57"/>
    </row>
    <row r="145" spans="1:12" x14ac:dyDescent="0.25">
      <c r="A145" s="58" t="s">
        <v>450</v>
      </c>
      <c r="B145" s="59" t="s">
        <v>24</v>
      </c>
      <c r="C145" s="59" t="s">
        <v>126</v>
      </c>
      <c r="D145" s="59" t="s">
        <v>36</v>
      </c>
      <c r="E145" s="59" t="s">
        <v>451</v>
      </c>
      <c r="F145" s="60">
        <v>45062</v>
      </c>
      <c r="G145" s="59"/>
      <c r="H145" s="59"/>
      <c r="I145" s="59" t="s">
        <v>28</v>
      </c>
      <c r="J145" s="59"/>
      <c r="K145" s="59"/>
      <c r="L145" s="61"/>
    </row>
    <row r="146" spans="1:12" x14ac:dyDescent="0.25">
      <c r="A146" s="54" t="s">
        <v>452</v>
      </c>
      <c r="B146" s="55" t="s">
        <v>24</v>
      </c>
      <c r="C146" s="55" t="s">
        <v>126</v>
      </c>
      <c r="D146" s="55" t="s">
        <v>36</v>
      </c>
      <c r="E146" s="55" t="s">
        <v>453</v>
      </c>
      <c r="F146" s="56">
        <v>45062</v>
      </c>
      <c r="G146" s="55"/>
      <c r="H146" s="55"/>
      <c r="I146" s="55" t="s">
        <v>28</v>
      </c>
      <c r="J146" s="55"/>
      <c r="K146" s="55"/>
      <c r="L146" s="57"/>
    </row>
    <row r="147" spans="1:12" x14ac:dyDescent="0.25">
      <c r="A147" s="58" t="s">
        <v>454</v>
      </c>
      <c r="B147" s="59" t="s">
        <v>24</v>
      </c>
      <c r="C147" s="59" t="s">
        <v>126</v>
      </c>
      <c r="D147" s="59" t="s">
        <v>232</v>
      </c>
      <c r="E147" s="59" t="s">
        <v>455</v>
      </c>
      <c r="F147" s="60">
        <v>45062</v>
      </c>
      <c r="G147" s="59"/>
      <c r="H147" s="59"/>
      <c r="I147" s="59" t="s">
        <v>28</v>
      </c>
      <c r="J147" s="59"/>
      <c r="K147" s="59"/>
      <c r="L147" s="61"/>
    </row>
    <row r="148" spans="1:12" x14ac:dyDescent="0.25">
      <c r="A148" s="54" t="s">
        <v>456</v>
      </c>
      <c r="B148" s="55" t="s">
        <v>24</v>
      </c>
      <c r="C148" s="55" t="s">
        <v>43</v>
      </c>
      <c r="D148" s="55" t="s">
        <v>315</v>
      </c>
      <c r="E148" s="55" t="s">
        <v>457</v>
      </c>
      <c r="F148" s="56">
        <v>45062</v>
      </c>
      <c r="G148" s="55"/>
      <c r="H148" s="55"/>
      <c r="I148" s="55" t="s">
        <v>28</v>
      </c>
      <c r="J148" s="55"/>
      <c r="K148" s="55"/>
      <c r="L148" s="57"/>
    </row>
    <row r="149" spans="1:12" x14ac:dyDescent="0.25">
      <c r="A149" s="58" t="s">
        <v>458</v>
      </c>
      <c r="B149" s="59" t="s">
        <v>24</v>
      </c>
      <c r="C149" s="59" t="s">
        <v>43</v>
      </c>
      <c r="D149" s="59" t="s">
        <v>459</v>
      </c>
      <c r="E149" s="59" t="s">
        <v>460</v>
      </c>
      <c r="F149" s="60">
        <v>45064</v>
      </c>
      <c r="G149" s="59"/>
      <c r="H149" s="59"/>
      <c r="I149" s="59" t="s">
        <v>28</v>
      </c>
      <c r="J149" s="59"/>
      <c r="K149" s="59"/>
      <c r="L149" s="61"/>
    </row>
    <row r="150" spans="1:12" x14ac:dyDescent="0.25">
      <c r="A150" s="54" t="s">
        <v>461</v>
      </c>
      <c r="B150" s="55" t="s">
        <v>24</v>
      </c>
      <c r="C150" s="55" t="s">
        <v>126</v>
      </c>
      <c r="D150" s="55" t="s">
        <v>232</v>
      </c>
      <c r="E150" s="55" t="s">
        <v>462</v>
      </c>
      <c r="F150" s="56">
        <v>45064</v>
      </c>
      <c r="G150" s="55"/>
      <c r="H150" s="55"/>
      <c r="I150" s="55" t="s">
        <v>28</v>
      </c>
      <c r="J150" s="55"/>
      <c r="K150" s="55"/>
      <c r="L150" s="57"/>
    </row>
    <row r="151" spans="1:12" x14ac:dyDescent="0.25">
      <c r="A151" s="58" t="s">
        <v>463</v>
      </c>
      <c r="B151" s="59" t="s">
        <v>13</v>
      </c>
      <c r="C151" s="59" t="s">
        <v>464</v>
      </c>
      <c r="D151" s="59" t="s">
        <v>465</v>
      </c>
      <c r="E151" s="59" t="s">
        <v>466</v>
      </c>
      <c r="F151" s="60">
        <v>45065</v>
      </c>
      <c r="G151" s="60">
        <v>45072</v>
      </c>
      <c r="H151" s="59"/>
      <c r="I151" s="59" t="s">
        <v>17</v>
      </c>
      <c r="J151" s="59"/>
      <c r="K151" s="59"/>
      <c r="L151" s="61"/>
    </row>
    <row r="152" spans="1:12" x14ac:dyDescent="0.25">
      <c r="A152" s="54" t="s">
        <v>467</v>
      </c>
      <c r="B152" s="55" t="s">
        <v>13</v>
      </c>
      <c r="C152" s="55" t="s">
        <v>51</v>
      </c>
      <c r="D152" s="55" t="s">
        <v>52</v>
      </c>
      <c r="E152" s="55" t="s">
        <v>468</v>
      </c>
      <c r="F152" s="56">
        <v>45065</v>
      </c>
      <c r="G152" s="56">
        <v>45072</v>
      </c>
      <c r="H152" s="55"/>
      <c r="I152" s="55" t="s">
        <v>17</v>
      </c>
      <c r="J152" s="55"/>
      <c r="K152" s="55"/>
      <c r="L152" s="57"/>
    </row>
    <row r="153" spans="1:12" x14ac:dyDescent="0.25">
      <c r="A153" s="58" t="s">
        <v>469</v>
      </c>
      <c r="B153" s="59" t="s">
        <v>13</v>
      </c>
      <c r="C153" s="59" t="s">
        <v>51</v>
      </c>
      <c r="D153" s="59" t="s">
        <v>52</v>
      </c>
      <c r="E153" s="59" t="s">
        <v>470</v>
      </c>
      <c r="F153" s="60">
        <v>45065</v>
      </c>
      <c r="G153" s="60">
        <v>45072</v>
      </c>
      <c r="H153" s="59"/>
      <c r="I153" s="59" t="s">
        <v>17</v>
      </c>
      <c r="J153" s="59"/>
      <c r="K153" s="59"/>
      <c r="L153" s="61"/>
    </row>
    <row r="154" spans="1:12" x14ac:dyDescent="0.25">
      <c r="A154" s="54" t="s">
        <v>471</v>
      </c>
      <c r="B154" s="55" t="s">
        <v>220</v>
      </c>
      <c r="C154" s="55" t="s">
        <v>243</v>
      </c>
      <c r="D154" s="55" t="s">
        <v>244</v>
      </c>
      <c r="E154" s="55" t="s">
        <v>472</v>
      </c>
      <c r="F154" s="56">
        <v>45072</v>
      </c>
      <c r="G154" s="55"/>
      <c r="H154" s="55"/>
      <c r="I154" s="55" t="s">
        <v>17</v>
      </c>
      <c r="J154" s="55"/>
      <c r="K154" s="55"/>
      <c r="L154" s="57"/>
    </row>
    <row r="155" spans="1:12" x14ac:dyDescent="0.25">
      <c r="A155" s="58" t="s">
        <v>473</v>
      </c>
      <c r="B155" s="59" t="s">
        <v>474</v>
      </c>
      <c r="C155" s="59" t="s">
        <v>32</v>
      </c>
      <c r="D155" s="59" t="s">
        <v>475</v>
      </c>
      <c r="E155" s="59" t="s">
        <v>476</v>
      </c>
      <c r="F155" s="60">
        <v>45076</v>
      </c>
      <c r="G155" s="59"/>
      <c r="H155" s="59"/>
      <c r="I155" s="59" t="s">
        <v>28</v>
      </c>
      <c r="J155" s="59"/>
      <c r="K155" s="59"/>
      <c r="L155" s="61"/>
    </row>
    <row r="156" spans="1:12" x14ac:dyDescent="0.25">
      <c r="A156" s="54" t="s">
        <v>477</v>
      </c>
      <c r="B156" s="55" t="s">
        <v>478</v>
      </c>
      <c r="C156" s="55" t="s">
        <v>479</v>
      </c>
      <c r="D156" s="55" t="s">
        <v>480</v>
      </c>
      <c r="E156" s="55" t="s">
        <v>481</v>
      </c>
      <c r="F156" s="56">
        <v>45077</v>
      </c>
      <c r="G156" s="55"/>
      <c r="H156" s="55"/>
      <c r="I156" s="55" t="s">
        <v>28</v>
      </c>
      <c r="J156" s="55"/>
      <c r="K156" s="55"/>
      <c r="L156" s="57"/>
    </row>
    <row r="157" spans="1:12" x14ac:dyDescent="0.25">
      <c r="A157" s="58" t="s">
        <v>482</v>
      </c>
      <c r="B157" s="59" t="s">
        <v>13</v>
      </c>
      <c r="C157" s="59" t="s">
        <v>159</v>
      </c>
      <c r="D157" s="59" t="s">
        <v>483</v>
      </c>
      <c r="E157" s="59" t="s">
        <v>484</v>
      </c>
      <c r="F157" s="60">
        <v>45077</v>
      </c>
      <c r="G157" s="60">
        <v>45078</v>
      </c>
      <c r="H157" s="59"/>
      <c r="I157" s="59" t="s">
        <v>28</v>
      </c>
      <c r="J157" s="59"/>
      <c r="K157" s="59"/>
      <c r="L157" s="61"/>
    </row>
    <row r="158" spans="1:12" x14ac:dyDescent="0.25">
      <c r="A158" s="54" t="s">
        <v>485</v>
      </c>
      <c r="B158" s="55" t="s">
        <v>135</v>
      </c>
      <c r="C158" s="55" t="s">
        <v>78</v>
      </c>
      <c r="D158" s="55" t="s">
        <v>79</v>
      </c>
      <c r="E158" s="55" t="s">
        <v>486</v>
      </c>
      <c r="F158" s="56">
        <v>45085</v>
      </c>
      <c r="G158" s="55"/>
      <c r="H158" s="55"/>
      <c r="I158" s="55" t="s">
        <v>17</v>
      </c>
      <c r="J158" s="55"/>
      <c r="K158" s="55"/>
      <c r="L158" s="57"/>
    </row>
    <row r="159" spans="1:12" x14ac:dyDescent="0.25">
      <c r="A159" s="58" t="s">
        <v>487</v>
      </c>
      <c r="B159" s="59" t="s">
        <v>13</v>
      </c>
      <c r="C159" s="59" t="s">
        <v>47</v>
      </c>
      <c r="D159" s="59" t="s">
        <v>48</v>
      </c>
      <c r="E159" s="59" t="s">
        <v>488</v>
      </c>
      <c r="F159" s="60">
        <v>45085</v>
      </c>
      <c r="G159" s="59"/>
      <c r="H159" s="59"/>
      <c r="I159" s="59" t="s">
        <v>28</v>
      </c>
      <c r="J159" s="59" t="s">
        <v>29</v>
      </c>
      <c r="K159" s="59"/>
      <c r="L159" s="61"/>
    </row>
    <row r="160" spans="1:12" x14ac:dyDescent="0.25">
      <c r="A160" s="54" t="s">
        <v>489</v>
      </c>
      <c r="B160" s="55" t="s">
        <v>24</v>
      </c>
      <c r="C160" s="55" t="s">
        <v>191</v>
      </c>
      <c r="D160" s="55"/>
      <c r="E160" s="55" t="s">
        <v>490</v>
      </c>
      <c r="F160" s="56">
        <v>45085</v>
      </c>
      <c r="G160" s="55"/>
      <c r="H160" s="55"/>
      <c r="I160" s="55" t="s">
        <v>17</v>
      </c>
      <c r="J160" s="55"/>
      <c r="K160" s="55"/>
      <c r="L160" s="57"/>
    </row>
    <row r="161" spans="1:12" x14ac:dyDescent="0.25">
      <c r="A161" s="58" t="s">
        <v>491</v>
      </c>
      <c r="B161" s="59" t="s">
        <v>492</v>
      </c>
      <c r="C161" s="59" t="s">
        <v>493</v>
      </c>
      <c r="D161" s="59" t="s">
        <v>494</v>
      </c>
      <c r="E161" s="59" t="s">
        <v>495</v>
      </c>
      <c r="F161" s="60">
        <v>45085</v>
      </c>
      <c r="G161" s="60">
        <v>45091</v>
      </c>
      <c r="H161" s="59"/>
      <c r="I161" s="59" t="s">
        <v>17</v>
      </c>
      <c r="J161" s="59" t="s">
        <v>18</v>
      </c>
      <c r="K161" s="59"/>
      <c r="L161" s="61"/>
    </row>
    <row r="162" spans="1:12" x14ac:dyDescent="0.25">
      <c r="A162" s="54" t="s">
        <v>496</v>
      </c>
      <c r="B162" s="55" t="s">
        <v>135</v>
      </c>
      <c r="C162" s="55" t="s">
        <v>429</v>
      </c>
      <c r="D162" s="55" t="s">
        <v>430</v>
      </c>
      <c r="E162" s="55" t="s">
        <v>497</v>
      </c>
      <c r="F162" s="56">
        <v>45085</v>
      </c>
      <c r="G162" s="55"/>
      <c r="H162" s="55"/>
      <c r="I162" s="55" t="s">
        <v>28</v>
      </c>
      <c r="J162" s="55" t="s">
        <v>29</v>
      </c>
      <c r="K162" s="55"/>
      <c r="L162" s="57"/>
    </row>
    <row r="163" spans="1:12" x14ac:dyDescent="0.25">
      <c r="A163" s="58" t="s">
        <v>498</v>
      </c>
      <c r="B163" s="59" t="s">
        <v>499</v>
      </c>
      <c r="C163" s="59" t="s">
        <v>32</v>
      </c>
      <c r="D163" s="59" t="s">
        <v>500</v>
      </c>
      <c r="E163" s="59" t="s">
        <v>501</v>
      </c>
      <c r="F163" s="60">
        <v>45092</v>
      </c>
      <c r="G163" s="59"/>
      <c r="H163" s="59"/>
      <c r="I163" s="59" t="s">
        <v>28</v>
      </c>
      <c r="J163" s="59" t="s">
        <v>29</v>
      </c>
      <c r="K163" s="59"/>
      <c r="L163" s="61"/>
    </row>
    <row r="164" spans="1:12" x14ac:dyDescent="0.25">
      <c r="A164" s="54" t="s">
        <v>502</v>
      </c>
      <c r="B164" s="55" t="s">
        <v>220</v>
      </c>
      <c r="C164" s="55" t="s">
        <v>253</v>
      </c>
      <c r="D164" s="55" t="s">
        <v>254</v>
      </c>
      <c r="E164" s="55" t="s">
        <v>503</v>
      </c>
      <c r="F164" s="56">
        <v>45093</v>
      </c>
      <c r="G164" s="55"/>
      <c r="H164" s="55"/>
      <c r="I164" s="55" t="s">
        <v>17</v>
      </c>
      <c r="J164" s="55"/>
      <c r="K164" s="55"/>
      <c r="L164" s="57"/>
    </row>
    <row r="165" spans="1:12" x14ac:dyDescent="0.25">
      <c r="A165" s="58" t="s">
        <v>504</v>
      </c>
      <c r="B165" s="59" t="s">
        <v>220</v>
      </c>
      <c r="C165" s="59" t="s">
        <v>253</v>
      </c>
      <c r="D165" s="59" t="s">
        <v>254</v>
      </c>
      <c r="E165" s="59" t="s">
        <v>505</v>
      </c>
      <c r="F165" s="60">
        <v>45093</v>
      </c>
      <c r="G165" s="59"/>
      <c r="H165" s="59"/>
      <c r="I165" s="59" t="s">
        <v>17</v>
      </c>
      <c r="J165" s="59" t="s">
        <v>29</v>
      </c>
      <c r="K165" s="59"/>
      <c r="L165" s="61"/>
    </row>
    <row r="166" spans="1:12" x14ac:dyDescent="0.25">
      <c r="A166" s="54" t="s">
        <v>506</v>
      </c>
      <c r="B166" s="55" t="s">
        <v>24</v>
      </c>
      <c r="C166" s="55" t="s">
        <v>110</v>
      </c>
      <c r="D166" s="55" t="s">
        <v>507</v>
      </c>
      <c r="E166" s="55" t="s">
        <v>508</v>
      </c>
      <c r="F166" s="56">
        <v>45094</v>
      </c>
      <c r="G166" s="55"/>
      <c r="H166" s="55"/>
      <c r="I166" s="55" t="s">
        <v>28</v>
      </c>
      <c r="J166" s="55"/>
      <c r="K166" s="55"/>
      <c r="L166" s="57"/>
    </row>
    <row r="167" spans="1:12" x14ac:dyDescent="0.25">
      <c r="A167" s="58" t="s">
        <v>509</v>
      </c>
      <c r="B167" s="59" t="s">
        <v>13</v>
      </c>
      <c r="C167" s="59" t="s">
        <v>510</v>
      </c>
      <c r="D167" s="59" t="s">
        <v>511</v>
      </c>
      <c r="E167" s="59" t="s">
        <v>512</v>
      </c>
      <c r="F167" s="60">
        <v>45096</v>
      </c>
      <c r="G167" s="59"/>
      <c r="H167" s="59"/>
      <c r="I167" s="59" t="s">
        <v>380</v>
      </c>
      <c r="J167" s="59"/>
      <c r="K167" s="59"/>
      <c r="L167" s="61"/>
    </row>
    <row r="168" spans="1:12" x14ac:dyDescent="0.25">
      <c r="A168" s="54" t="s">
        <v>513</v>
      </c>
      <c r="B168" s="55" t="s">
        <v>514</v>
      </c>
      <c r="C168" s="55" t="s">
        <v>515</v>
      </c>
      <c r="D168" s="55" t="s">
        <v>516</v>
      </c>
      <c r="E168" s="55" t="s">
        <v>517</v>
      </c>
      <c r="F168" s="56">
        <v>45097</v>
      </c>
      <c r="G168" s="55"/>
      <c r="H168" s="55"/>
      <c r="I168" s="55" t="s">
        <v>17</v>
      </c>
      <c r="J168" s="55" t="s">
        <v>29</v>
      </c>
      <c r="K168" s="55"/>
      <c r="L168" s="57"/>
    </row>
    <row r="169" spans="1:12" x14ac:dyDescent="0.25">
      <c r="A169" s="58" t="s">
        <v>518</v>
      </c>
      <c r="B169" s="59" t="s">
        <v>24</v>
      </c>
      <c r="C169" s="59" t="s">
        <v>126</v>
      </c>
      <c r="D169" s="59" t="s">
        <v>36</v>
      </c>
      <c r="E169" s="59" t="s">
        <v>519</v>
      </c>
      <c r="F169" s="60">
        <v>45097</v>
      </c>
      <c r="G169" s="60">
        <v>45097</v>
      </c>
      <c r="H169" s="59"/>
      <c r="I169" s="59" t="s">
        <v>28</v>
      </c>
      <c r="J169" s="59" t="s">
        <v>29</v>
      </c>
      <c r="K169" s="59"/>
      <c r="L169" s="61"/>
    </row>
    <row r="170" spans="1:12" x14ac:dyDescent="0.25">
      <c r="A170" s="54" t="s">
        <v>520</v>
      </c>
      <c r="B170" s="55" t="s">
        <v>13</v>
      </c>
      <c r="C170" s="55" t="s">
        <v>122</v>
      </c>
      <c r="D170" s="55" t="s">
        <v>521</v>
      </c>
      <c r="E170" s="55" t="s">
        <v>522</v>
      </c>
      <c r="F170" s="56">
        <v>45098</v>
      </c>
      <c r="G170" s="55"/>
      <c r="H170" s="55"/>
      <c r="I170" s="55" t="s">
        <v>17</v>
      </c>
      <c r="J170" s="55" t="s">
        <v>18</v>
      </c>
      <c r="K170" s="55"/>
      <c r="L170" s="57"/>
    </row>
    <row r="171" spans="1:12" x14ac:dyDescent="0.25">
      <c r="A171" s="58" t="s">
        <v>523</v>
      </c>
      <c r="B171" s="59" t="s">
        <v>220</v>
      </c>
      <c r="C171" s="59" t="s">
        <v>243</v>
      </c>
      <c r="D171" s="59" t="s">
        <v>244</v>
      </c>
      <c r="E171" s="59" t="s">
        <v>524</v>
      </c>
      <c r="F171" s="60">
        <v>45099</v>
      </c>
      <c r="G171" s="59"/>
      <c r="H171" s="59"/>
      <c r="I171" s="59" t="s">
        <v>17</v>
      </c>
      <c r="J171" s="59"/>
      <c r="K171" s="59"/>
      <c r="L171" s="61"/>
    </row>
    <row r="172" spans="1:12" x14ac:dyDescent="0.25">
      <c r="A172" s="54" t="s">
        <v>525</v>
      </c>
      <c r="B172" s="55" t="s">
        <v>220</v>
      </c>
      <c r="C172" s="55" t="s">
        <v>526</v>
      </c>
      <c r="D172" s="55" t="s">
        <v>527</v>
      </c>
      <c r="E172" s="55" t="s">
        <v>528</v>
      </c>
      <c r="F172" s="56">
        <v>45098</v>
      </c>
      <c r="G172" s="55"/>
      <c r="H172" s="55"/>
      <c r="I172" s="55" t="s">
        <v>385</v>
      </c>
      <c r="J172" s="55"/>
      <c r="K172" s="55"/>
      <c r="L172" s="57"/>
    </row>
    <row r="173" spans="1:12" x14ac:dyDescent="0.25">
      <c r="A173" s="58" t="s">
        <v>529</v>
      </c>
      <c r="B173" s="59" t="s">
        <v>220</v>
      </c>
      <c r="C173" s="59" t="s">
        <v>530</v>
      </c>
      <c r="D173" s="59" t="s">
        <v>531</v>
      </c>
      <c r="E173" s="59" t="s">
        <v>532</v>
      </c>
      <c r="F173" s="60">
        <v>45098</v>
      </c>
      <c r="G173" s="59"/>
      <c r="H173" s="59"/>
      <c r="I173" s="59" t="s">
        <v>17</v>
      </c>
      <c r="J173" s="59"/>
      <c r="K173" s="59"/>
      <c r="L173" s="61"/>
    </row>
    <row r="174" spans="1:12" x14ac:dyDescent="0.25">
      <c r="A174" s="54" t="s">
        <v>533</v>
      </c>
      <c r="B174" s="55" t="s">
        <v>220</v>
      </c>
      <c r="C174" s="55" t="s">
        <v>534</v>
      </c>
      <c r="D174" s="55" t="s">
        <v>535</v>
      </c>
      <c r="E174" s="55" t="s">
        <v>536</v>
      </c>
      <c r="F174" s="56">
        <v>45099</v>
      </c>
      <c r="G174" s="55"/>
      <c r="H174" s="55"/>
      <c r="I174" s="55" t="s">
        <v>28</v>
      </c>
      <c r="J174" s="55"/>
      <c r="K174" s="55"/>
      <c r="L174" s="57"/>
    </row>
    <row r="175" spans="1:12" x14ac:dyDescent="0.25">
      <c r="A175" s="58" t="s">
        <v>537</v>
      </c>
      <c r="B175" s="59" t="s">
        <v>538</v>
      </c>
      <c r="C175" s="59" t="s">
        <v>539</v>
      </c>
      <c r="D175" s="59" t="s">
        <v>540</v>
      </c>
      <c r="E175" s="59" t="s">
        <v>541</v>
      </c>
      <c r="F175" s="60">
        <v>45098</v>
      </c>
      <c r="G175" s="59"/>
      <c r="H175" s="59"/>
      <c r="I175" s="59" t="s">
        <v>17</v>
      </c>
      <c r="J175" s="59" t="s">
        <v>18</v>
      </c>
      <c r="K175" s="59"/>
      <c r="L175" s="61"/>
    </row>
    <row r="176" spans="1:12" x14ac:dyDescent="0.25">
      <c r="A176" s="54" t="s">
        <v>542</v>
      </c>
      <c r="B176" s="55" t="s">
        <v>24</v>
      </c>
      <c r="C176" s="55" t="s">
        <v>126</v>
      </c>
      <c r="D176" s="55" t="s">
        <v>36</v>
      </c>
      <c r="E176" s="55" t="s">
        <v>209</v>
      </c>
      <c r="F176" s="56">
        <v>45104</v>
      </c>
      <c r="G176" s="55"/>
      <c r="H176" s="55"/>
      <c r="I176" s="55" t="s">
        <v>28</v>
      </c>
      <c r="J176" s="55"/>
      <c r="K176" s="55"/>
      <c r="L176" s="57"/>
    </row>
    <row r="177" spans="1:12" x14ac:dyDescent="0.25">
      <c r="A177" s="58" t="s">
        <v>543</v>
      </c>
      <c r="B177" s="59" t="s">
        <v>24</v>
      </c>
      <c r="C177" s="59" t="s">
        <v>126</v>
      </c>
      <c r="D177" s="59" t="s">
        <v>36</v>
      </c>
      <c r="E177" s="59" t="s">
        <v>544</v>
      </c>
      <c r="F177" s="60">
        <v>45104</v>
      </c>
      <c r="G177" s="59"/>
      <c r="H177" s="59"/>
      <c r="I177" s="59" t="s">
        <v>28</v>
      </c>
      <c r="J177" s="59"/>
      <c r="K177" s="59"/>
      <c r="L177" s="61"/>
    </row>
    <row r="178" spans="1:12" x14ac:dyDescent="0.25">
      <c r="A178" s="54" t="s">
        <v>545</v>
      </c>
      <c r="B178" s="55" t="s">
        <v>24</v>
      </c>
      <c r="C178" s="55" t="s">
        <v>126</v>
      </c>
      <c r="D178" s="55" t="s">
        <v>36</v>
      </c>
      <c r="E178" s="55" t="s">
        <v>546</v>
      </c>
      <c r="F178" s="56">
        <v>45104</v>
      </c>
      <c r="G178" s="55"/>
      <c r="H178" s="55"/>
      <c r="I178" s="55" t="s">
        <v>28</v>
      </c>
      <c r="J178" s="55"/>
      <c r="K178" s="55"/>
      <c r="L178" s="57"/>
    </row>
    <row r="179" spans="1:12" x14ac:dyDescent="0.25">
      <c r="A179" s="58" t="s">
        <v>547</v>
      </c>
      <c r="B179" s="59" t="s">
        <v>135</v>
      </c>
      <c r="C179" s="59" t="s">
        <v>78</v>
      </c>
      <c r="D179" s="59" t="s">
        <v>79</v>
      </c>
      <c r="E179" s="59" t="s">
        <v>548</v>
      </c>
      <c r="F179" s="60">
        <v>45114</v>
      </c>
      <c r="G179" s="59"/>
      <c r="H179" s="59"/>
      <c r="I179" s="59" t="s">
        <v>17</v>
      </c>
      <c r="J179" s="59" t="s">
        <v>29</v>
      </c>
      <c r="K179" s="59"/>
      <c r="L179" s="61"/>
    </row>
    <row r="180" spans="1:12" x14ac:dyDescent="0.25">
      <c r="A180" s="54" t="s">
        <v>549</v>
      </c>
      <c r="B180" s="55" t="s">
        <v>135</v>
      </c>
      <c r="C180" s="55" t="s">
        <v>539</v>
      </c>
      <c r="D180" s="55" t="s">
        <v>540</v>
      </c>
      <c r="E180" s="55" t="s">
        <v>550</v>
      </c>
      <c r="F180" s="56">
        <v>45119</v>
      </c>
      <c r="G180" s="55"/>
      <c r="H180" s="55"/>
      <c r="I180" s="55" t="s">
        <v>28</v>
      </c>
      <c r="J180" s="55" t="s">
        <v>29</v>
      </c>
      <c r="K180" s="55"/>
      <c r="L180" s="57"/>
    </row>
    <row r="181" spans="1:12" x14ac:dyDescent="0.25">
      <c r="A181" s="58" t="s">
        <v>551</v>
      </c>
      <c r="B181" s="59" t="s">
        <v>220</v>
      </c>
      <c r="C181" s="59" t="s">
        <v>294</v>
      </c>
      <c r="D181" s="59" t="s">
        <v>552</v>
      </c>
      <c r="E181" s="59" t="s">
        <v>553</v>
      </c>
      <c r="F181" s="60">
        <v>45121</v>
      </c>
      <c r="G181" s="59"/>
      <c r="H181" s="59"/>
      <c r="I181" s="59" t="s">
        <v>28</v>
      </c>
      <c r="J181" s="59"/>
      <c r="K181" s="59"/>
      <c r="L181" s="61"/>
    </row>
    <row r="182" spans="1:12" x14ac:dyDescent="0.25">
      <c r="A182" s="54" t="s">
        <v>554</v>
      </c>
      <c r="B182" s="55" t="s">
        <v>325</v>
      </c>
      <c r="C182" s="55" t="s">
        <v>555</v>
      </c>
      <c r="D182" s="55" t="s">
        <v>556</v>
      </c>
      <c r="E182" s="55" t="s">
        <v>557</v>
      </c>
      <c r="F182" s="56">
        <v>45124</v>
      </c>
      <c r="G182" s="55"/>
      <c r="H182" s="55"/>
      <c r="I182" s="55" t="s">
        <v>17</v>
      </c>
      <c r="J182" s="55" t="s">
        <v>29</v>
      </c>
      <c r="K182" s="55"/>
      <c r="L182" s="57"/>
    </row>
    <row r="183" spans="1:12" x14ac:dyDescent="0.25">
      <c r="A183" s="58" t="s">
        <v>558</v>
      </c>
      <c r="B183" s="59" t="s">
        <v>13</v>
      </c>
      <c r="C183" s="59" t="s">
        <v>559</v>
      </c>
      <c r="D183" s="59" t="s">
        <v>560</v>
      </c>
      <c r="E183" s="59" t="s">
        <v>561</v>
      </c>
      <c r="F183" s="60">
        <v>45126</v>
      </c>
      <c r="G183" s="59"/>
      <c r="H183" s="59"/>
      <c r="I183" s="59" t="s">
        <v>17</v>
      </c>
      <c r="J183" s="59" t="s">
        <v>18</v>
      </c>
      <c r="K183" s="59"/>
      <c r="L183" s="61"/>
    </row>
    <row r="184" spans="1:12" x14ac:dyDescent="0.25">
      <c r="A184" s="54" t="s">
        <v>562</v>
      </c>
      <c r="B184" s="55" t="s">
        <v>135</v>
      </c>
      <c r="C184" s="55" t="s">
        <v>104</v>
      </c>
      <c r="D184" s="55" t="s">
        <v>105</v>
      </c>
      <c r="E184" s="55" t="s">
        <v>563</v>
      </c>
      <c r="F184" s="56">
        <v>45126</v>
      </c>
      <c r="G184" s="55"/>
      <c r="H184" s="55"/>
      <c r="I184" s="55" t="s">
        <v>28</v>
      </c>
      <c r="J184" s="55" t="s">
        <v>18</v>
      </c>
      <c r="K184" s="55"/>
      <c r="L184" s="57"/>
    </row>
    <row r="185" spans="1:12" x14ac:dyDescent="0.25">
      <c r="A185" s="58" t="s">
        <v>564</v>
      </c>
      <c r="B185" s="59" t="s">
        <v>499</v>
      </c>
      <c r="C185" s="59" t="s">
        <v>104</v>
      </c>
      <c r="D185" s="59" t="s">
        <v>105</v>
      </c>
      <c r="E185" s="59" t="s">
        <v>565</v>
      </c>
      <c r="F185" s="60">
        <v>45126</v>
      </c>
      <c r="G185" s="59"/>
      <c r="H185" s="59"/>
      <c r="I185" s="59" t="s">
        <v>28</v>
      </c>
      <c r="J185" s="59" t="s">
        <v>18</v>
      </c>
      <c r="K185" s="59"/>
      <c r="L185" s="61"/>
    </row>
    <row r="186" spans="1:12" x14ac:dyDescent="0.25">
      <c r="A186" s="54" t="s">
        <v>566</v>
      </c>
      <c r="B186" s="55" t="s">
        <v>24</v>
      </c>
      <c r="C186" s="55" t="s">
        <v>43</v>
      </c>
      <c r="D186" s="55" t="s">
        <v>315</v>
      </c>
      <c r="E186" s="55" t="s">
        <v>567</v>
      </c>
      <c r="F186" s="56">
        <v>45131</v>
      </c>
      <c r="G186" s="55"/>
      <c r="H186" s="55"/>
      <c r="I186" s="55" t="s">
        <v>28</v>
      </c>
      <c r="J186" s="55"/>
      <c r="K186" s="55"/>
      <c r="L186" s="57"/>
    </row>
    <row r="187" spans="1:12" x14ac:dyDescent="0.25">
      <c r="A187" s="58" t="s">
        <v>568</v>
      </c>
      <c r="B187" s="59" t="s">
        <v>474</v>
      </c>
      <c r="C187" s="59" t="s">
        <v>43</v>
      </c>
      <c r="D187" s="59" t="s">
        <v>569</v>
      </c>
      <c r="E187" s="59" t="s">
        <v>570</v>
      </c>
      <c r="F187" s="60">
        <v>45134</v>
      </c>
      <c r="G187" s="59"/>
      <c r="H187" s="59"/>
      <c r="I187" s="59" t="s">
        <v>17</v>
      </c>
      <c r="J187" s="59"/>
      <c r="K187" s="59"/>
      <c r="L187" s="61"/>
    </row>
    <row r="188" spans="1:12" x14ac:dyDescent="0.25">
      <c r="A188" s="54" t="s">
        <v>571</v>
      </c>
      <c r="B188" s="55" t="s">
        <v>220</v>
      </c>
      <c r="C188" s="55" t="s">
        <v>253</v>
      </c>
      <c r="D188" s="55" t="s">
        <v>254</v>
      </c>
      <c r="E188" s="55" t="s">
        <v>572</v>
      </c>
      <c r="F188" s="56">
        <v>45142</v>
      </c>
      <c r="G188" s="55"/>
      <c r="H188" s="55"/>
      <c r="I188" s="55" t="s">
        <v>17</v>
      </c>
      <c r="J188" s="55"/>
      <c r="K188" s="55"/>
      <c r="L188" s="57"/>
    </row>
    <row r="189" spans="1:12" x14ac:dyDescent="0.25">
      <c r="A189" s="58" t="s">
        <v>573</v>
      </c>
      <c r="B189" s="59" t="s">
        <v>574</v>
      </c>
      <c r="C189" s="59" t="s">
        <v>407</v>
      </c>
      <c r="D189" s="59" t="s">
        <v>575</v>
      </c>
      <c r="E189" s="59" t="s">
        <v>576</v>
      </c>
      <c r="F189" s="60">
        <v>45148</v>
      </c>
      <c r="G189" s="59"/>
      <c r="H189" s="59"/>
      <c r="I189" s="59" t="s">
        <v>17</v>
      </c>
      <c r="J189" s="59" t="s">
        <v>29</v>
      </c>
      <c r="K189" s="59"/>
      <c r="L189" s="61"/>
    </row>
    <row r="190" spans="1:12" x14ac:dyDescent="0.25">
      <c r="A190" s="54" t="s">
        <v>577</v>
      </c>
      <c r="B190" s="55" t="s">
        <v>474</v>
      </c>
      <c r="C190" s="55" t="s">
        <v>578</v>
      </c>
      <c r="D190" s="55" t="s">
        <v>579</v>
      </c>
      <c r="E190" s="55" t="s">
        <v>580</v>
      </c>
      <c r="F190" s="55"/>
      <c r="G190" s="55"/>
      <c r="H190" s="55"/>
      <c r="I190" s="55" t="s">
        <v>28</v>
      </c>
      <c r="J190" s="55"/>
      <c r="K190" s="55"/>
      <c r="L190" s="57"/>
    </row>
    <row r="191" spans="1:12" x14ac:dyDescent="0.25">
      <c r="A191" s="58" t="s">
        <v>581</v>
      </c>
      <c r="B191" s="59" t="s">
        <v>24</v>
      </c>
      <c r="C191" s="59" t="s">
        <v>43</v>
      </c>
      <c r="D191" s="59" t="s">
        <v>582</v>
      </c>
      <c r="E191" s="59" t="s">
        <v>583</v>
      </c>
      <c r="F191" s="60">
        <v>45154</v>
      </c>
      <c r="G191" s="59"/>
      <c r="H191" s="59"/>
      <c r="I191" s="59" t="s">
        <v>28</v>
      </c>
      <c r="J191" s="59"/>
      <c r="K191" s="59"/>
      <c r="L191" s="61"/>
    </row>
    <row r="192" spans="1:12" x14ac:dyDescent="0.25">
      <c r="A192" s="54" t="s">
        <v>584</v>
      </c>
      <c r="B192" s="55" t="s">
        <v>474</v>
      </c>
      <c r="C192" s="55" t="s">
        <v>43</v>
      </c>
      <c r="D192" s="55" t="s">
        <v>585</v>
      </c>
      <c r="E192" s="55" t="s">
        <v>586</v>
      </c>
      <c r="F192" s="56">
        <v>45156</v>
      </c>
      <c r="G192" s="55"/>
      <c r="H192" s="55"/>
      <c r="I192" s="55" t="s">
        <v>28</v>
      </c>
      <c r="J192" s="55"/>
      <c r="K192" s="55"/>
      <c r="L192" s="57"/>
    </row>
    <row r="193" spans="1:12" x14ac:dyDescent="0.25">
      <c r="A193" s="58" t="s">
        <v>587</v>
      </c>
      <c r="B193" s="59" t="s">
        <v>13</v>
      </c>
      <c r="C193" s="59" t="s">
        <v>51</v>
      </c>
      <c r="D193" s="59" t="s">
        <v>588</v>
      </c>
      <c r="E193" s="59" t="s">
        <v>589</v>
      </c>
      <c r="F193" s="60">
        <v>45159</v>
      </c>
      <c r="G193" s="59"/>
      <c r="H193" s="59"/>
      <c r="I193" s="59" t="s">
        <v>17</v>
      </c>
      <c r="J193" s="59"/>
      <c r="K193" s="59"/>
      <c r="L193" s="61"/>
    </row>
    <row r="194" spans="1:12" x14ac:dyDescent="0.25">
      <c r="A194" s="54" t="s">
        <v>590</v>
      </c>
      <c r="B194" s="55" t="s">
        <v>13</v>
      </c>
      <c r="C194" s="55" t="s">
        <v>298</v>
      </c>
      <c r="D194" s="55" t="s">
        <v>591</v>
      </c>
      <c r="E194" s="55" t="s">
        <v>592</v>
      </c>
      <c r="F194" s="56">
        <v>45162</v>
      </c>
      <c r="G194" s="55"/>
      <c r="H194" s="55"/>
      <c r="I194" s="55" t="s">
        <v>17</v>
      </c>
      <c r="J194" s="55"/>
      <c r="K194" s="55"/>
      <c r="L194" s="57"/>
    </row>
    <row r="195" spans="1:12" x14ac:dyDescent="0.25">
      <c r="A195" s="58" t="s">
        <v>593</v>
      </c>
      <c r="B195" s="59" t="s">
        <v>13</v>
      </c>
      <c r="C195" s="59" t="s">
        <v>411</v>
      </c>
      <c r="D195" s="59" t="s">
        <v>594</v>
      </c>
      <c r="E195" s="59" t="s">
        <v>595</v>
      </c>
      <c r="F195" s="60">
        <v>45168</v>
      </c>
      <c r="G195" s="59"/>
      <c r="H195" s="59"/>
      <c r="I195" s="59" t="s">
        <v>28</v>
      </c>
      <c r="J195" s="59"/>
      <c r="K195" s="59"/>
      <c r="L195" s="61"/>
    </row>
    <row r="196" spans="1:12" x14ac:dyDescent="0.25">
      <c r="A196" s="54" t="s">
        <v>596</v>
      </c>
      <c r="B196" s="55" t="s">
        <v>597</v>
      </c>
      <c r="C196" s="55" t="s">
        <v>598</v>
      </c>
      <c r="D196" s="55" t="s">
        <v>599</v>
      </c>
      <c r="E196" s="55" t="s">
        <v>600</v>
      </c>
      <c r="F196" s="56">
        <v>45162</v>
      </c>
      <c r="G196" s="55"/>
      <c r="H196" s="55"/>
      <c r="I196" s="55" t="s">
        <v>17</v>
      </c>
      <c r="J196" s="55"/>
      <c r="K196" s="55"/>
      <c r="L196" s="57"/>
    </row>
    <row r="197" spans="1:12" x14ac:dyDescent="0.25">
      <c r="A197" s="58" t="s">
        <v>601</v>
      </c>
      <c r="B197" s="59" t="s">
        <v>135</v>
      </c>
      <c r="C197" s="59" t="s">
        <v>602</v>
      </c>
      <c r="D197" s="59" t="s">
        <v>603</v>
      </c>
      <c r="E197" s="59" t="s">
        <v>602</v>
      </c>
      <c r="F197" s="60">
        <v>45159</v>
      </c>
      <c r="G197" s="59"/>
      <c r="H197" s="59"/>
      <c r="I197" s="59" t="s">
        <v>28</v>
      </c>
      <c r="J197" s="59" t="s">
        <v>29</v>
      </c>
      <c r="K197" s="59"/>
      <c r="L197" s="61"/>
    </row>
    <row r="198" spans="1:12" x14ac:dyDescent="0.25">
      <c r="A198" s="54" t="s">
        <v>604</v>
      </c>
      <c r="B198" s="55" t="s">
        <v>538</v>
      </c>
      <c r="C198" s="55" t="s">
        <v>539</v>
      </c>
      <c r="D198" s="55" t="s">
        <v>540</v>
      </c>
      <c r="E198" s="55" t="s">
        <v>605</v>
      </c>
      <c r="F198" s="56">
        <v>45169</v>
      </c>
      <c r="G198" s="55"/>
      <c r="H198" s="55"/>
      <c r="I198" s="55" t="s">
        <v>28</v>
      </c>
      <c r="J198" s="55" t="s">
        <v>29</v>
      </c>
      <c r="K198" s="55"/>
      <c r="L198" s="57"/>
    </row>
    <row r="199" spans="1:12" x14ac:dyDescent="0.25">
      <c r="A199" s="58" t="s">
        <v>606</v>
      </c>
      <c r="B199" s="59" t="s">
        <v>135</v>
      </c>
      <c r="C199" s="59" t="s">
        <v>607</v>
      </c>
      <c r="D199" s="59" t="s">
        <v>608</v>
      </c>
      <c r="E199" s="59" t="s">
        <v>609</v>
      </c>
      <c r="F199" s="60">
        <v>45167</v>
      </c>
      <c r="G199" s="59"/>
      <c r="H199" s="59"/>
      <c r="I199" s="59" t="s">
        <v>17</v>
      </c>
      <c r="J199" s="59"/>
      <c r="K199" s="59"/>
      <c r="L199" s="61"/>
    </row>
    <row r="200" spans="1:12" x14ac:dyDescent="0.25">
      <c r="A200" s="54" t="s">
        <v>610</v>
      </c>
      <c r="B200" s="55" t="s">
        <v>13</v>
      </c>
      <c r="C200" s="55" t="s">
        <v>611</v>
      </c>
      <c r="D200" s="55" t="s">
        <v>612</v>
      </c>
      <c r="E200" s="55" t="s">
        <v>613</v>
      </c>
      <c r="F200" s="56">
        <v>45174</v>
      </c>
      <c r="G200" s="55"/>
      <c r="H200" s="55"/>
      <c r="I200" s="55" t="s">
        <v>28</v>
      </c>
      <c r="J200" s="55"/>
      <c r="K200" s="55"/>
      <c r="L200" s="57"/>
    </row>
    <row r="201" spans="1:12" x14ac:dyDescent="0.25">
      <c r="A201" s="58" t="s">
        <v>614</v>
      </c>
      <c r="B201" s="59" t="s">
        <v>220</v>
      </c>
      <c r="C201" s="59" t="s">
        <v>253</v>
      </c>
      <c r="D201" s="59" t="s">
        <v>254</v>
      </c>
      <c r="E201" s="59" t="s">
        <v>615</v>
      </c>
      <c r="F201" s="60">
        <v>45166</v>
      </c>
      <c r="G201" s="59"/>
      <c r="H201" s="59"/>
      <c r="I201" s="59" t="s">
        <v>17</v>
      </c>
      <c r="J201" s="59"/>
      <c r="K201" s="59"/>
      <c r="L201" s="61"/>
    </row>
    <row r="202" spans="1:12" x14ac:dyDescent="0.25">
      <c r="A202" s="54" t="s">
        <v>616</v>
      </c>
      <c r="B202" s="55" t="s">
        <v>24</v>
      </c>
      <c r="C202" s="55" t="s">
        <v>617</v>
      </c>
      <c r="D202" s="55" t="s">
        <v>618</v>
      </c>
      <c r="E202" s="55" t="s">
        <v>619</v>
      </c>
      <c r="F202" s="56">
        <v>45175</v>
      </c>
      <c r="G202" s="55"/>
      <c r="H202" s="55"/>
      <c r="I202" s="55" t="s">
        <v>17</v>
      </c>
      <c r="J202" s="55"/>
      <c r="K202" s="55"/>
      <c r="L202" s="57"/>
    </row>
    <row r="203" spans="1:12" x14ac:dyDescent="0.25">
      <c r="A203" s="58" t="s">
        <v>620</v>
      </c>
      <c r="B203" s="59" t="s">
        <v>621</v>
      </c>
      <c r="C203" s="59" t="s">
        <v>51</v>
      </c>
      <c r="D203" s="59" t="s">
        <v>588</v>
      </c>
      <c r="E203" s="59" t="s">
        <v>622</v>
      </c>
      <c r="F203" s="60">
        <v>45182</v>
      </c>
      <c r="G203" s="59"/>
      <c r="H203" s="59"/>
      <c r="I203" s="59" t="s">
        <v>17</v>
      </c>
      <c r="J203" s="59"/>
      <c r="K203" s="59"/>
      <c r="L203" s="61"/>
    </row>
    <row r="204" spans="1:12" x14ac:dyDescent="0.25">
      <c r="A204" s="54" t="s">
        <v>623</v>
      </c>
      <c r="B204" s="55" t="s">
        <v>220</v>
      </c>
      <c r="C204" s="55" t="s">
        <v>253</v>
      </c>
      <c r="D204" s="55" t="s">
        <v>254</v>
      </c>
      <c r="E204" s="55" t="s">
        <v>624</v>
      </c>
      <c r="F204" s="56">
        <v>45176</v>
      </c>
      <c r="G204" s="55"/>
      <c r="H204" s="55"/>
      <c r="I204" s="55" t="s">
        <v>28</v>
      </c>
      <c r="J204" s="55"/>
      <c r="K204" s="55"/>
      <c r="L204" s="57"/>
    </row>
    <row r="205" spans="1:12" x14ac:dyDescent="0.25">
      <c r="A205" s="58" t="s">
        <v>625</v>
      </c>
      <c r="B205" s="59" t="s">
        <v>24</v>
      </c>
      <c r="C205" s="59" t="s">
        <v>126</v>
      </c>
      <c r="D205" s="59" t="s">
        <v>232</v>
      </c>
      <c r="E205" s="59" t="s">
        <v>626</v>
      </c>
      <c r="F205" s="60">
        <v>45183</v>
      </c>
      <c r="G205" s="59"/>
      <c r="H205" s="59"/>
      <c r="I205" s="59" t="s">
        <v>28</v>
      </c>
      <c r="J205" s="59"/>
      <c r="K205" s="59"/>
      <c r="L205" s="61"/>
    </row>
    <row r="206" spans="1:12" x14ac:dyDescent="0.25">
      <c r="A206" s="54" t="s">
        <v>627</v>
      </c>
      <c r="B206" s="55" t="s">
        <v>220</v>
      </c>
      <c r="C206" s="55" t="s">
        <v>25</v>
      </c>
      <c r="D206" s="55" t="s">
        <v>628</v>
      </c>
      <c r="E206" s="55" t="s">
        <v>629</v>
      </c>
      <c r="F206" s="56">
        <v>45183</v>
      </c>
      <c r="G206" s="55"/>
      <c r="H206" s="55"/>
      <c r="I206" s="55" t="s">
        <v>28</v>
      </c>
      <c r="J206" s="55"/>
      <c r="K206" s="55"/>
      <c r="L206" s="57"/>
    </row>
    <row r="207" spans="1:12" x14ac:dyDescent="0.25">
      <c r="A207" s="58" t="s">
        <v>630</v>
      </c>
      <c r="B207" s="59" t="s">
        <v>13</v>
      </c>
      <c r="C207" s="59" t="s">
        <v>104</v>
      </c>
      <c r="D207" s="59" t="s">
        <v>105</v>
      </c>
      <c r="E207" s="59" t="s">
        <v>631</v>
      </c>
      <c r="F207" s="60">
        <v>45184</v>
      </c>
      <c r="G207" s="59"/>
      <c r="H207" s="59"/>
      <c r="I207" s="59" t="s">
        <v>28</v>
      </c>
      <c r="J207" s="59"/>
      <c r="K207" s="59"/>
      <c r="L207" s="61"/>
    </row>
    <row r="208" spans="1:12" x14ac:dyDescent="0.25">
      <c r="A208" s="54" t="s">
        <v>632</v>
      </c>
      <c r="B208" s="55" t="s">
        <v>621</v>
      </c>
      <c r="C208" s="55" t="s">
        <v>479</v>
      </c>
      <c r="D208" s="55" t="s">
        <v>633</v>
      </c>
      <c r="E208" s="55" t="s">
        <v>634</v>
      </c>
      <c r="F208" s="56">
        <v>45188</v>
      </c>
      <c r="G208" s="55"/>
      <c r="H208" s="55"/>
      <c r="I208" s="55" t="s">
        <v>17</v>
      </c>
      <c r="J208" s="55"/>
      <c r="K208" s="55"/>
      <c r="L208" s="57"/>
    </row>
    <row r="209" spans="1:12" x14ac:dyDescent="0.25">
      <c r="A209" s="58" t="s">
        <v>635</v>
      </c>
      <c r="B209" s="59" t="s">
        <v>474</v>
      </c>
      <c r="C209" s="59" t="s">
        <v>578</v>
      </c>
      <c r="D209" s="59" t="s">
        <v>326</v>
      </c>
      <c r="E209" s="59" t="s">
        <v>636</v>
      </c>
      <c r="F209" s="60">
        <v>45188</v>
      </c>
      <c r="G209" s="59"/>
      <c r="H209" s="59"/>
      <c r="I209" s="59" t="s">
        <v>28</v>
      </c>
      <c r="J209" s="59"/>
      <c r="K209" s="59"/>
      <c r="L209" s="61"/>
    </row>
    <row r="210" spans="1:12" x14ac:dyDescent="0.25">
      <c r="A210" s="54" t="s">
        <v>637</v>
      </c>
      <c r="B210" s="55" t="s">
        <v>220</v>
      </c>
      <c r="C210" s="55" t="s">
        <v>70</v>
      </c>
      <c r="D210" s="55" t="s">
        <v>71</v>
      </c>
      <c r="E210" s="55" t="s">
        <v>638</v>
      </c>
      <c r="F210" s="56">
        <v>45188</v>
      </c>
      <c r="G210" s="55"/>
      <c r="H210" s="55"/>
      <c r="I210" s="55" t="s">
        <v>28</v>
      </c>
      <c r="J210" s="55"/>
      <c r="K210" s="55"/>
      <c r="L210" s="57"/>
    </row>
    <row r="211" spans="1:12" x14ac:dyDescent="0.25">
      <c r="A211" s="58" t="s">
        <v>639</v>
      </c>
      <c r="B211" s="59" t="s">
        <v>220</v>
      </c>
      <c r="C211" s="59" t="s">
        <v>253</v>
      </c>
      <c r="D211" s="59" t="s">
        <v>254</v>
      </c>
      <c r="E211" s="59" t="s">
        <v>640</v>
      </c>
      <c r="F211" s="60">
        <v>45194</v>
      </c>
      <c r="G211" s="59"/>
      <c r="H211" s="59"/>
      <c r="I211" s="59" t="s">
        <v>28</v>
      </c>
      <c r="J211" s="59"/>
      <c r="K211" s="59"/>
      <c r="L211" s="61"/>
    </row>
    <row r="212" spans="1:12" x14ac:dyDescent="0.25">
      <c r="A212" s="54" t="s">
        <v>641</v>
      </c>
      <c r="B212" s="55" t="s">
        <v>135</v>
      </c>
      <c r="C212" s="55" t="s">
        <v>611</v>
      </c>
      <c r="D212" s="55" t="s">
        <v>111</v>
      </c>
      <c r="E212" s="55" t="s">
        <v>642</v>
      </c>
      <c r="F212" s="56">
        <v>45196</v>
      </c>
      <c r="G212" s="55"/>
      <c r="H212" s="55"/>
      <c r="I212" s="55" t="s">
        <v>17</v>
      </c>
      <c r="J212" s="55" t="s">
        <v>29</v>
      </c>
      <c r="K212" s="55"/>
      <c r="L212" s="57"/>
    </row>
    <row r="213" spans="1:12" x14ac:dyDescent="0.25">
      <c r="A213" s="58" t="s">
        <v>643</v>
      </c>
      <c r="B213" s="59" t="s">
        <v>135</v>
      </c>
      <c r="C213" s="59" t="s">
        <v>644</v>
      </c>
      <c r="D213" s="59" t="s">
        <v>645</v>
      </c>
      <c r="E213" s="59" t="s">
        <v>646</v>
      </c>
      <c r="F213" s="60">
        <v>45197</v>
      </c>
      <c r="G213" s="59"/>
      <c r="H213" s="59"/>
      <c r="I213" s="59" t="s">
        <v>28</v>
      </c>
      <c r="J213" s="59"/>
      <c r="K213" s="59"/>
      <c r="L213" s="61"/>
    </row>
    <row r="214" spans="1:12" x14ac:dyDescent="0.25">
      <c r="A214" s="54" t="s">
        <v>647</v>
      </c>
      <c r="B214" s="55" t="s">
        <v>24</v>
      </c>
      <c r="C214" s="55" t="s">
        <v>611</v>
      </c>
      <c r="D214" s="55" t="s">
        <v>111</v>
      </c>
      <c r="E214" s="55" t="s">
        <v>648</v>
      </c>
      <c r="F214" s="56">
        <v>45203</v>
      </c>
      <c r="G214" s="55"/>
      <c r="H214" s="55"/>
      <c r="I214" s="55" t="s">
        <v>28</v>
      </c>
      <c r="J214" s="55"/>
      <c r="K214" s="55"/>
      <c r="L214" s="57"/>
    </row>
    <row r="215" spans="1:12" x14ac:dyDescent="0.25">
      <c r="A215" s="58" t="s">
        <v>649</v>
      </c>
      <c r="B215" s="59" t="s">
        <v>24</v>
      </c>
      <c r="C215" s="59" t="s">
        <v>126</v>
      </c>
      <c r="D215" s="59" t="s">
        <v>232</v>
      </c>
      <c r="E215" s="59" t="s">
        <v>650</v>
      </c>
      <c r="F215" s="60">
        <v>45208</v>
      </c>
      <c r="G215" s="59"/>
      <c r="H215" s="59"/>
      <c r="I215" s="59" t="s">
        <v>28</v>
      </c>
      <c r="J215" s="59"/>
      <c r="K215" s="59"/>
      <c r="L215" s="61"/>
    </row>
    <row r="216" spans="1:12" x14ac:dyDescent="0.25">
      <c r="A216" s="54" t="s">
        <v>651</v>
      </c>
      <c r="B216" s="55" t="s">
        <v>13</v>
      </c>
      <c r="C216" s="55" t="s">
        <v>652</v>
      </c>
      <c r="D216" s="55" t="s">
        <v>79</v>
      </c>
      <c r="E216" s="55" t="s">
        <v>653</v>
      </c>
      <c r="F216" s="56">
        <v>45212</v>
      </c>
      <c r="G216" s="55"/>
      <c r="H216" s="55"/>
      <c r="I216" s="55" t="s">
        <v>28</v>
      </c>
      <c r="J216" s="55"/>
      <c r="K216" s="55"/>
      <c r="L216" s="57"/>
    </row>
    <row r="217" spans="1:12" x14ac:dyDescent="0.25">
      <c r="A217" s="58" t="s">
        <v>654</v>
      </c>
      <c r="B217" s="59" t="s">
        <v>13</v>
      </c>
      <c r="C217" s="59" t="s">
        <v>652</v>
      </c>
      <c r="D217" s="59" t="s">
        <v>79</v>
      </c>
      <c r="E217" s="59" t="s">
        <v>655</v>
      </c>
      <c r="F217" s="60">
        <v>45212</v>
      </c>
      <c r="G217" s="59"/>
      <c r="H217" s="59"/>
      <c r="I217" s="59" t="s">
        <v>28</v>
      </c>
      <c r="J217" s="59"/>
      <c r="K217" s="59"/>
      <c r="L217" s="61"/>
    </row>
    <row r="218" spans="1:12" x14ac:dyDescent="0.25">
      <c r="A218" s="54" t="s">
        <v>656</v>
      </c>
      <c r="B218" s="55" t="s">
        <v>220</v>
      </c>
      <c r="C218" s="55" t="s">
        <v>25</v>
      </c>
      <c r="D218" s="55" t="s">
        <v>628</v>
      </c>
      <c r="E218" s="55" t="s">
        <v>657</v>
      </c>
      <c r="F218" s="56">
        <v>45212</v>
      </c>
      <c r="G218" s="55"/>
      <c r="H218" s="55"/>
      <c r="I218" s="55" t="s">
        <v>28</v>
      </c>
      <c r="J218" s="55"/>
      <c r="K218" s="55"/>
      <c r="L218" s="57"/>
    </row>
    <row r="219" spans="1:12" x14ac:dyDescent="0.25">
      <c r="A219" s="58" t="s">
        <v>658</v>
      </c>
      <c r="B219" s="59" t="s">
        <v>325</v>
      </c>
      <c r="C219" s="59" t="s">
        <v>659</v>
      </c>
      <c r="D219" s="59"/>
      <c r="E219" s="59" t="s">
        <v>660</v>
      </c>
      <c r="F219" s="60">
        <v>45216</v>
      </c>
      <c r="G219" s="59"/>
      <c r="H219" s="59"/>
      <c r="I219" s="59" t="s">
        <v>17</v>
      </c>
      <c r="J219" s="59"/>
      <c r="K219" s="59"/>
      <c r="L219" s="61"/>
    </row>
    <row r="220" spans="1:12" x14ac:dyDescent="0.25">
      <c r="A220" s="54" t="s">
        <v>661</v>
      </c>
      <c r="B220" s="55" t="s">
        <v>24</v>
      </c>
      <c r="C220" s="55" t="s">
        <v>611</v>
      </c>
      <c r="D220" s="55" t="s">
        <v>111</v>
      </c>
      <c r="E220" s="55" t="s">
        <v>662</v>
      </c>
      <c r="F220" s="56">
        <v>45217</v>
      </c>
      <c r="G220" s="55"/>
      <c r="H220" s="55"/>
      <c r="I220" s="55" t="s">
        <v>28</v>
      </c>
      <c r="J220" s="55"/>
      <c r="K220" s="55"/>
      <c r="L220" s="57"/>
    </row>
    <row r="221" spans="1:12" x14ac:dyDescent="0.25">
      <c r="A221" s="58" t="s">
        <v>663</v>
      </c>
      <c r="B221" s="59" t="s">
        <v>220</v>
      </c>
      <c r="C221" s="59" t="s">
        <v>265</v>
      </c>
      <c r="D221" s="59" t="s">
        <v>664</v>
      </c>
      <c r="E221" s="59" t="s">
        <v>665</v>
      </c>
      <c r="F221" s="60">
        <v>45219</v>
      </c>
      <c r="G221" s="59"/>
      <c r="H221" s="59"/>
      <c r="I221" s="59" t="s">
        <v>17</v>
      </c>
      <c r="J221" s="59"/>
      <c r="K221" s="59"/>
      <c r="L221" s="61"/>
    </row>
    <row r="222" spans="1:12" x14ac:dyDescent="0.25">
      <c r="A222" s="54" t="s">
        <v>666</v>
      </c>
      <c r="B222" s="55" t="s">
        <v>667</v>
      </c>
      <c r="C222" s="55" t="s">
        <v>578</v>
      </c>
      <c r="D222" s="55" t="s">
        <v>326</v>
      </c>
      <c r="E222" s="55" t="s">
        <v>668</v>
      </c>
      <c r="F222" s="56">
        <v>45224</v>
      </c>
      <c r="G222" s="55"/>
      <c r="H222" s="55"/>
      <c r="I222" s="55" t="s">
        <v>28</v>
      </c>
      <c r="J222" s="55"/>
      <c r="K222" s="55"/>
      <c r="L222" s="57"/>
    </row>
    <row r="223" spans="1:12" x14ac:dyDescent="0.25">
      <c r="A223" s="58" t="s">
        <v>669</v>
      </c>
      <c r="B223" s="59" t="s">
        <v>13</v>
      </c>
      <c r="C223" s="59" t="s">
        <v>670</v>
      </c>
      <c r="D223" s="59" t="s">
        <v>671</v>
      </c>
      <c r="E223" s="59" t="s">
        <v>672</v>
      </c>
      <c r="F223" s="60">
        <v>45225</v>
      </c>
      <c r="G223" s="59"/>
      <c r="H223" s="59"/>
      <c r="I223" s="59" t="s">
        <v>17</v>
      </c>
      <c r="J223" s="59"/>
      <c r="K223" s="59"/>
      <c r="L223" s="61"/>
    </row>
    <row r="224" spans="1:12" x14ac:dyDescent="0.25">
      <c r="A224" s="54" t="s">
        <v>673</v>
      </c>
      <c r="B224" s="55" t="s">
        <v>13</v>
      </c>
      <c r="C224" s="55" t="s">
        <v>555</v>
      </c>
      <c r="D224" s="55" t="s">
        <v>674</v>
      </c>
      <c r="E224" s="55" t="s">
        <v>675</v>
      </c>
      <c r="F224" s="56">
        <v>45245</v>
      </c>
      <c r="G224" s="55"/>
      <c r="H224" s="55"/>
      <c r="I224" s="55" t="s">
        <v>17</v>
      </c>
      <c r="J224" s="55"/>
      <c r="K224" s="55"/>
      <c r="L224" s="57"/>
    </row>
    <row r="225" spans="1:12" x14ac:dyDescent="0.25">
      <c r="A225" s="58" t="s">
        <v>676</v>
      </c>
      <c r="B225" s="59" t="s">
        <v>220</v>
      </c>
      <c r="C225" s="59" t="s">
        <v>677</v>
      </c>
      <c r="D225" s="59" t="s">
        <v>678</v>
      </c>
      <c r="E225" s="59" t="s">
        <v>679</v>
      </c>
      <c r="F225" s="60">
        <v>45226</v>
      </c>
      <c r="G225" s="59"/>
      <c r="H225" s="59"/>
      <c r="I225" s="59" t="s">
        <v>28</v>
      </c>
      <c r="J225" s="59"/>
      <c r="K225" s="59"/>
      <c r="L225" s="61"/>
    </row>
    <row r="226" spans="1:12" x14ac:dyDescent="0.25">
      <c r="A226" s="54" t="s">
        <v>680</v>
      </c>
      <c r="B226" s="55" t="s">
        <v>474</v>
      </c>
      <c r="C226" s="55" t="s">
        <v>32</v>
      </c>
      <c r="D226" s="55" t="s">
        <v>475</v>
      </c>
      <c r="E226" s="55" t="s">
        <v>681</v>
      </c>
      <c r="F226" s="56">
        <v>45229</v>
      </c>
      <c r="G226" s="55"/>
      <c r="H226" s="55"/>
      <c r="I226" s="55" t="s">
        <v>17</v>
      </c>
      <c r="J226" s="55"/>
      <c r="K226" s="55"/>
      <c r="L226" s="57"/>
    </row>
    <row r="227" spans="1:12" x14ac:dyDescent="0.25">
      <c r="A227" s="58" t="s">
        <v>682</v>
      </c>
      <c r="B227" s="59" t="s">
        <v>478</v>
      </c>
      <c r="C227" s="59" t="s">
        <v>611</v>
      </c>
      <c r="D227" s="59" t="s">
        <v>111</v>
      </c>
      <c r="E227" s="59" t="s">
        <v>683</v>
      </c>
      <c r="F227" s="59"/>
      <c r="G227" s="59"/>
      <c r="H227" s="59"/>
      <c r="I227" s="59" t="s">
        <v>28</v>
      </c>
      <c r="J227" s="59"/>
      <c r="K227" s="59"/>
      <c r="L227" s="61"/>
    </row>
    <row r="228" spans="1:12" x14ac:dyDescent="0.25">
      <c r="A228" s="54" t="s">
        <v>684</v>
      </c>
      <c r="B228" s="55" t="s">
        <v>13</v>
      </c>
      <c r="C228" s="55" t="s">
        <v>243</v>
      </c>
      <c r="D228" s="55" t="s">
        <v>244</v>
      </c>
      <c r="E228" s="55" t="s">
        <v>685</v>
      </c>
      <c r="F228" s="56">
        <v>45230</v>
      </c>
      <c r="G228" s="55"/>
      <c r="H228" s="55"/>
      <c r="I228" s="55" t="s">
        <v>17</v>
      </c>
      <c r="J228" s="55" t="s">
        <v>29</v>
      </c>
      <c r="K228" s="55"/>
      <c r="L228" s="57"/>
    </row>
    <row r="229" spans="1:12" x14ac:dyDescent="0.25">
      <c r="A229" s="58" t="s">
        <v>686</v>
      </c>
      <c r="B229" s="59" t="s">
        <v>135</v>
      </c>
      <c r="C229" s="59" t="s">
        <v>247</v>
      </c>
      <c r="D229" s="59"/>
      <c r="E229" s="59" t="s">
        <v>687</v>
      </c>
      <c r="F229" s="60">
        <v>45230</v>
      </c>
      <c r="G229" s="59"/>
      <c r="H229" s="59"/>
      <c r="I229" s="59" t="s">
        <v>28</v>
      </c>
      <c r="J229" s="59" t="s">
        <v>29</v>
      </c>
      <c r="K229" s="59"/>
      <c r="L229" s="61"/>
    </row>
    <row r="230" spans="1:12" x14ac:dyDescent="0.25">
      <c r="A230" s="54" t="s">
        <v>688</v>
      </c>
      <c r="B230" s="55" t="s">
        <v>220</v>
      </c>
      <c r="C230" s="55" t="s">
        <v>70</v>
      </c>
      <c r="D230" s="55" t="s">
        <v>71</v>
      </c>
      <c r="E230" s="55" t="s">
        <v>689</v>
      </c>
      <c r="F230" s="56">
        <v>45232</v>
      </c>
      <c r="G230" s="55"/>
      <c r="H230" s="55"/>
      <c r="I230" s="55" t="s">
        <v>28</v>
      </c>
      <c r="J230" s="55"/>
      <c r="K230" s="55"/>
      <c r="L230" s="57"/>
    </row>
    <row r="231" spans="1:12" x14ac:dyDescent="0.25">
      <c r="A231" s="58" t="s">
        <v>690</v>
      </c>
      <c r="B231" s="59" t="s">
        <v>220</v>
      </c>
      <c r="C231" s="59" t="s">
        <v>677</v>
      </c>
      <c r="D231" s="59" t="s">
        <v>678</v>
      </c>
      <c r="E231" s="59" t="s">
        <v>691</v>
      </c>
      <c r="F231" s="60">
        <v>45232</v>
      </c>
      <c r="G231" s="59"/>
      <c r="H231" s="59"/>
      <c r="I231" s="59" t="s">
        <v>28</v>
      </c>
      <c r="J231" s="59"/>
      <c r="K231" s="59"/>
      <c r="L231" s="61"/>
    </row>
    <row r="232" spans="1:12" x14ac:dyDescent="0.25">
      <c r="A232" s="54" t="s">
        <v>692</v>
      </c>
      <c r="B232" s="55" t="s">
        <v>693</v>
      </c>
      <c r="C232" s="55" t="s">
        <v>407</v>
      </c>
      <c r="D232" s="55" t="s">
        <v>694</v>
      </c>
      <c r="E232" s="55" t="s">
        <v>695</v>
      </c>
      <c r="F232" s="56">
        <v>45223</v>
      </c>
      <c r="G232" s="55"/>
      <c r="H232" s="55"/>
      <c r="I232" s="55" t="s">
        <v>17</v>
      </c>
      <c r="J232" s="55"/>
      <c r="K232" s="55"/>
      <c r="L232" s="57"/>
    </row>
    <row r="233" spans="1:12" x14ac:dyDescent="0.25">
      <c r="A233" s="58" t="s">
        <v>696</v>
      </c>
      <c r="B233" s="59" t="s">
        <v>24</v>
      </c>
      <c r="C233" s="59" t="s">
        <v>611</v>
      </c>
      <c r="D233" s="59" t="s">
        <v>111</v>
      </c>
      <c r="E233" s="59" t="s">
        <v>697</v>
      </c>
      <c r="F233" s="60">
        <v>45237</v>
      </c>
      <c r="G233" s="59"/>
      <c r="H233" s="59"/>
      <c r="I233" s="59" t="s">
        <v>28</v>
      </c>
      <c r="J233" s="59"/>
      <c r="K233" s="59"/>
      <c r="L233" s="61"/>
    </row>
    <row r="234" spans="1:12" x14ac:dyDescent="0.25">
      <c r="A234" s="54" t="s">
        <v>698</v>
      </c>
      <c r="B234" s="55" t="s">
        <v>13</v>
      </c>
      <c r="C234" s="55" t="s">
        <v>122</v>
      </c>
      <c r="D234" s="55" t="s">
        <v>699</v>
      </c>
      <c r="E234" s="55" t="s">
        <v>700</v>
      </c>
      <c r="F234" s="56">
        <v>45239</v>
      </c>
      <c r="G234" s="55"/>
      <c r="H234" s="55"/>
      <c r="I234" s="55" t="s">
        <v>17</v>
      </c>
      <c r="J234" s="55" t="s">
        <v>18</v>
      </c>
      <c r="K234" s="55"/>
      <c r="L234" s="57"/>
    </row>
    <row r="235" spans="1:12" x14ac:dyDescent="0.25">
      <c r="A235" s="58" t="s">
        <v>701</v>
      </c>
      <c r="B235" s="59" t="s">
        <v>13</v>
      </c>
      <c r="C235" s="59" t="s">
        <v>51</v>
      </c>
      <c r="D235" s="59" t="s">
        <v>588</v>
      </c>
      <c r="E235" s="59" t="s">
        <v>702</v>
      </c>
      <c r="F235" s="60">
        <v>45243</v>
      </c>
      <c r="G235" s="59"/>
      <c r="H235" s="59"/>
      <c r="I235" s="59" t="s">
        <v>17</v>
      </c>
      <c r="J235" s="59" t="s">
        <v>29</v>
      </c>
      <c r="K235" s="59"/>
      <c r="L235" s="61"/>
    </row>
    <row r="236" spans="1:12" x14ac:dyDescent="0.25">
      <c r="A236" s="54" t="s">
        <v>703</v>
      </c>
      <c r="B236" s="55" t="s">
        <v>704</v>
      </c>
      <c r="C236" s="55" t="s">
        <v>126</v>
      </c>
      <c r="D236" s="55"/>
      <c r="E236" s="55" t="s">
        <v>705</v>
      </c>
      <c r="F236" s="56">
        <v>45245</v>
      </c>
      <c r="G236" s="55"/>
      <c r="H236" s="55"/>
      <c r="I236" s="55" t="s">
        <v>28</v>
      </c>
      <c r="J236" s="55"/>
      <c r="K236" s="55"/>
      <c r="L236" s="57"/>
    </row>
    <row r="237" spans="1:12" x14ac:dyDescent="0.25">
      <c r="A237" s="58" t="s">
        <v>706</v>
      </c>
      <c r="B237" s="59" t="s">
        <v>13</v>
      </c>
      <c r="C237" s="59" t="s">
        <v>51</v>
      </c>
      <c r="D237" s="59" t="s">
        <v>588</v>
      </c>
      <c r="E237" s="59" t="s">
        <v>707</v>
      </c>
      <c r="F237" s="60">
        <v>45245</v>
      </c>
      <c r="G237" s="59"/>
      <c r="H237" s="59"/>
      <c r="I237" s="59" t="s">
        <v>17</v>
      </c>
      <c r="J237" s="59"/>
      <c r="K237" s="59"/>
      <c r="L237" s="61"/>
    </row>
    <row r="238" spans="1:12" x14ac:dyDescent="0.25">
      <c r="A238" s="54" t="s">
        <v>708</v>
      </c>
      <c r="B238" s="55" t="s">
        <v>13</v>
      </c>
      <c r="C238" s="55" t="s">
        <v>51</v>
      </c>
      <c r="D238" s="55" t="s">
        <v>52</v>
      </c>
      <c r="E238" s="55" t="s">
        <v>709</v>
      </c>
      <c r="F238" s="56">
        <v>45247</v>
      </c>
      <c r="G238" s="55"/>
      <c r="H238" s="55"/>
      <c r="I238" s="55" t="s">
        <v>17</v>
      </c>
      <c r="J238" s="55"/>
      <c r="K238" s="55"/>
      <c r="L238" s="57"/>
    </row>
    <row r="239" spans="1:12" x14ac:dyDescent="0.25">
      <c r="A239" s="58" t="s">
        <v>710</v>
      </c>
      <c r="B239" s="59" t="s">
        <v>711</v>
      </c>
      <c r="C239" s="59" t="s">
        <v>607</v>
      </c>
      <c r="D239" s="59" t="s">
        <v>608</v>
      </c>
      <c r="E239" s="59" t="s">
        <v>712</v>
      </c>
      <c r="F239" s="60">
        <v>45247</v>
      </c>
      <c r="G239" s="59"/>
      <c r="H239" s="59"/>
      <c r="I239" s="59" t="s">
        <v>17</v>
      </c>
      <c r="J239" s="59"/>
      <c r="K239" s="59"/>
      <c r="L239" s="64"/>
    </row>
    <row r="240" spans="1:12" x14ac:dyDescent="0.25">
      <c r="A240" s="54" t="s">
        <v>713</v>
      </c>
      <c r="B240" s="55" t="s">
        <v>714</v>
      </c>
      <c r="C240" s="55" t="s">
        <v>32</v>
      </c>
      <c r="D240" s="55" t="s">
        <v>397</v>
      </c>
      <c r="E240" s="55" t="s">
        <v>715</v>
      </c>
      <c r="F240" s="56">
        <v>45250</v>
      </c>
      <c r="G240" s="55"/>
      <c r="H240" s="55"/>
      <c r="I240" s="55" t="s">
        <v>17</v>
      </c>
      <c r="J240" s="55"/>
      <c r="K240" s="55"/>
      <c r="L240" s="57"/>
    </row>
    <row r="241" spans="1:12" x14ac:dyDescent="0.25">
      <c r="A241" s="58" t="s">
        <v>716</v>
      </c>
      <c r="B241" s="59" t="s">
        <v>714</v>
      </c>
      <c r="C241" s="59" t="s">
        <v>32</v>
      </c>
      <c r="D241" s="59" t="s">
        <v>397</v>
      </c>
      <c r="E241" s="59" t="s">
        <v>717</v>
      </c>
      <c r="F241" s="60">
        <v>45250</v>
      </c>
      <c r="G241" s="59"/>
      <c r="H241" s="59"/>
      <c r="I241" s="59" t="s">
        <v>17</v>
      </c>
      <c r="J241" s="59"/>
      <c r="K241" s="59"/>
      <c r="L241" s="61"/>
    </row>
    <row r="242" spans="1:12" x14ac:dyDescent="0.25">
      <c r="A242" s="54" t="s">
        <v>718</v>
      </c>
      <c r="B242" s="55" t="s">
        <v>24</v>
      </c>
      <c r="C242" s="55" t="s">
        <v>611</v>
      </c>
      <c r="D242" s="55" t="s">
        <v>111</v>
      </c>
      <c r="E242" s="55" t="s">
        <v>719</v>
      </c>
      <c r="F242" s="56">
        <v>45250</v>
      </c>
      <c r="G242" s="55"/>
      <c r="H242" s="55"/>
      <c r="I242" s="55" t="s">
        <v>28</v>
      </c>
      <c r="J242" s="55"/>
      <c r="K242" s="55"/>
      <c r="L242" s="57"/>
    </row>
    <row r="243" spans="1:12" x14ac:dyDescent="0.25">
      <c r="A243" s="58" t="s">
        <v>720</v>
      </c>
      <c r="B243" s="59" t="s">
        <v>24</v>
      </c>
      <c r="C243" s="59" t="s">
        <v>611</v>
      </c>
      <c r="D243" s="59" t="s">
        <v>111</v>
      </c>
      <c r="E243" s="59" t="s">
        <v>721</v>
      </c>
      <c r="F243" s="60">
        <v>45250</v>
      </c>
      <c r="G243" s="59"/>
      <c r="H243" s="59"/>
      <c r="I243" s="59" t="s">
        <v>28</v>
      </c>
      <c r="J243" s="59"/>
      <c r="K243" s="59"/>
      <c r="L243" s="61"/>
    </row>
    <row r="244" spans="1:12" x14ac:dyDescent="0.25">
      <c r="A244" s="54" t="s">
        <v>722</v>
      </c>
      <c r="B244" s="55" t="s">
        <v>325</v>
      </c>
      <c r="C244" s="55" t="s">
        <v>265</v>
      </c>
      <c r="D244" s="55" t="s">
        <v>723</v>
      </c>
      <c r="E244" s="55" t="s">
        <v>724</v>
      </c>
      <c r="F244" s="56">
        <v>45250</v>
      </c>
      <c r="G244" s="55"/>
      <c r="H244" s="55"/>
      <c r="I244" s="55" t="s">
        <v>17</v>
      </c>
      <c r="J244" s="55"/>
      <c r="K244" s="55"/>
      <c r="L244" s="57"/>
    </row>
    <row r="245" spans="1:12" x14ac:dyDescent="0.25">
      <c r="A245" s="58" t="s">
        <v>725</v>
      </c>
      <c r="B245" s="59" t="s">
        <v>726</v>
      </c>
      <c r="C245" s="59" t="s">
        <v>555</v>
      </c>
      <c r="D245" s="59" t="s">
        <v>556</v>
      </c>
      <c r="E245" s="59" t="s">
        <v>727</v>
      </c>
      <c r="F245" s="60">
        <v>45250</v>
      </c>
      <c r="G245" s="59"/>
      <c r="H245" s="59"/>
      <c r="I245" s="59" t="s">
        <v>17</v>
      </c>
      <c r="J245" s="59"/>
      <c r="K245" s="59"/>
      <c r="L245" s="61"/>
    </row>
    <row r="246" spans="1:12" x14ac:dyDescent="0.25">
      <c r="A246" s="54" t="s">
        <v>728</v>
      </c>
      <c r="B246" s="55" t="s">
        <v>729</v>
      </c>
      <c r="C246" s="55" t="s">
        <v>70</v>
      </c>
      <c r="D246" s="55"/>
      <c r="E246" s="55" t="s">
        <v>730</v>
      </c>
      <c r="F246" s="56">
        <v>45250</v>
      </c>
      <c r="G246" s="55"/>
      <c r="H246" s="55"/>
      <c r="I246" s="55" t="s">
        <v>17</v>
      </c>
      <c r="J246" s="55"/>
      <c r="K246" s="55"/>
      <c r="L246" s="57"/>
    </row>
    <row r="247" spans="1:12" x14ac:dyDescent="0.25">
      <c r="A247" s="58" t="s">
        <v>731</v>
      </c>
      <c r="B247" s="59" t="s">
        <v>732</v>
      </c>
      <c r="C247" s="59" t="s">
        <v>32</v>
      </c>
      <c r="D247" s="59" t="s">
        <v>397</v>
      </c>
      <c r="E247" s="59" t="s">
        <v>733</v>
      </c>
      <c r="F247" s="60">
        <v>45251</v>
      </c>
      <c r="G247" s="59"/>
      <c r="H247" s="59"/>
      <c r="I247" s="59" t="s">
        <v>17</v>
      </c>
      <c r="J247" s="59"/>
      <c r="K247" s="59"/>
      <c r="L247" s="61"/>
    </row>
    <row r="248" spans="1:12" x14ac:dyDescent="0.25">
      <c r="A248" s="54" t="s">
        <v>734</v>
      </c>
      <c r="B248" s="55" t="s">
        <v>220</v>
      </c>
      <c r="C248" s="55" t="s">
        <v>411</v>
      </c>
      <c r="D248" s="55"/>
      <c r="E248" s="55" t="s">
        <v>735</v>
      </c>
      <c r="F248" s="56">
        <v>45251</v>
      </c>
      <c r="G248" s="55"/>
      <c r="H248" s="55"/>
      <c r="I248" s="55" t="s">
        <v>17</v>
      </c>
      <c r="J248" s="55"/>
      <c r="K248" s="55"/>
      <c r="L248" s="57"/>
    </row>
    <row r="249" spans="1:12" x14ac:dyDescent="0.25">
      <c r="A249" s="58" t="s">
        <v>736</v>
      </c>
      <c r="B249" s="59" t="s">
        <v>325</v>
      </c>
      <c r="C249" s="59" t="s">
        <v>265</v>
      </c>
      <c r="D249" s="59" t="s">
        <v>723</v>
      </c>
      <c r="E249" s="59" t="s">
        <v>737</v>
      </c>
      <c r="F249" s="60">
        <v>45252</v>
      </c>
      <c r="G249" s="59"/>
      <c r="H249" s="59"/>
      <c r="I249" s="59" t="s">
        <v>17</v>
      </c>
      <c r="J249" s="59"/>
      <c r="K249" s="59"/>
      <c r="L249" s="61"/>
    </row>
    <row r="250" spans="1:12" x14ac:dyDescent="0.25">
      <c r="A250" s="54" t="s">
        <v>738</v>
      </c>
      <c r="B250" s="55" t="s">
        <v>13</v>
      </c>
      <c r="C250" s="55" t="s">
        <v>739</v>
      </c>
      <c r="D250" s="55" t="s">
        <v>79</v>
      </c>
      <c r="E250" s="55" t="s">
        <v>740</v>
      </c>
      <c r="F250" s="56">
        <v>45257</v>
      </c>
      <c r="G250" s="55"/>
      <c r="H250" s="55"/>
      <c r="I250" s="55" t="s">
        <v>17</v>
      </c>
      <c r="J250" s="55"/>
      <c r="K250" s="55"/>
      <c r="L250" s="57"/>
    </row>
    <row r="251" spans="1:12" x14ac:dyDescent="0.25">
      <c r="A251" s="58" t="s">
        <v>741</v>
      </c>
      <c r="B251" s="59" t="s">
        <v>135</v>
      </c>
      <c r="C251" s="59" t="s">
        <v>742</v>
      </c>
      <c r="D251" s="59" t="s">
        <v>743</v>
      </c>
      <c r="E251" s="59" t="s">
        <v>744</v>
      </c>
      <c r="F251" s="60">
        <v>45257</v>
      </c>
      <c r="G251" s="59"/>
      <c r="H251" s="59"/>
      <c r="I251" s="59" t="s">
        <v>28</v>
      </c>
      <c r="J251" s="59" t="s">
        <v>29</v>
      </c>
      <c r="K251" s="59"/>
      <c r="L251" s="61"/>
    </row>
    <row r="252" spans="1:12" x14ac:dyDescent="0.25">
      <c r="A252" s="54" t="s">
        <v>745</v>
      </c>
      <c r="B252" s="55" t="s">
        <v>24</v>
      </c>
      <c r="C252" s="55" t="s">
        <v>126</v>
      </c>
      <c r="D252" s="55" t="s">
        <v>746</v>
      </c>
      <c r="E252" s="55" t="s">
        <v>747</v>
      </c>
      <c r="F252" s="56">
        <v>45267</v>
      </c>
      <c r="G252" s="55"/>
      <c r="H252" s="55"/>
      <c r="I252" s="55" t="s">
        <v>28</v>
      </c>
      <c r="J252" s="55"/>
      <c r="K252" s="55"/>
      <c r="L252" s="57"/>
    </row>
    <row r="253" spans="1:12" x14ac:dyDescent="0.25">
      <c r="A253" s="58" t="s">
        <v>748</v>
      </c>
      <c r="B253" s="59" t="s">
        <v>24</v>
      </c>
      <c r="C253" s="59" t="s">
        <v>126</v>
      </c>
      <c r="D253" s="59" t="s">
        <v>746</v>
      </c>
      <c r="E253" s="59" t="s">
        <v>749</v>
      </c>
      <c r="F253" s="60">
        <v>45267</v>
      </c>
      <c r="G253" s="59"/>
      <c r="H253" s="59"/>
      <c r="I253" s="59" t="s">
        <v>28</v>
      </c>
      <c r="J253" s="59"/>
      <c r="K253" s="59"/>
      <c r="L253" s="61"/>
    </row>
    <row r="254" spans="1:12" x14ac:dyDescent="0.25">
      <c r="A254" s="54" t="s">
        <v>750</v>
      </c>
      <c r="B254" s="55" t="s">
        <v>220</v>
      </c>
      <c r="C254" s="55" t="s">
        <v>32</v>
      </c>
      <c r="D254" s="55" t="s">
        <v>751</v>
      </c>
      <c r="E254" s="55" t="s">
        <v>752</v>
      </c>
      <c r="F254" s="56">
        <v>45274</v>
      </c>
      <c r="G254" s="55"/>
      <c r="H254" s="55"/>
      <c r="I254" s="55" t="s">
        <v>17</v>
      </c>
      <c r="J254" s="55"/>
      <c r="K254" s="55"/>
      <c r="L254" s="57"/>
    </row>
    <row r="255" spans="1:12" x14ac:dyDescent="0.25">
      <c r="A255" s="58" t="s">
        <v>753</v>
      </c>
      <c r="B255" s="59" t="s">
        <v>704</v>
      </c>
      <c r="C255" s="59" t="s">
        <v>754</v>
      </c>
      <c r="D255" s="59" t="s">
        <v>755</v>
      </c>
      <c r="E255" s="59" t="s">
        <v>316</v>
      </c>
      <c r="F255" s="60">
        <v>45274</v>
      </c>
      <c r="G255" s="59"/>
      <c r="H255" s="59"/>
      <c r="I255" s="59" t="s">
        <v>17</v>
      </c>
      <c r="J255" s="59"/>
      <c r="K255" s="59"/>
      <c r="L255" s="61"/>
    </row>
    <row r="256" spans="1:12" x14ac:dyDescent="0.25">
      <c r="A256" s="54" t="s">
        <v>756</v>
      </c>
      <c r="B256" s="55" t="s">
        <v>13</v>
      </c>
      <c r="C256" s="55" t="s">
        <v>47</v>
      </c>
      <c r="D256" s="55" t="s">
        <v>757</v>
      </c>
      <c r="E256" s="55" t="s">
        <v>758</v>
      </c>
      <c r="F256" s="56">
        <v>45279</v>
      </c>
      <c r="G256" s="55"/>
      <c r="H256" s="55"/>
      <c r="I256" s="55" t="s">
        <v>28</v>
      </c>
      <c r="J256" s="55"/>
      <c r="K256" s="55"/>
      <c r="L256" s="57"/>
    </row>
    <row r="257" spans="1:12" x14ac:dyDescent="0.25">
      <c r="A257" s="58" t="s">
        <v>759</v>
      </c>
      <c r="B257" s="59" t="s">
        <v>24</v>
      </c>
      <c r="C257" s="59" t="s">
        <v>43</v>
      </c>
      <c r="D257" s="59" t="s">
        <v>582</v>
      </c>
      <c r="E257" s="59" t="s">
        <v>760</v>
      </c>
      <c r="F257" s="60">
        <v>45279</v>
      </c>
      <c r="G257" s="59"/>
      <c r="H257" s="59"/>
      <c r="I257" s="59" t="s">
        <v>28</v>
      </c>
      <c r="J257" s="59"/>
      <c r="K257" s="59"/>
      <c r="L257" s="61"/>
    </row>
    <row r="258" spans="1:12" x14ac:dyDescent="0.25">
      <c r="A258" s="54" t="s">
        <v>761</v>
      </c>
      <c r="B258" s="55" t="s">
        <v>13</v>
      </c>
      <c r="C258" s="55" t="s">
        <v>310</v>
      </c>
      <c r="D258" s="55" t="s">
        <v>762</v>
      </c>
      <c r="E258" s="55" t="s">
        <v>763</v>
      </c>
      <c r="F258" s="56">
        <v>45281</v>
      </c>
      <c r="G258" s="55"/>
      <c r="H258" s="55"/>
      <c r="I258" s="55" t="s">
        <v>28</v>
      </c>
      <c r="J258" s="55"/>
      <c r="K258" s="55"/>
      <c r="L258" s="57"/>
    </row>
    <row r="259" spans="1:12" x14ac:dyDescent="0.25">
      <c r="A259" s="58" t="s">
        <v>764</v>
      </c>
      <c r="B259" s="59" t="s">
        <v>474</v>
      </c>
      <c r="C259" s="59" t="s">
        <v>765</v>
      </c>
      <c r="D259" s="59" t="s">
        <v>766</v>
      </c>
      <c r="E259" s="59" t="s">
        <v>767</v>
      </c>
      <c r="F259" s="60">
        <v>45282</v>
      </c>
      <c r="G259" s="59"/>
      <c r="H259" s="59"/>
      <c r="I259" s="59" t="s">
        <v>17</v>
      </c>
      <c r="J259" s="59"/>
      <c r="K259" s="59"/>
      <c r="L259" s="61"/>
    </row>
    <row r="260" spans="1:12" x14ac:dyDescent="0.25">
      <c r="A260" s="54" t="s">
        <v>768</v>
      </c>
      <c r="B260" s="55" t="s">
        <v>769</v>
      </c>
      <c r="C260" s="55" t="s">
        <v>770</v>
      </c>
      <c r="D260" s="55" t="s">
        <v>766</v>
      </c>
      <c r="E260" s="55" t="s">
        <v>771</v>
      </c>
      <c r="F260" s="56">
        <v>45282</v>
      </c>
      <c r="G260" s="55"/>
      <c r="H260" s="55"/>
      <c r="I260" s="55" t="s">
        <v>17</v>
      </c>
      <c r="J260" s="55"/>
      <c r="K260" s="55"/>
      <c r="L260" s="57"/>
    </row>
    <row r="261" spans="1:12" x14ac:dyDescent="0.25">
      <c r="A261" s="58" t="s">
        <v>772</v>
      </c>
      <c r="B261" s="59" t="s">
        <v>773</v>
      </c>
      <c r="C261" s="59" t="s">
        <v>774</v>
      </c>
      <c r="D261" s="59" t="s">
        <v>775</v>
      </c>
      <c r="E261" s="59" t="s">
        <v>776</v>
      </c>
      <c r="F261" s="60">
        <v>45288</v>
      </c>
      <c r="G261" s="59"/>
      <c r="H261" s="59"/>
      <c r="I261" s="59" t="s">
        <v>28</v>
      </c>
      <c r="J261" s="59"/>
      <c r="K261" s="59"/>
      <c r="L261" s="61"/>
    </row>
    <row r="262" spans="1:12" x14ac:dyDescent="0.25">
      <c r="A262" s="54" t="s">
        <v>777</v>
      </c>
      <c r="B262" s="55" t="s">
        <v>704</v>
      </c>
      <c r="C262" s="55" t="s">
        <v>778</v>
      </c>
      <c r="D262" s="55" t="s">
        <v>779</v>
      </c>
      <c r="E262" s="55" t="s">
        <v>780</v>
      </c>
      <c r="F262" s="56">
        <v>44930</v>
      </c>
      <c r="G262" s="55"/>
      <c r="H262" s="55"/>
      <c r="I262" s="55" t="s">
        <v>28</v>
      </c>
      <c r="J262" s="55"/>
      <c r="K262" s="55"/>
      <c r="L262" s="57"/>
    </row>
    <row r="263" spans="1:12" x14ac:dyDescent="0.25">
      <c r="A263" s="58" t="s">
        <v>781</v>
      </c>
      <c r="B263" s="59" t="s">
        <v>24</v>
      </c>
      <c r="C263" s="59" t="s">
        <v>126</v>
      </c>
      <c r="D263" s="59" t="s">
        <v>232</v>
      </c>
      <c r="E263" s="59" t="s">
        <v>782</v>
      </c>
      <c r="F263" s="60">
        <v>45299</v>
      </c>
      <c r="G263" s="59"/>
      <c r="H263" s="59"/>
      <c r="I263" s="59" t="s">
        <v>28</v>
      </c>
      <c r="J263" s="59"/>
      <c r="K263" s="59"/>
      <c r="L263" s="61"/>
    </row>
    <row r="264" spans="1:12" x14ac:dyDescent="0.25">
      <c r="A264" s="54" t="s">
        <v>783</v>
      </c>
      <c r="B264" s="55" t="s">
        <v>135</v>
      </c>
      <c r="C264" s="55" t="s">
        <v>784</v>
      </c>
      <c r="D264" s="55" t="s">
        <v>785</v>
      </c>
      <c r="E264" s="55" t="s">
        <v>786</v>
      </c>
      <c r="F264" s="56">
        <v>45302</v>
      </c>
      <c r="G264" s="55"/>
      <c r="H264" s="55"/>
      <c r="I264" s="55" t="s">
        <v>17</v>
      </c>
      <c r="J264" s="55" t="s">
        <v>29</v>
      </c>
      <c r="K264" s="55"/>
      <c r="L264" s="57"/>
    </row>
    <row r="265" spans="1:12" x14ac:dyDescent="0.25">
      <c r="A265" s="58" t="s">
        <v>787</v>
      </c>
      <c r="B265" s="59" t="s">
        <v>704</v>
      </c>
      <c r="C265" s="59" t="s">
        <v>555</v>
      </c>
      <c r="D265" s="59" t="s">
        <v>556</v>
      </c>
      <c r="E265" s="59" t="s">
        <v>788</v>
      </c>
      <c r="F265" s="60">
        <v>45302</v>
      </c>
      <c r="G265" s="59"/>
      <c r="H265" s="59"/>
      <c r="I265" s="59" t="s">
        <v>17</v>
      </c>
      <c r="J265" s="59"/>
      <c r="K265" s="59"/>
      <c r="L265" s="61"/>
    </row>
    <row r="266" spans="1:12" x14ac:dyDescent="0.25">
      <c r="A266" s="54" t="s">
        <v>789</v>
      </c>
      <c r="B266" s="55" t="s">
        <v>325</v>
      </c>
      <c r="C266" s="55" t="s">
        <v>790</v>
      </c>
      <c r="D266" s="55"/>
      <c r="E266" s="55" t="s">
        <v>791</v>
      </c>
      <c r="F266" s="56">
        <v>45303</v>
      </c>
      <c r="G266" s="55"/>
      <c r="H266" s="55"/>
      <c r="I266" s="55" t="s">
        <v>28</v>
      </c>
      <c r="J266" s="55"/>
      <c r="K266" s="55"/>
      <c r="L266" s="57"/>
    </row>
    <row r="267" spans="1:12" x14ac:dyDescent="0.25">
      <c r="A267" s="58" t="s">
        <v>792</v>
      </c>
      <c r="B267" s="59" t="s">
        <v>325</v>
      </c>
      <c r="C267" s="59" t="s">
        <v>555</v>
      </c>
      <c r="D267" s="59" t="s">
        <v>793</v>
      </c>
      <c r="E267" s="59" t="s">
        <v>794</v>
      </c>
      <c r="F267" s="60">
        <v>45306</v>
      </c>
      <c r="G267" s="59"/>
      <c r="H267" s="59"/>
      <c r="I267" s="59" t="s">
        <v>17</v>
      </c>
      <c r="J267" s="59"/>
      <c r="K267" s="59"/>
      <c r="L267" s="61"/>
    </row>
    <row r="268" spans="1:12" x14ac:dyDescent="0.25">
      <c r="A268" s="54" t="s">
        <v>795</v>
      </c>
      <c r="B268" s="55" t="s">
        <v>13</v>
      </c>
      <c r="C268" s="55" t="s">
        <v>739</v>
      </c>
      <c r="D268" s="55" t="s">
        <v>79</v>
      </c>
      <c r="E268" s="55" t="s">
        <v>796</v>
      </c>
      <c r="F268" s="56">
        <v>45320</v>
      </c>
      <c r="G268" s="55"/>
      <c r="H268" s="55"/>
      <c r="I268" s="55" t="s">
        <v>28</v>
      </c>
      <c r="J268" s="55"/>
      <c r="K268" s="55"/>
      <c r="L268" s="57"/>
    </row>
    <row r="269" spans="1:12" x14ac:dyDescent="0.25">
      <c r="A269" s="58" t="s">
        <v>797</v>
      </c>
      <c r="B269" s="59" t="s">
        <v>499</v>
      </c>
      <c r="C269" s="59" t="s">
        <v>555</v>
      </c>
      <c r="D269" s="59" t="s">
        <v>798</v>
      </c>
      <c r="E269" s="59" t="s">
        <v>799</v>
      </c>
      <c r="F269" s="60">
        <v>45321</v>
      </c>
      <c r="G269" s="59"/>
      <c r="H269" s="59"/>
      <c r="I269" s="59" t="s">
        <v>17</v>
      </c>
      <c r="J269" s="59" t="s">
        <v>29</v>
      </c>
      <c r="K269" s="59"/>
      <c r="L269" s="61"/>
    </row>
    <row r="270" spans="1:12" x14ac:dyDescent="0.25">
      <c r="A270" s="54" t="s">
        <v>800</v>
      </c>
      <c r="B270" s="55" t="s">
        <v>13</v>
      </c>
      <c r="C270" s="55" t="s">
        <v>801</v>
      </c>
      <c r="D270" s="55" t="s">
        <v>48</v>
      </c>
      <c r="E270" s="55" t="s">
        <v>802</v>
      </c>
      <c r="F270" s="56">
        <v>45321</v>
      </c>
      <c r="G270" s="55"/>
      <c r="H270" s="55"/>
      <c r="I270" s="55" t="s">
        <v>17</v>
      </c>
      <c r="J270" s="55"/>
      <c r="K270" s="55"/>
      <c r="L270" s="57"/>
    </row>
    <row r="271" spans="1:12" x14ac:dyDescent="0.25">
      <c r="A271" s="58" t="s">
        <v>803</v>
      </c>
      <c r="B271" s="59" t="s">
        <v>325</v>
      </c>
      <c r="C271" s="59" t="s">
        <v>253</v>
      </c>
      <c r="D271" s="59"/>
      <c r="E271" s="59" t="s">
        <v>804</v>
      </c>
      <c r="F271" s="60">
        <v>45324</v>
      </c>
      <c r="G271" s="59"/>
      <c r="H271" s="59"/>
      <c r="I271" s="59" t="s">
        <v>28</v>
      </c>
      <c r="J271" s="59"/>
      <c r="K271" s="59"/>
      <c r="L271" s="61"/>
    </row>
    <row r="272" spans="1:12" x14ac:dyDescent="0.25">
      <c r="A272" s="54" t="s">
        <v>805</v>
      </c>
      <c r="B272" s="55" t="s">
        <v>13</v>
      </c>
      <c r="C272" s="55" t="s">
        <v>310</v>
      </c>
      <c r="D272" s="55" t="s">
        <v>762</v>
      </c>
      <c r="E272" s="55" t="s">
        <v>806</v>
      </c>
      <c r="F272" s="56">
        <v>45334</v>
      </c>
      <c r="G272" s="55"/>
      <c r="H272" s="55"/>
      <c r="I272" s="55" t="s">
        <v>17</v>
      </c>
      <c r="J272" s="55"/>
      <c r="K272" s="55"/>
      <c r="L272" s="57"/>
    </row>
    <row r="273" spans="1:12" x14ac:dyDescent="0.25">
      <c r="A273" s="58" t="s">
        <v>807</v>
      </c>
      <c r="B273" s="59" t="s">
        <v>13</v>
      </c>
      <c r="C273" s="59" t="s">
        <v>51</v>
      </c>
      <c r="D273" s="59" t="s">
        <v>52</v>
      </c>
      <c r="E273" s="59" t="s">
        <v>808</v>
      </c>
      <c r="F273" s="60">
        <v>45335</v>
      </c>
      <c r="G273" s="59"/>
      <c r="H273" s="59"/>
      <c r="I273" s="59" t="s">
        <v>17</v>
      </c>
      <c r="J273" s="59"/>
      <c r="K273" s="59"/>
      <c r="L273" s="61"/>
    </row>
    <row r="274" spans="1:12" x14ac:dyDescent="0.25">
      <c r="A274" s="54" t="s">
        <v>809</v>
      </c>
      <c r="B274" s="55" t="s">
        <v>13</v>
      </c>
      <c r="C274" s="55" t="s">
        <v>51</v>
      </c>
      <c r="D274" s="55" t="s">
        <v>588</v>
      </c>
      <c r="E274" s="55" t="s">
        <v>810</v>
      </c>
      <c r="F274" s="56">
        <v>45346</v>
      </c>
      <c r="G274" s="55"/>
      <c r="H274" s="55"/>
      <c r="I274" s="55" t="s">
        <v>17</v>
      </c>
      <c r="J274" s="55"/>
      <c r="K274" s="55"/>
      <c r="L274" s="57"/>
    </row>
    <row r="275" spans="1:12" x14ac:dyDescent="0.25">
      <c r="A275" s="58" t="s">
        <v>811</v>
      </c>
      <c r="B275" s="59" t="s">
        <v>812</v>
      </c>
      <c r="C275" s="59" t="s">
        <v>739</v>
      </c>
      <c r="D275" s="59" t="s">
        <v>79</v>
      </c>
      <c r="E275" s="59" t="s">
        <v>813</v>
      </c>
      <c r="F275" s="59"/>
      <c r="G275" s="59"/>
      <c r="H275" s="59"/>
      <c r="I275" s="59" t="s">
        <v>28</v>
      </c>
      <c r="J275" s="59"/>
      <c r="K275" s="59"/>
      <c r="L275" s="61"/>
    </row>
    <row r="276" spans="1:12" x14ac:dyDescent="0.25">
      <c r="A276" s="54" t="s">
        <v>814</v>
      </c>
      <c r="B276" s="55" t="s">
        <v>24</v>
      </c>
      <c r="C276" s="55" t="s">
        <v>126</v>
      </c>
      <c r="D276" s="55" t="s">
        <v>746</v>
      </c>
      <c r="E276" s="55" t="s">
        <v>815</v>
      </c>
      <c r="F276" s="56">
        <v>45344</v>
      </c>
      <c r="G276" s="55"/>
      <c r="H276" s="55"/>
      <c r="I276" s="55" t="s">
        <v>17</v>
      </c>
      <c r="J276" s="55"/>
      <c r="K276" s="55"/>
      <c r="L276" s="57"/>
    </row>
    <row r="277" spans="1:12" x14ac:dyDescent="0.25">
      <c r="A277" s="58" t="s">
        <v>816</v>
      </c>
      <c r="B277" s="59" t="s">
        <v>13</v>
      </c>
      <c r="C277" s="59" t="s">
        <v>411</v>
      </c>
      <c r="D277" s="59" t="s">
        <v>817</v>
      </c>
      <c r="E277" s="59" t="s">
        <v>818</v>
      </c>
      <c r="F277" s="60">
        <v>45345</v>
      </c>
      <c r="G277" s="59"/>
      <c r="H277" s="59"/>
      <c r="I277" s="59" t="s">
        <v>28</v>
      </c>
      <c r="J277" s="59"/>
      <c r="K277" s="59"/>
      <c r="L277" s="61"/>
    </row>
    <row r="278" spans="1:12" x14ac:dyDescent="0.25">
      <c r="A278" s="54" t="s">
        <v>819</v>
      </c>
      <c r="B278" s="55" t="s">
        <v>24</v>
      </c>
      <c r="C278" s="55" t="s">
        <v>126</v>
      </c>
      <c r="D278" s="55" t="s">
        <v>820</v>
      </c>
      <c r="E278" s="55" t="s">
        <v>821</v>
      </c>
      <c r="F278" s="56">
        <v>45352</v>
      </c>
      <c r="G278" s="55"/>
      <c r="H278" s="55"/>
      <c r="I278" s="55" t="s">
        <v>28</v>
      </c>
      <c r="J278" s="55"/>
      <c r="K278" s="55"/>
      <c r="L278" s="57"/>
    </row>
    <row r="279" spans="1:12" x14ac:dyDescent="0.25">
      <c r="A279" s="58" t="s">
        <v>822</v>
      </c>
      <c r="B279" s="59" t="s">
        <v>13</v>
      </c>
      <c r="C279" s="59" t="s">
        <v>51</v>
      </c>
      <c r="D279" s="59" t="s">
        <v>588</v>
      </c>
      <c r="E279" s="59" t="s">
        <v>823</v>
      </c>
      <c r="F279" s="60">
        <v>45355</v>
      </c>
      <c r="G279" s="59"/>
      <c r="H279" s="59"/>
      <c r="I279" s="59" t="s">
        <v>28</v>
      </c>
      <c r="J279" s="59"/>
      <c r="K279" s="59"/>
      <c r="L279" s="61"/>
    </row>
    <row r="280" spans="1:12" x14ac:dyDescent="0.25">
      <c r="A280" s="54" t="s">
        <v>824</v>
      </c>
      <c r="B280" s="55" t="s">
        <v>825</v>
      </c>
      <c r="C280" s="55" t="s">
        <v>826</v>
      </c>
      <c r="D280" s="55" t="s">
        <v>765</v>
      </c>
      <c r="E280" s="55" t="s">
        <v>827</v>
      </c>
      <c r="F280" s="56">
        <v>45352</v>
      </c>
      <c r="G280" s="55"/>
      <c r="H280" s="55"/>
      <c r="I280" s="55" t="s">
        <v>385</v>
      </c>
      <c r="J280" s="55"/>
      <c r="K280" s="55"/>
      <c r="L280" s="57"/>
    </row>
    <row r="281" spans="1:12" x14ac:dyDescent="0.25">
      <c r="A281" s="58" t="s">
        <v>828</v>
      </c>
      <c r="B281" s="59" t="s">
        <v>24</v>
      </c>
      <c r="C281" s="59" t="s">
        <v>43</v>
      </c>
      <c r="D281" s="59" t="s">
        <v>459</v>
      </c>
      <c r="E281" s="59" t="s">
        <v>829</v>
      </c>
      <c r="F281" s="60">
        <v>45356</v>
      </c>
      <c r="G281" s="59"/>
      <c r="H281" s="59"/>
      <c r="I281" s="59" t="s">
        <v>28</v>
      </c>
      <c r="J281" s="59"/>
      <c r="K281" s="59"/>
      <c r="L281" s="61"/>
    </row>
    <row r="282" spans="1:12" x14ac:dyDescent="0.25">
      <c r="A282" s="54" t="s">
        <v>830</v>
      </c>
      <c r="B282" s="55" t="s">
        <v>704</v>
      </c>
      <c r="C282" s="55" t="s">
        <v>677</v>
      </c>
      <c r="D282" s="55" t="s">
        <v>678</v>
      </c>
      <c r="E282" s="55" t="s">
        <v>831</v>
      </c>
      <c r="F282" s="56">
        <v>45359</v>
      </c>
      <c r="G282" s="55"/>
      <c r="H282" s="55"/>
      <c r="I282" s="62" t="s">
        <v>832</v>
      </c>
      <c r="J282" s="55"/>
      <c r="K282" s="55"/>
      <c r="L282" s="57"/>
    </row>
    <row r="283" spans="1:12" x14ac:dyDescent="0.25">
      <c r="A283" s="58" t="s">
        <v>833</v>
      </c>
      <c r="B283" s="59" t="s">
        <v>13</v>
      </c>
      <c r="C283" s="59" t="s">
        <v>70</v>
      </c>
      <c r="D283" s="59" t="s">
        <v>834</v>
      </c>
      <c r="E283" s="59" t="s">
        <v>835</v>
      </c>
      <c r="F283" s="60">
        <v>45362</v>
      </c>
      <c r="G283" s="59"/>
      <c r="H283" s="59"/>
      <c r="I283" s="59" t="s">
        <v>17</v>
      </c>
      <c r="J283" s="59"/>
      <c r="K283" s="59"/>
      <c r="L283" s="61"/>
    </row>
    <row r="284" spans="1:12" x14ac:dyDescent="0.25">
      <c r="A284" s="54" t="s">
        <v>836</v>
      </c>
      <c r="B284" s="55" t="s">
        <v>220</v>
      </c>
      <c r="C284" s="55" t="s">
        <v>411</v>
      </c>
      <c r="D284" s="55" t="s">
        <v>817</v>
      </c>
      <c r="E284" s="55" t="s">
        <v>837</v>
      </c>
      <c r="F284" s="56">
        <v>45364</v>
      </c>
      <c r="G284" s="55"/>
      <c r="H284" s="55"/>
      <c r="I284" s="55" t="s">
        <v>28</v>
      </c>
      <c r="J284" s="55"/>
      <c r="K284" s="55"/>
      <c r="L284" s="57"/>
    </row>
    <row r="285" spans="1:12" x14ac:dyDescent="0.25">
      <c r="A285" s="58" t="s">
        <v>838</v>
      </c>
      <c r="B285" s="59" t="s">
        <v>325</v>
      </c>
      <c r="C285" s="59" t="s">
        <v>839</v>
      </c>
      <c r="D285" s="59" t="s">
        <v>840</v>
      </c>
      <c r="E285" s="59" t="s">
        <v>841</v>
      </c>
      <c r="F285" s="59"/>
      <c r="G285" s="59"/>
      <c r="H285" s="59"/>
      <c r="I285" s="59" t="s">
        <v>17</v>
      </c>
      <c r="J285" s="59"/>
      <c r="K285" s="59"/>
      <c r="L285" s="61"/>
    </row>
    <row r="286" spans="1:12" x14ac:dyDescent="0.25">
      <c r="A286" s="54" t="s">
        <v>842</v>
      </c>
      <c r="B286" s="55" t="s">
        <v>13</v>
      </c>
      <c r="C286" s="55" t="s">
        <v>555</v>
      </c>
      <c r="D286" s="55" t="s">
        <v>843</v>
      </c>
      <c r="E286" s="55" t="s">
        <v>844</v>
      </c>
      <c r="F286" s="56">
        <v>45365</v>
      </c>
      <c r="G286" s="55"/>
      <c r="H286" s="55"/>
      <c r="I286" s="55" t="s">
        <v>17</v>
      </c>
      <c r="J286" s="55"/>
      <c r="K286" s="55"/>
      <c r="L286" s="57"/>
    </row>
    <row r="287" spans="1:12" x14ac:dyDescent="0.25">
      <c r="A287" s="58" t="s">
        <v>845</v>
      </c>
      <c r="B287" s="59" t="s">
        <v>24</v>
      </c>
      <c r="C287" s="59" t="s">
        <v>43</v>
      </c>
      <c r="D287" s="59" t="s">
        <v>459</v>
      </c>
      <c r="E287" s="59" t="s">
        <v>846</v>
      </c>
      <c r="F287" s="60">
        <v>45380</v>
      </c>
      <c r="G287" s="59"/>
      <c r="H287" s="59"/>
      <c r="I287" s="59" t="s">
        <v>17</v>
      </c>
      <c r="J287" s="59"/>
      <c r="K287" s="59"/>
      <c r="L287" s="61"/>
    </row>
    <row r="288" spans="1:12" x14ac:dyDescent="0.25">
      <c r="A288" s="54" t="s">
        <v>847</v>
      </c>
      <c r="B288" s="55" t="s">
        <v>621</v>
      </c>
      <c r="C288" s="55" t="s">
        <v>848</v>
      </c>
      <c r="D288" s="55"/>
      <c r="E288" s="55" t="s">
        <v>849</v>
      </c>
      <c r="F288" s="56">
        <v>45377</v>
      </c>
      <c r="G288" s="55"/>
      <c r="H288" s="55"/>
      <c r="I288" s="55" t="s">
        <v>28</v>
      </c>
      <c r="J288" s="55"/>
      <c r="K288" s="55"/>
      <c r="L288" s="57"/>
    </row>
    <row r="289" spans="1:12" x14ac:dyDescent="0.25">
      <c r="A289" s="58" t="s">
        <v>850</v>
      </c>
      <c r="B289" s="59" t="s">
        <v>24</v>
      </c>
      <c r="C289" s="59" t="s">
        <v>126</v>
      </c>
      <c r="D289" s="59" t="s">
        <v>746</v>
      </c>
      <c r="E289" s="59" t="s">
        <v>851</v>
      </c>
      <c r="F289" s="60">
        <v>45383</v>
      </c>
      <c r="G289" s="59"/>
      <c r="H289" s="59"/>
      <c r="I289" s="59" t="s">
        <v>28</v>
      </c>
      <c r="J289" s="59"/>
      <c r="K289" s="59"/>
      <c r="L289" s="61"/>
    </row>
    <row r="290" spans="1:12" x14ac:dyDescent="0.25">
      <c r="A290" s="54" t="s">
        <v>852</v>
      </c>
      <c r="B290" s="55" t="s">
        <v>24</v>
      </c>
      <c r="C290" s="55" t="s">
        <v>126</v>
      </c>
      <c r="D290" s="55" t="s">
        <v>746</v>
      </c>
      <c r="E290" s="55" t="s">
        <v>853</v>
      </c>
      <c r="F290" s="56">
        <v>45384</v>
      </c>
      <c r="G290" s="55"/>
      <c r="H290" s="55"/>
      <c r="I290" s="55" t="s">
        <v>28</v>
      </c>
      <c r="J290" s="55"/>
      <c r="K290" s="55"/>
      <c r="L290" s="57"/>
    </row>
    <row r="291" spans="1:12" x14ac:dyDescent="0.25">
      <c r="A291" s="58" t="s">
        <v>854</v>
      </c>
      <c r="B291" s="59" t="s">
        <v>474</v>
      </c>
      <c r="C291" s="59" t="s">
        <v>739</v>
      </c>
      <c r="D291" s="59" t="s">
        <v>79</v>
      </c>
      <c r="E291" s="59" t="s">
        <v>813</v>
      </c>
      <c r="F291" s="59"/>
      <c r="G291" s="59"/>
      <c r="H291" s="59"/>
      <c r="I291" s="59" t="s">
        <v>28</v>
      </c>
      <c r="J291" s="59"/>
      <c r="K291" s="59"/>
      <c r="L291" s="61"/>
    </row>
    <row r="292" spans="1:12" x14ac:dyDescent="0.25">
      <c r="A292" s="54" t="s">
        <v>855</v>
      </c>
      <c r="B292" s="55" t="s">
        <v>24</v>
      </c>
      <c r="C292" s="55" t="s">
        <v>126</v>
      </c>
      <c r="D292" s="55" t="s">
        <v>746</v>
      </c>
      <c r="E292" s="55" t="s">
        <v>856</v>
      </c>
      <c r="F292" s="56">
        <v>45386</v>
      </c>
      <c r="G292" s="55"/>
      <c r="H292" s="55"/>
      <c r="I292" s="55" t="s">
        <v>28</v>
      </c>
      <c r="J292" s="55"/>
      <c r="K292" s="55"/>
      <c r="L292" s="57"/>
    </row>
    <row r="293" spans="1:12" x14ac:dyDescent="0.25">
      <c r="A293" s="58" t="s">
        <v>857</v>
      </c>
      <c r="B293" s="59" t="s">
        <v>825</v>
      </c>
      <c r="C293" s="59" t="s">
        <v>43</v>
      </c>
      <c r="D293" s="59" t="s">
        <v>459</v>
      </c>
      <c r="E293" s="59" t="s">
        <v>858</v>
      </c>
      <c r="F293" s="60">
        <v>45387</v>
      </c>
      <c r="G293" s="59"/>
      <c r="H293" s="59"/>
      <c r="I293" s="59" t="s">
        <v>28</v>
      </c>
      <c r="J293" s="59"/>
      <c r="K293" s="59"/>
      <c r="L293" s="61"/>
    </row>
    <row r="294" spans="1:12" x14ac:dyDescent="0.25">
      <c r="A294" s="54" t="s">
        <v>859</v>
      </c>
      <c r="B294" s="55" t="s">
        <v>135</v>
      </c>
      <c r="C294" s="55" t="s">
        <v>848</v>
      </c>
      <c r="D294" s="55" t="s">
        <v>860</v>
      </c>
      <c r="E294" s="55" t="s">
        <v>861</v>
      </c>
      <c r="F294" s="56">
        <v>45387</v>
      </c>
      <c r="G294" s="55"/>
      <c r="H294" s="55"/>
      <c r="I294" s="55" t="s">
        <v>17</v>
      </c>
      <c r="J294" s="55"/>
      <c r="K294" s="55"/>
      <c r="L294" s="57"/>
    </row>
    <row r="295" spans="1:12" x14ac:dyDescent="0.25">
      <c r="A295" s="58" t="s">
        <v>862</v>
      </c>
      <c r="B295" s="59" t="s">
        <v>825</v>
      </c>
      <c r="C295" s="59" t="s">
        <v>43</v>
      </c>
      <c r="D295" s="59" t="s">
        <v>459</v>
      </c>
      <c r="E295" s="59" t="s">
        <v>863</v>
      </c>
      <c r="F295" s="60">
        <v>45387</v>
      </c>
      <c r="G295" s="59"/>
      <c r="H295" s="59"/>
      <c r="I295" s="59" t="s">
        <v>28</v>
      </c>
      <c r="J295" s="59"/>
      <c r="K295" s="59"/>
      <c r="L295" s="61"/>
    </row>
    <row r="296" spans="1:12" x14ac:dyDescent="0.25">
      <c r="A296" s="54" t="s">
        <v>864</v>
      </c>
      <c r="B296" s="55" t="s">
        <v>220</v>
      </c>
      <c r="C296" s="55" t="s">
        <v>411</v>
      </c>
      <c r="D296" s="55" t="s">
        <v>817</v>
      </c>
      <c r="E296" s="55" t="s">
        <v>865</v>
      </c>
      <c r="F296" s="56">
        <v>45391</v>
      </c>
      <c r="G296" s="55"/>
      <c r="H296" s="55"/>
      <c r="I296" s="55" t="s">
        <v>17</v>
      </c>
      <c r="J296" s="55"/>
      <c r="K296" s="55"/>
      <c r="L296" s="57"/>
    </row>
    <row r="297" spans="1:12" x14ac:dyDescent="0.25">
      <c r="A297" s="58" t="s">
        <v>866</v>
      </c>
      <c r="B297" s="59" t="s">
        <v>825</v>
      </c>
      <c r="C297" s="59" t="s">
        <v>43</v>
      </c>
      <c r="D297" s="59" t="s">
        <v>459</v>
      </c>
      <c r="E297" s="59" t="s">
        <v>867</v>
      </c>
      <c r="F297" s="60">
        <v>45392</v>
      </c>
      <c r="G297" s="59"/>
      <c r="H297" s="59"/>
      <c r="I297" s="59" t="s">
        <v>17</v>
      </c>
      <c r="J297" s="59"/>
      <c r="K297" s="59"/>
      <c r="L297" s="61"/>
    </row>
    <row r="298" spans="1:12" x14ac:dyDescent="0.25">
      <c r="A298" s="54" t="s">
        <v>868</v>
      </c>
      <c r="B298" s="55" t="s">
        <v>433</v>
      </c>
      <c r="C298" s="55" t="s">
        <v>869</v>
      </c>
      <c r="D298" s="55" t="s">
        <v>870</v>
      </c>
      <c r="E298" s="55" t="s">
        <v>871</v>
      </c>
      <c r="F298" s="56">
        <v>45394</v>
      </c>
      <c r="G298" s="55"/>
      <c r="H298" s="55"/>
      <c r="I298" s="55" t="s">
        <v>28</v>
      </c>
      <c r="J298" s="55"/>
      <c r="K298" s="55"/>
      <c r="L298" s="57"/>
    </row>
    <row r="299" spans="1:12" x14ac:dyDescent="0.25">
      <c r="A299" s="58" t="s">
        <v>872</v>
      </c>
      <c r="B299" s="59" t="s">
        <v>13</v>
      </c>
      <c r="C299" s="59" t="s">
        <v>310</v>
      </c>
      <c r="D299" s="59" t="s">
        <v>762</v>
      </c>
      <c r="E299" s="59" t="s">
        <v>873</v>
      </c>
      <c r="F299" s="60">
        <v>45398</v>
      </c>
      <c r="G299" s="59"/>
      <c r="H299" s="59"/>
      <c r="I299" s="59" t="s">
        <v>17</v>
      </c>
      <c r="J299" s="59"/>
      <c r="K299" s="59"/>
      <c r="L299" s="61"/>
    </row>
    <row r="300" spans="1:12" x14ac:dyDescent="0.25">
      <c r="A300" s="54" t="s">
        <v>874</v>
      </c>
      <c r="B300" s="55" t="s">
        <v>875</v>
      </c>
      <c r="C300" s="55" t="s">
        <v>869</v>
      </c>
      <c r="D300" s="55" t="s">
        <v>876</v>
      </c>
      <c r="E300" s="55" t="s">
        <v>316</v>
      </c>
      <c r="F300" s="56">
        <v>45406</v>
      </c>
      <c r="G300" s="55"/>
      <c r="H300" s="55"/>
      <c r="I300" s="55" t="s">
        <v>380</v>
      </c>
      <c r="J300" s="55"/>
      <c r="K300" s="55"/>
      <c r="L300" s="57"/>
    </row>
    <row r="301" spans="1:12" x14ac:dyDescent="0.25">
      <c r="A301" s="58" t="s">
        <v>877</v>
      </c>
      <c r="B301" s="59" t="s">
        <v>878</v>
      </c>
      <c r="C301" s="59" t="s">
        <v>32</v>
      </c>
      <c r="D301" s="59" t="s">
        <v>475</v>
      </c>
      <c r="E301" s="59" t="s">
        <v>879</v>
      </c>
      <c r="F301" s="60">
        <v>45408</v>
      </c>
      <c r="G301" s="59"/>
      <c r="H301" s="59"/>
      <c r="I301" s="59" t="s">
        <v>28</v>
      </c>
      <c r="J301" s="59"/>
      <c r="K301" s="59"/>
      <c r="L301" s="61"/>
    </row>
    <row r="302" spans="1:12" x14ac:dyDescent="0.25">
      <c r="A302" s="54" t="s">
        <v>880</v>
      </c>
      <c r="B302" s="55" t="s">
        <v>881</v>
      </c>
      <c r="C302" s="55" t="s">
        <v>882</v>
      </c>
      <c r="D302" s="55" t="s">
        <v>883</v>
      </c>
      <c r="E302" s="55" t="s">
        <v>884</v>
      </c>
      <c r="F302" s="56">
        <v>45406</v>
      </c>
      <c r="G302" s="55"/>
      <c r="H302" s="55"/>
      <c r="I302" s="55" t="s">
        <v>17</v>
      </c>
      <c r="J302" s="55"/>
      <c r="K302" s="55"/>
      <c r="L302" s="57"/>
    </row>
    <row r="303" spans="1:12" x14ac:dyDescent="0.25">
      <c r="A303" s="58" t="s">
        <v>885</v>
      </c>
      <c r="B303" s="59" t="s">
        <v>135</v>
      </c>
      <c r="C303" s="59" t="s">
        <v>25</v>
      </c>
      <c r="D303" s="59" t="s">
        <v>886</v>
      </c>
      <c r="E303" s="59" t="s">
        <v>887</v>
      </c>
      <c r="F303" s="60">
        <v>45411</v>
      </c>
      <c r="G303" s="59"/>
      <c r="H303" s="59"/>
      <c r="I303" s="59" t="s">
        <v>385</v>
      </c>
      <c r="J303" s="59"/>
      <c r="K303" s="59"/>
      <c r="L303" s="61"/>
    </row>
    <row r="304" spans="1:12" x14ac:dyDescent="0.25">
      <c r="A304" s="54" t="s">
        <v>888</v>
      </c>
      <c r="B304" s="55" t="s">
        <v>336</v>
      </c>
      <c r="C304" s="55" t="s">
        <v>126</v>
      </c>
      <c r="D304" s="55" t="s">
        <v>746</v>
      </c>
      <c r="E304" s="55" t="s">
        <v>889</v>
      </c>
      <c r="F304" s="56">
        <v>45411</v>
      </c>
      <c r="G304" s="55"/>
      <c r="H304" s="55"/>
      <c r="I304" s="55" t="s">
        <v>28</v>
      </c>
      <c r="J304" s="55"/>
      <c r="K304" s="55"/>
      <c r="L304" s="57"/>
    </row>
    <row r="305" spans="1:12" x14ac:dyDescent="0.25">
      <c r="A305" s="58" t="s">
        <v>890</v>
      </c>
      <c r="B305" s="59" t="s">
        <v>24</v>
      </c>
      <c r="C305" s="59" t="s">
        <v>43</v>
      </c>
      <c r="D305" s="59" t="s">
        <v>459</v>
      </c>
      <c r="E305" s="59" t="s">
        <v>891</v>
      </c>
      <c r="F305" s="60">
        <v>45404</v>
      </c>
      <c r="G305" s="59"/>
      <c r="H305" s="59"/>
      <c r="I305" s="59" t="s">
        <v>28</v>
      </c>
      <c r="J305" s="59"/>
      <c r="K305" s="59"/>
      <c r="L305" s="61"/>
    </row>
    <row r="306" spans="1:12" x14ac:dyDescent="0.25">
      <c r="A306" s="54" t="s">
        <v>892</v>
      </c>
      <c r="B306" s="55" t="s">
        <v>220</v>
      </c>
      <c r="C306" s="55" t="s">
        <v>893</v>
      </c>
      <c r="D306" s="55" t="s">
        <v>894</v>
      </c>
      <c r="E306" s="55" t="s">
        <v>895</v>
      </c>
      <c r="F306" s="56">
        <v>45415</v>
      </c>
      <c r="G306" s="55"/>
      <c r="H306" s="55"/>
      <c r="I306" s="55" t="s">
        <v>28</v>
      </c>
      <c r="J306" s="55"/>
      <c r="K306" s="55"/>
      <c r="L306" s="57"/>
    </row>
    <row r="307" spans="1:12" x14ac:dyDescent="0.25">
      <c r="A307" s="58" t="s">
        <v>896</v>
      </c>
      <c r="B307" s="59" t="s">
        <v>220</v>
      </c>
      <c r="C307" s="59" t="s">
        <v>869</v>
      </c>
      <c r="D307" s="59" t="s">
        <v>876</v>
      </c>
      <c r="E307" s="59" t="s">
        <v>897</v>
      </c>
      <c r="F307" s="60">
        <v>45419</v>
      </c>
      <c r="G307" s="59"/>
      <c r="H307" s="59"/>
      <c r="I307" s="59" t="s">
        <v>28</v>
      </c>
      <c r="J307" s="59"/>
      <c r="K307" s="59"/>
      <c r="L307" s="61"/>
    </row>
    <row r="308" spans="1:12" x14ac:dyDescent="0.25">
      <c r="A308" s="54" t="s">
        <v>898</v>
      </c>
      <c r="B308" s="55" t="s">
        <v>24</v>
      </c>
      <c r="C308" s="55" t="s">
        <v>126</v>
      </c>
      <c r="D308" s="55" t="s">
        <v>36</v>
      </c>
      <c r="E308" s="55" t="s">
        <v>899</v>
      </c>
      <c r="F308" s="56">
        <v>45425</v>
      </c>
      <c r="G308" s="55"/>
      <c r="H308" s="55"/>
      <c r="I308" s="55" t="s">
        <v>28</v>
      </c>
      <c r="J308" s="55"/>
      <c r="K308" s="55"/>
      <c r="L308" s="57"/>
    </row>
    <row r="309" spans="1:12" x14ac:dyDescent="0.25">
      <c r="A309" s="58" t="s">
        <v>900</v>
      </c>
      <c r="B309" s="59" t="s">
        <v>24</v>
      </c>
      <c r="C309" s="59" t="s">
        <v>869</v>
      </c>
      <c r="D309" s="59" t="s">
        <v>876</v>
      </c>
      <c r="E309" s="59" t="s">
        <v>901</v>
      </c>
      <c r="F309" s="60">
        <v>45427</v>
      </c>
      <c r="G309" s="59"/>
      <c r="H309" s="59"/>
      <c r="I309" s="59" t="s">
        <v>28</v>
      </c>
      <c r="J309" s="59"/>
      <c r="K309" s="59"/>
      <c r="L309" s="61"/>
    </row>
    <row r="310" spans="1:12" x14ac:dyDescent="0.25">
      <c r="A310" s="54" t="s">
        <v>902</v>
      </c>
      <c r="B310" s="55" t="s">
        <v>825</v>
      </c>
      <c r="C310" s="55" t="s">
        <v>903</v>
      </c>
      <c r="D310" s="55" t="s">
        <v>904</v>
      </c>
      <c r="E310" s="55" t="s">
        <v>905</v>
      </c>
      <c r="F310" s="56">
        <v>45427</v>
      </c>
      <c r="G310" s="55"/>
      <c r="H310" s="55"/>
      <c r="I310" s="55" t="s">
        <v>28</v>
      </c>
      <c r="J310" s="55"/>
      <c r="K310" s="55"/>
      <c r="L310" s="57"/>
    </row>
    <row r="311" spans="1:12" x14ac:dyDescent="0.25">
      <c r="A311" s="58" t="s">
        <v>906</v>
      </c>
      <c r="B311" s="59" t="s">
        <v>907</v>
      </c>
      <c r="C311" s="59" t="s">
        <v>126</v>
      </c>
      <c r="D311" s="59" t="s">
        <v>287</v>
      </c>
      <c r="E311" s="59" t="s">
        <v>908</v>
      </c>
      <c r="F311" s="60">
        <v>45429</v>
      </c>
      <c r="G311" s="59"/>
      <c r="H311" s="59"/>
      <c r="I311" s="59" t="s">
        <v>17</v>
      </c>
      <c r="J311" s="59"/>
      <c r="K311" s="59"/>
      <c r="L311" s="61"/>
    </row>
    <row r="312" spans="1:12" x14ac:dyDescent="0.25">
      <c r="A312" s="54" t="s">
        <v>909</v>
      </c>
      <c r="B312" s="55" t="s">
        <v>825</v>
      </c>
      <c r="C312" s="55" t="s">
        <v>43</v>
      </c>
      <c r="D312" s="55" t="s">
        <v>459</v>
      </c>
      <c r="E312" s="55" t="s">
        <v>910</v>
      </c>
      <c r="F312" s="56">
        <v>45435</v>
      </c>
      <c r="G312" s="55"/>
      <c r="H312" s="55"/>
      <c r="I312" s="55" t="s">
        <v>17</v>
      </c>
      <c r="J312" s="55"/>
      <c r="K312" s="55"/>
      <c r="L312" s="57"/>
    </row>
    <row r="313" spans="1:12" x14ac:dyDescent="0.25">
      <c r="A313" s="58" t="s">
        <v>911</v>
      </c>
      <c r="B313" s="59" t="s">
        <v>825</v>
      </c>
      <c r="C313" s="59" t="s">
        <v>43</v>
      </c>
      <c r="D313" s="59" t="s">
        <v>459</v>
      </c>
      <c r="E313" s="59" t="s">
        <v>912</v>
      </c>
      <c r="F313" s="60">
        <v>45435</v>
      </c>
      <c r="G313" s="59"/>
      <c r="H313" s="59"/>
      <c r="I313" s="59" t="s">
        <v>17</v>
      </c>
      <c r="J313" s="59"/>
      <c r="K313" s="59"/>
      <c r="L313" s="61"/>
    </row>
    <row r="314" spans="1:12" x14ac:dyDescent="0.25">
      <c r="A314" s="54" t="s">
        <v>913</v>
      </c>
      <c r="B314" s="55" t="s">
        <v>825</v>
      </c>
      <c r="C314" s="55" t="s">
        <v>914</v>
      </c>
      <c r="D314" s="55" t="s">
        <v>915</v>
      </c>
      <c r="E314" s="55" t="s">
        <v>916</v>
      </c>
      <c r="F314" s="56">
        <v>45436</v>
      </c>
      <c r="G314" s="55"/>
      <c r="H314" s="55"/>
      <c r="I314" s="55" t="s">
        <v>17</v>
      </c>
      <c r="J314" s="55"/>
      <c r="K314" s="55"/>
      <c r="L314" s="57"/>
    </row>
    <row r="315" spans="1:12" x14ac:dyDescent="0.25">
      <c r="A315" s="58" t="s">
        <v>917</v>
      </c>
      <c r="B315" s="59" t="s">
        <v>135</v>
      </c>
      <c r="C315" s="59" t="s">
        <v>177</v>
      </c>
      <c r="D315" s="59" t="s">
        <v>511</v>
      </c>
      <c r="E315" s="59" t="s">
        <v>918</v>
      </c>
      <c r="F315" s="60">
        <v>45441</v>
      </c>
      <c r="G315" s="59"/>
      <c r="H315" s="59"/>
      <c r="I315" s="59" t="s">
        <v>28</v>
      </c>
      <c r="J315" s="59" t="s">
        <v>29</v>
      </c>
      <c r="K315" s="59"/>
      <c r="L315" s="61"/>
    </row>
    <row r="316" spans="1:12" x14ac:dyDescent="0.25">
      <c r="A316" s="54" t="s">
        <v>919</v>
      </c>
      <c r="B316" s="55" t="s">
        <v>13</v>
      </c>
      <c r="C316" s="55" t="s">
        <v>920</v>
      </c>
      <c r="D316" s="55" t="s">
        <v>921</v>
      </c>
      <c r="E316" s="55" t="s">
        <v>922</v>
      </c>
      <c r="F316" s="56">
        <v>45441</v>
      </c>
      <c r="G316" s="55"/>
      <c r="H316" s="55"/>
      <c r="I316" s="55" t="s">
        <v>28</v>
      </c>
      <c r="J316" s="55"/>
      <c r="K316" s="55"/>
      <c r="L316" s="57"/>
    </row>
    <row r="317" spans="1:12" x14ac:dyDescent="0.25">
      <c r="A317" s="58" t="s">
        <v>923</v>
      </c>
      <c r="B317" s="59" t="s">
        <v>220</v>
      </c>
      <c r="C317" s="59" t="s">
        <v>526</v>
      </c>
      <c r="D317" s="59" t="s">
        <v>924</v>
      </c>
      <c r="E317" s="59" t="s">
        <v>925</v>
      </c>
      <c r="F317" s="60">
        <v>45442</v>
      </c>
      <c r="G317" s="59"/>
      <c r="H317" s="59"/>
      <c r="I317" s="59" t="s">
        <v>385</v>
      </c>
      <c r="J317" s="59"/>
      <c r="K317" s="59"/>
      <c r="L317" s="61"/>
    </row>
    <row r="318" spans="1:12" x14ac:dyDescent="0.25">
      <c r="A318" s="54" t="s">
        <v>926</v>
      </c>
      <c r="B318" s="55" t="s">
        <v>881</v>
      </c>
      <c r="C318" s="55" t="s">
        <v>869</v>
      </c>
      <c r="D318" s="55" t="s">
        <v>254</v>
      </c>
      <c r="E318" s="55" t="s">
        <v>927</v>
      </c>
      <c r="F318" s="56">
        <v>45442</v>
      </c>
      <c r="G318" s="55"/>
      <c r="H318" s="55"/>
      <c r="I318" s="55" t="s">
        <v>385</v>
      </c>
      <c r="J318" s="55"/>
      <c r="K318" s="55"/>
      <c r="L318" s="57"/>
    </row>
    <row r="319" spans="1:12" x14ac:dyDescent="0.25">
      <c r="A319" s="58" t="s">
        <v>928</v>
      </c>
      <c r="B319" s="59" t="s">
        <v>13</v>
      </c>
      <c r="C319" s="59" t="s">
        <v>51</v>
      </c>
      <c r="D319" s="59" t="s">
        <v>588</v>
      </c>
      <c r="E319" s="59" t="s">
        <v>929</v>
      </c>
      <c r="F319" s="60">
        <v>45442</v>
      </c>
      <c r="G319" s="59"/>
      <c r="H319" s="59"/>
      <c r="I319" s="59" t="s">
        <v>385</v>
      </c>
      <c r="J319" s="59"/>
      <c r="K319" s="59"/>
      <c r="L319" s="61"/>
    </row>
    <row r="320" spans="1:12" x14ac:dyDescent="0.25">
      <c r="A320" s="54" t="s">
        <v>930</v>
      </c>
      <c r="B320" s="55" t="s">
        <v>13</v>
      </c>
      <c r="C320" s="55" t="s">
        <v>931</v>
      </c>
      <c r="D320" s="55" t="s">
        <v>932</v>
      </c>
      <c r="E320" s="55" t="s">
        <v>933</v>
      </c>
      <c r="F320" s="56">
        <v>45443</v>
      </c>
      <c r="G320" s="55"/>
      <c r="H320" s="55"/>
      <c r="I320" s="55" t="s">
        <v>28</v>
      </c>
      <c r="J320" s="55"/>
      <c r="K320" s="55"/>
      <c r="L320" s="57"/>
    </row>
    <row r="321" spans="1:12" x14ac:dyDescent="0.25">
      <c r="A321" s="58" t="s">
        <v>934</v>
      </c>
      <c r="B321" s="59" t="s">
        <v>825</v>
      </c>
      <c r="C321" s="59" t="s">
        <v>739</v>
      </c>
      <c r="D321" s="59" t="s">
        <v>79</v>
      </c>
      <c r="E321" s="59" t="s">
        <v>935</v>
      </c>
      <c r="F321" s="60">
        <v>45446</v>
      </c>
      <c r="G321" s="59"/>
      <c r="H321" s="59"/>
      <c r="I321" s="59" t="s">
        <v>28</v>
      </c>
      <c r="J321" s="59"/>
      <c r="K321" s="59"/>
      <c r="L321" s="61"/>
    </row>
    <row r="322" spans="1:12" x14ac:dyDescent="0.25">
      <c r="A322" s="54" t="s">
        <v>936</v>
      </c>
      <c r="B322" s="55" t="s">
        <v>13</v>
      </c>
      <c r="C322" s="55" t="s">
        <v>937</v>
      </c>
      <c r="D322" s="55" t="s">
        <v>938</v>
      </c>
      <c r="E322" s="55" t="s">
        <v>939</v>
      </c>
      <c r="F322" s="56">
        <v>45450</v>
      </c>
      <c r="G322" s="55"/>
      <c r="H322" s="55"/>
      <c r="I322" s="55" t="s">
        <v>28</v>
      </c>
      <c r="J322" s="55"/>
      <c r="K322" s="55"/>
      <c r="L322" s="57"/>
    </row>
    <row r="323" spans="1:12" x14ac:dyDescent="0.25">
      <c r="A323" s="58" t="s">
        <v>940</v>
      </c>
      <c r="B323" s="59" t="s">
        <v>24</v>
      </c>
      <c r="C323" s="59" t="s">
        <v>126</v>
      </c>
      <c r="D323" s="59" t="s">
        <v>746</v>
      </c>
      <c r="E323" s="59" t="s">
        <v>941</v>
      </c>
      <c r="F323" s="60">
        <v>45454</v>
      </c>
      <c r="G323" s="59"/>
      <c r="H323" s="59"/>
      <c r="I323" s="59" t="s">
        <v>28</v>
      </c>
      <c r="J323" s="59"/>
      <c r="K323" s="59"/>
      <c r="L323" s="61"/>
    </row>
    <row r="324" spans="1:12" x14ac:dyDescent="0.25">
      <c r="A324" s="54" t="s">
        <v>942</v>
      </c>
      <c r="B324" s="55" t="s">
        <v>24</v>
      </c>
      <c r="C324" s="55" t="s">
        <v>126</v>
      </c>
      <c r="D324" s="55" t="s">
        <v>232</v>
      </c>
      <c r="E324" s="55" t="s">
        <v>943</v>
      </c>
      <c r="F324" s="56">
        <v>45456</v>
      </c>
      <c r="G324" s="55"/>
      <c r="H324" s="55"/>
      <c r="I324" s="55" t="s">
        <v>28</v>
      </c>
      <c r="J324" s="55"/>
      <c r="K324" s="55"/>
      <c r="L324" s="57"/>
    </row>
    <row r="325" spans="1:12" x14ac:dyDescent="0.25">
      <c r="A325" s="58" t="s">
        <v>944</v>
      </c>
      <c r="B325" s="59" t="s">
        <v>881</v>
      </c>
      <c r="C325" s="59" t="s">
        <v>265</v>
      </c>
      <c r="D325" s="59" t="s">
        <v>266</v>
      </c>
      <c r="E325" s="59" t="s">
        <v>945</v>
      </c>
      <c r="F325" s="60">
        <v>45450</v>
      </c>
      <c r="G325" s="59"/>
      <c r="H325" s="59"/>
      <c r="I325" s="59" t="s">
        <v>17</v>
      </c>
      <c r="J325" s="59"/>
      <c r="K325" s="59"/>
      <c r="L325" s="61"/>
    </row>
    <row r="326" spans="1:12" x14ac:dyDescent="0.25">
      <c r="A326" s="54" t="s">
        <v>946</v>
      </c>
      <c r="B326" s="55" t="s">
        <v>24</v>
      </c>
      <c r="C326" s="55" t="s">
        <v>126</v>
      </c>
      <c r="D326" s="55" t="s">
        <v>947</v>
      </c>
      <c r="E326" s="55" t="s">
        <v>948</v>
      </c>
      <c r="F326" s="56">
        <v>45460</v>
      </c>
      <c r="G326" s="56">
        <v>45481</v>
      </c>
      <c r="H326" s="55"/>
      <c r="I326" s="55" t="s">
        <v>28</v>
      </c>
      <c r="J326" s="55"/>
      <c r="K326" s="55"/>
      <c r="L326" s="57"/>
    </row>
    <row r="327" spans="1:12" x14ac:dyDescent="0.25">
      <c r="A327" s="58" t="s">
        <v>949</v>
      </c>
      <c r="B327" s="59" t="s">
        <v>135</v>
      </c>
      <c r="C327" s="59" t="s">
        <v>920</v>
      </c>
      <c r="D327" s="59" t="s">
        <v>284</v>
      </c>
      <c r="E327" s="59" t="s">
        <v>950</v>
      </c>
      <c r="F327" s="60">
        <v>45462</v>
      </c>
      <c r="G327" s="59"/>
      <c r="H327" s="59"/>
      <c r="I327" s="59" t="s">
        <v>28</v>
      </c>
      <c r="J327" s="59" t="s">
        <v>29</v>
      </c>
      <c r="K327" s="59"/>
      <c r="L327" s="61"/>
    </row>
    <row r="328" spans="1:12" x14ac:dyDescent="0.25">
      <c r="A328" s="54" t="s">
        <v>951</v>
      </c>
      <c r="B328" s="55" t="s">
        <v>24</v>
      </c>
      <c r="C328" s="55" t="s">
        <v>126</v>
      </c>
      <c r="D328" s="55" t="s">
        <v>746</v>
      </c>
      <c r="E328" s="55" t="s">
        <v>952</v>
      </c>
      <c r="F328" s="56">
        <v>45463</v>
      </c>
      <c r="G328" s="55"/>
      <c r="H328" s="55"/>
      <c r="I328" s="55" t="s">
        <v>28</v>
      </c>
      <c r="J328" s="55"/>
      <c r="K328" s="55"/>
      <c r="L328" s="57"/>
    </row>
    <row r="329" spans="1:12" x14ac:dyDescent="0.25">
      <c r="A329" s="58" t="s">
        <v>953</v>
      </c>
      <c r="B329" s="59" t="s">
        <v>704</v>
      </c>
      <c r="C329" s="59" t="s">
        <v>32</v>
      </c>
      <c r="D329" s="59" t="s">
        <v>397</v>
      </c>
      <c r="E329" s="59" t="s">
        <v>954</v>
      </c>
      <c r="F329" s="60">
        <v>45474</v>
      </c>
      <c r="G329" s="59"/>
      <c r="H329" s="59"/>
      <c r="I329" s="59" t="s">
        <v>28</v>
      </c>
      <c r="J329" s="59"/>
      <c r="K329" s="59"/>
      <c r="L329" s="61"/>
    </row>
    <row r="330" spans="1:12" x14ac:dyDescent="0.25">
      <c r="A330" s="54" t="s">
        <v>955</v>
      </c>
      <c r="B330" s="55" t="s">
        <v>135</v>
      </c>
      <c r="C330" s="55" t="s">
        <v>956</v>
      </c>
      <c r="D330" s="55" t="s">
        <v>957</v>
      </c>
      <c r="E330" s="55" t="s">
        <v>958</v>
      </c>
      <c r="F330" s="56">
        <v>45474</v>
      </c>
      <c r="G330" s="55"/>
      <c r="H330" s="55"/>
      <c r="I330" s="55" t="s">
        <v>17</v>
      </c>
      <c r="J330" s="55" t="s">
        <v>29</v>
      </c>
      <c r="K330" s="55"/>
      <c r="L330" s="57"/>
    </row>
    <row r="331" spans="1:12" x14ac:dyDescent="0.25">
      <c r="A331" s="58" t="s">
        <v>959</v>
      </c>
      <c r="B331" s="59" t="s">
        <v>325</v>
      </c>
      <c r="C331" s="59" t="s">
        <v>920</v>
      </c>
      <c r="D331" s="59" t="s">
        <v>960</v>
      </c>
      <c r="E331" s="59" t="s">
        <v>961</v>
      </c>
      <c r="F331" s="60">
        <v>45474</v>
      </c>
      <c r="G331" s="59"/>
      <c r="H331" s="59"/>
      <c r="I331" s="59" t="s">
        <v>28</v>
      </c>
      <c r="J331" s="59"/>
      <c r="K331" s="59"/>
      <c r="L331" s="61"/>
    </row>
    <row r="332" spans="1:12" x14ac:dyDescent="0.25">
      <c r="A332" s="54" t="s">
        <v>962</v>
      </c>
      <c r="B332" s="55" t="s">
        <v>825</v>
      </c>
      <c r="C332" s="55" t="s">
        <v>963</v>
      </c>
      <c r="D332" s="55" t="s">
        <v>964</v>
      </c>
      <c r="E332" s="55" t="s">
        <v>965</v>
      </c>
      <c r="F332" s="56">
        <v>45478</v>
      </c>
      <c r="G332" s="55"/>
      <c r="H332" s="55"/>
      <c r="I332" s="55" t="s">
        <v>28</v>
      </c>
      <c r="J332" s="55"/>
      <c r="K332" s="55"/>
      <c r="L332" s="57"/>
    </row>
    <row r="333" spans="1:12" x14ac:dyDescent="0.25">
      <c r="A333" s="58" t="s">
        <v>966</v>
      </c>
      <c r="B333" s="59" t="s">
        <v>24</v>
      </c>
      <c r="C333" s="59" t="s">
        <v>126</v>
      </c>
      <c r="D333" s="59" t="s">
        <v>746</v>
      </c>
      <c r="E333" s="59" t="s">
        <v>967</v>
      </c>
      <c r="F333" s="60">
        <v>45482</v>
      </c>
      <c r="G333" s="59"/>
      <c r="H333" s="59"/>
      <c r="I333" s="59" t="s">
        <v>28</v>
      </c>
      <c r="J333" s="59"/>
      <c r="K333" s="59"/>
      <c r="L333" s="61"/>
    </row>
    <row r="334" spans="1:12" x14ac:dyDescent="0.25">
      <c r="A334" s="54" t="s">
        <v>968</v>
      </c>
      <c r="B334" s="55" t="s">
        <v>825</v>
      </c>
      <c r="C334" s="55" t="s">
        <v>243</v>
      </c>
      <c r="D334" s="55" t="s">
        <v>969</v>
      </c>
      <c r="E334" s="55" t="s">
        <v>970</v>
      </c>
      <c r="F334" s="56">
        <v>45482</v>
      </c>
      <c r="G334" s="55"/>
      <c r="H334" s="55"/>
      <c r="I334" s="55" t="s">
        <v>28</v>
      </c>
      <c r="J334" s="55"/>
      <c r="K334" s="55"/>
      <c r="L334" s="57"/>
    </row>
    <row r="335" spans="1:12" x14ac:dyDescent="0.25">
      <c r="A335" s="58" t="s">
        <v>971</v>
      </c>
      <c r="B335" s="59" t="s">
        <v>13</v>
      </c>
      <c r="C335" s="59" t="s">
        <v>51</v>
      </c>
      <c r="D335" s="59" t="s">
        <v>52</v>
      </c>
      <c r="E335" s="59" t="s">
        <v>972</v>
      </c>
      <c r="F335" s="60">
        <v>45483</v>
      </c>
      <c r="G335" s="59"/>
      <c r="H335" s="59"/>
      <c r="I335" s="59" t="s">
        <v>385</v>
      </c>
      <c r="J335" s="59"/>
      <c r="K335" s="59"/>
      <c r="L335" s="61"/>
    </row>
    <row r="336" spans="1:12" x14ac:dyDescent="0.25">
      <c r="A336" s="54" t="s">
        <v>973</v>
      </c>
      <c r="B336" s="55" t="s">
        <v>24</v>
      </c>
      <c r="C336" s="55" t="s">
        <v>126</v>
      </c>
      <c r="D336" s="55" t="s">
        <v>746</v>
      </c>
      <c r="E336" s="55" t="s">
        <v>974</v>
      </c>
      <c r="F336" s="56">
        <v>45485</v>
      </c>
      <c r="G336" s="55"/>
      <c r="H336" s="55"/>
      <c r="I336" s="55" t="s">
        <v>28</v>
      </c>
      <c r="J336" s="55"/>
      <c r="K336" s="55"/>
      <c r="L336" s="57"/>
    </row>
    <row r="337" spans="1:12" x14ac:dyDescent="0.25">
      <c r="A337" s="58" t="s">
        <v>975</v>
      </c>
      <c r="B337" s="59" t="s">
        <v>135</v>
      </c>
      <c r="C337" s="59" t="s">
        <v>70</v>
      </c>
      <c r="D337" s="59" t="s">
        <v>71</v>
      </c>
      <c r="E337" s="59" t="s">
        <v>976</v>
      </c>
      <c r="F337" s="60">
        <v>45488</v>
      </c>
      <c r="G337" s="59"/>
      <c r="H337" s="59"/>
      <c r="I337" s="59" t="s">
        <v>388</v>
      </c>
      <c r="J337" s="59" t="s">
        <v>29</v>
      </c>
      <c r="K337" s="59"/>
      <c r="L337" s="61"/>
    </row>
    <row r="338" spans="1:12" x14ac:dyDescent="0.25">
      <c r="A338" s="54" t="s">
        <v>977</v>
      </c>
      <c r="B338" s="55" t="s">
        <v>24</v>
      </c>
      <c r="C338" s="55" t="s">
        <v>126</v>
      </c>
      <c r="D338" s="55" t="s">
        <v>36</v>
      </c>
      <c r="E338" s="55" t="s">
        <v>978</v>
      </c>
      <c r="F338" s="56">
        <v>45489</v>
      </c>
      <c r="G338" s="55"/>
      <c r="H338" s="55"/>
      <c r="I338" s="55" t="s">
        <v>28</v>
      </c>
      <c r="J338" s="55"/>
      <c r="K338" s="55"/>
      <c r="L338" s="57"/>
    </row>
    <row r="339" spans="1:12" x14ac:dyDescent="0.25">
      <c r="A339" s="58" t="s">
        <v>979</v>
      </c>
      <c r="B339" s="59" t="s">
        <v>336</v>
      </c>
      <c r="C339" s="59" t="s">
        <v>126</v>
      </c>
      <c r="D339" s="59" t="s">
        <v>36</v>
      </c>
      <c r="E339" s="59" t="s">
        <v>980</v>
      </c>
      <c r="F339" s="60">
        <v>45489</v>
      </c>
      <c r="G339" s="59"/>
      <c r="H339" s="59"/>
      <c r="I339" s="59" t="s">
        <v>28</v>
      </c>
      <c r="J339" s="59"/>
      <c r="K339" s="59"/>
      <c r="L339" s="61"/>
    </row>
    <row r="340" spans="1:12" x14ac:dyDescent="0.25">
      <c r="A340" s="54" t="s">
        <v>981</v>
      </c>
      <c r="B340" s="55" t="s">
        <v>24</v>
      </c>
      <c r="C340" s="55" t="s">
        <v>126</v>
      </c>
      <c r="D340" s="55" t="s">
        <v>36</v>
      </c>
      <c r="E340" s="55" t="s">
        <v>982</v>
      </c>
      <c r="F340" s="56">
        <v>45489</v>
      </c>
      <c r="G340" s="55"/>
      <c r="H340" s="55"/>
      <c r="I340" s="55" t="s">
        <v>28</v>
      </c>
      <c r="J340" s="55"/>
      <c r="K340" s="55"/>
      <c r="L340" s="57"/>
    </row>
    <row r="341" spans="1:12" x14ac:dyDescent="0.25">
      <c r="A341" s="58" t="s">
        <v>983</v>
      </c>
      <c r="B341" s="59" t="s">
        <v>24</v>
      </c>
      <c r="C341" s="59" t="s">
        <v>126</v>
      </c>
      <c r="D341" s="59" t="s">
        <v>36</v>
      </c>
      <c r="E341" s="59" t="s">
        <v>984</v>
      </c>
      <c r="F341" s="60">
        <v>45489</v>
      </c>
      <c r="G341" s="59"/>
      <c r="H341" s="59"/>
      <c r="I341" s="59" t="s">
        <v>28</v>
      </c>
      <c r="J341" s="59"/>
      <c r="K341" s="59"/>
      <c r="L341" s="61"/>
    </row>
    <row r="342" spans="1:12" x14ac:dyDescent="0.25">
      <c r="A342" s="54" t="s">
        <v>985</v>
      </c>
      <c r="B342" s="55" t="s">
        <v>24</v>
      </c>
      <c r="C342" s="55" t="s">
        <v>126</v>
      </c>
      <c r="D342" s="55" t="s">
        <v>36</v>
      </c>
      <c r="E342" s="55" t="s">
        <v>986</v>
      </c>
      <c r="F342" s="56">
        <v>45489</v>
      </c>
      <c r="G342" s="55"/>
      <c r="H342" s="55"/>
      <c r="I342" s="55" t="s">
        <v>28</v>
      </c>
      <c r="J342" s="55"/>
      <c r="K342" s="55"/>
      <c r="L342" s="57"/>
    </row>
    <row r="343" spans="1:12" x14ac:dyDescent="0.25">
      <c r="A343" s="58" t="s">
        <v>987</v>
      </c>
      <c r="B343" s="59" t="s">
        <v>24</v>
      </c>
      <c r="C343" s="59" t="s">
        <v>126</v>
      </c>
      <c r="D343" s="59" t="s">
        <v>36</v>
      </c>
      <c r="E343" s="59" t="s">
        <v>453</v>
      </c>
      <c r="F343" s="60">
        <v>45489</v>
      </c>
      <c r="G343" s="59"/>
      <c r="H343" s="59"/>
      <c r="I343" s="59" t="s">
        <v>28</v>
      </c>
      <c r="J343" s="59"/>
      <c r="K343" s="59"/>
      <c r="L343" s="61"/>
    </row>
    <row r="344" spans="1:12" x14ac:dyDescent="0.25">
      <c r="A344" s="54" t="s">
        <v>988</v>
      </c>
      <c r="B344" s="55" t="s">
        <v>13</v>
      </c>
      <c r="C344" s="55" t="s">
        <v>989</v>
      </c>
      <c r="D344" s="55" t="s">
        <v>990</v>
      </c>
      <c r="E344" s="55" t="s">
        <v>991</v>
      </c>
      <c r="F344" s="56">
        <v>45489</v>
      </c>
      <c r="G344" s="55"/>
      <c r="H344" s="55"/>
      <c r="I344" s="55" t="s">
        <v>28</v>
      </c>
      <c r="J344" s="55"/>
      <c r="K344" s="55"/>
      <c r="L344" s="57"/>
    </row>
    <row r="345" spans="1:12" x14ac:dyDescent="0.25">
      <c r="A345" s="58" t="s">
        <v>992</v>
      </c>
      <c r="B345" s="59" t="s">
        <v>220</v>
      </c>
      <c r="C345" s="59" t="s">
        <v>70</v>
      </c>
      <c r="D345" s="59" t="s">
        <v>993</v>
      </c>
      <c r="E345" s="59" t="s">
        <v>994</v>
      </c>
      <c r="F345" s="60">
        <v>45495</v>
      </c>
      <c r="G345" s="59"/>
      <c r="H345" s="59"/>
      <c r="I345" s="59" t="s">
        <v>28</v>
      </c>
      <c r="J345" s="59"/>
      <c r="K345" s="59"/>
      <c r="L345" s="61"/>
    </row>
    <row r="346" spans="1:12" x14ac:dyDescent="0.25">
      <c r="A346" s="54" t="s">
        <v>995</v>
      </c>
      <c r="B346" s="55" t="s">
        <v>996</v>
      </c>
      <c r="C346" s="55" t="s">
        <v>997</v>
      </c>
      <c r="D346" s="55" t="s">
        <v>150</v>
      </c>
      <c r="E346" s="55" t="s">
        <v>998</v>
      </c>
      <c r="F346" s="56">
        <v>45504</v>
      </c>
      <c r="G346" s="55"/>
      <c r="H346" s="55"/>
      <c r="I346" s="55" t="s">
        <v>28</v>
      </c>
      <c r="J346" s="55"/>
      <c r="K346" s="55"/>
      <c r="L346" s="57"/>
    </row>
    <row r="347" spans="1:12" x14ac:dyDescent="0.25">
      <c r="A347" s="58" t="s">
        <v>999</v>
      </c>
      <c r="B347" s="59" t="s">
        <v>704</v>
      </c>
      <c r="C347" s="59" t="s">
        <v>243</v>
      </c>
      <c r="D347" s="59" t="s">
        <v>244</v>
      </c>
      <c r="E347" s="59" t="s">
        <v>1000</v>
      </c>
      <c r="F347" s="60">
        <v>45505</v>
      </c>
      <c r="G347" s="59"/>
      <c r="H347" s="59"/>
      <c r="I347" s="59" t="s">
        <v>28</v>
      </c>
      <c r="J347" s="59"/>
      <c r="K347" s="59"/>
      <c r="L347" s="61"/>
    </row>
    <row r="348" spans="1:12" x14ac:dyDescent="0.25">
      <c r="A348" s="54" t="s">
        <v>1001</v>
      </c>
      <c r="B348" s="55" t="s">
        <v>825</v>
      </c>
      <c r="C348" s="55" t="s">
        <v>126</v>
      </c>
      <c r="D348" s="55" t="s">
        <v>1002</v>
      </c>
      <c r="E348" s="55" t="s">
        <v>1003</v>
      </c>
      <c r="F348" s="55"/>
      <c r="G348" s="55"/>
      <c r="H348" s="55"/>
      <c r="I348" s="55" t="s">
        <v>17</v>
      </c>
      <c r="J348" s="55"/>
      <c r="K348" s="55"/>
      <c r="L348" s="57"/>
    </row>
    <row r="349" spans="1:12" x14ac:dyDescent="0.25">
      <c r="A349" s="58" t="s">
        <v>1004</v>
      </c>
      <c r="B349" s="59" t="s">
        <v>24</v>
      </c>
      <c r="C349" s="59" t="s">
        <v>126</v>
      </c>
      <c r="D349" s="59" t="s">
        <v>1005</v>
      </c>
      <c r="E349" s="59" t="s">
        <v>1006</v>
      </c>
      <c r="F349" s="60">
        <v>45516</v>
      </c>
      <c r="G349" s="59"/>
      <c r="H349" s="59"/>
      <c r="I349" s="59" t="s">
        <v>28</v>
      </c>
      <c r="J349" s="59"/>
      <c r="K349" s="59"/>
      <c r="L349" s="61"/>
    </row>
    <row r="350" spans="1:12" x14ac:dyDescent="0.25">
      <c r="A350" s="54" t="s">
        <v>1007</v>
      </c>
      <c r="B350" s="55" t="s">
        <v>24</v>
      </c>
      <c r="C350" s="55" t="s">
        <v>126</v>
      </c>
      <c r="D350" s="55" t="s">
        <v>232</v>
      </c>
      <c r="E350" s="55" t="s">
        <v>1008</v>
      </c>
      <c r="F350" s="56">
        <v>45517</v>
      </c>
      <c r="G350" s="55"/>
      <c r="H350" s="55"/>
      <c r="I350" s="55" t="s">
        <v>28</v>
      </c>
      <c r="J350" s="55"/>
      <c r="K350" s="55"/>
      <c r="L350" s="57"/>
    </row>
    <row r="351" spans="1:12" x14ac:dyDescent="0.25">
      <c r="A351" s="58" t="s">
        <v>1009</v>
      </c>
      <c r="B351" s="59" t="s">
        <v>24</v>
      </c>
      <c r="C351" s="59" t="s">
        <v>126</v>
      </c>
      <c r="D351" s="59" t="s">
        <v>1010</v>
      </c>
      <c r="E351" s="59" t="s">
        <v>1006</v>
      </c>
      <c r="F351" s="60">
        <v>45519</v>
      </c>
      <c r="G351" s="59"/>
      <c r="H351" s="59"/>
      <c r="I351" s="59" t="s">
        <v>385</v>
      </c>
      <c r="J351" s="59"/>
      <c r="K351" s="59"/>
      <c r="L351" s="61"/>
    </row>
    <row r="352" spans="1:12" x14ac:dyDescent="0.25">
      <c r="A352" s="54" t="s">
        <v>1011</v>
      </c>
      <c r="B352" s="55" t="s">
        <v>24</v>
      </c>
      <c r="C352" s="55" t="s">
        <v>126</v>
      </c>
      <c r="D352" s="55" t="s">
        <v>1010</v>
      </c>
      <c r="E352" s="55" t="s">
        <v>1006</v>
      </c>
      <c r="F352" s="56">
        <v>45519</v>
      </c>
      <c r="G352" s="55"/>
      <c r="H352" s="55"/>
      <c r="I352" s="55" t="s">
        <v>385</v>
      </c>
      <c r="J352" s="55"/>
      <c r="K352" s="55"/>
      <c r="L352" s="57"/>
    </row>
    <row r="353" spans="1:12" x14ac:dyDescent="0.25">
      <c r="A353" s="58" t="s">
        <v>1012</v>
      </c>
      <c r="B353" s="59" t="s">
        <v>24</v>
      </c>
      <c r="C353" s="59" t="s">
        <v>126</v>
      </c>
      <c r="D353" s="59" t="s">
        <v>232</v>
      </c>
      <c r="E353" s="59" t="s">
        <v>1013</v>
      </c>
      <c r="F353" s="60">
        <v>45526</v>
      </c>
      <c r="G353" s="59"/>
      <c r="H353" s="59"/>
      <c r="I353" s="59" t="s">
        <v>28</v>
      </c>
      <c r="J353" s="59"/>
      <c r="K353" s="59"/>
      <c r="L353" s="61"/>
    </row>
    <row r="354" spans="1:12" x14ac:dyDescent="0.25">
      <c r="A354" s="54" t="s">
        <v>1014</v>
      </c>
      <c r="B354" s="55" t="s">
        <v>1015</v>
      </c>
      <c r="C354" s="55" t="s">
        <v>1016</v>
      </c>
      <c r="D354" s="55" t="s">
        <v>1017</v>
      </c>
      <c r="E354" s="55" t="s">
        <v>1018</v>
      </c>
      <c r="F354" s="56">
        <v>45527</v>
      </c>
      <c r="G354" s="55"/>
      <c r="H354" s="55"/>
      <c r="I354" s="55" t="s">
        <v>28</v>
      </c>
      <c r="J354" s="55"/>
      <c r="K354" s="55"/>
      <c r="L354" s="57"/>
    </row>
    <row r="355" spans="1:12" x14ac:dyDescent="0.25">
      <c r="A355" s="58" t="s">
        <v>1019</v>
      </c>
      <c r="B355" s="59" t="s">
        <v>13</v>
      </c>
      <c r="C355" s="59" t="s">
        <v>51</v>
      </c>
      <c r="D355" s="59" t="s">
        <v>588</v>
      </c>
      <c r="E355" s="59" t="s">
        <v>1020</v>
      </c>
      <c r="F355" s="60">
        <v>45527</v>
      </c>
      <c r="G355" s="59"/>
      <c r="H355" s="59"/>
      <c r="I355" s="59" t="s">
        <v>385</v>
      </c>
      <c r="J355" s="59"/>
      <c r="K355" s="59"/>
      <c r="L355" s="61"/>
    </row>
    <row r="356" spans="1:12" x14ac:dyDescent="0.25">
      <c r="A356" s="54" t="s">
        <v>1021</v>
      </c>
      <c r="B356" s="55" t="s">
        <v>881</v>
      </c>
      <c r="C356" s="55" t="s">
        <v>869</v>
      </c>
      <c r="D356" s="55" t="s">
        <v>254</v>
      </c>
      <c r="E356" s="55" t="s">
        <v>1022</v>
      </c>
      <c r="F356" s="55"/>
      <c r="G356" s="55"/>
      <c r="H356" s="55"/>
      <c r="I356" s="55" t="s">
        <v>385</v>
      </c>
      <c r="J356" s="55"/>
      <c r="K356" s="55"/>
      <c r="L356" s="57"/>
    </row>
    <row r="357" spans="1:12" x14ac:dyDescent="0.25">
      <c r="A357" s="58" t="s">
        <v>1023</v>
      </c>
      <c r="B357" s="59" t="s">
        <v>433</v>
      </c>
      <c r="C357" s="59" t="s">
        <v>869</v>
      </c>
      <c r="D357" s="59" t="s">
        <v>254</v>
      </c>
      <c r="E357" s="59" t="s">
        <v>1024</v>
      </c>
      <c r="F357" s="60">
        <v>45695</v>
      </c>
      <c r="G357" s="59"/>
      <c r="H357" s="59"/>
      <c r="I357" s="59" t="s">
        <v>28</v>
      </c>
      <c r="J357" s="59"/>
      <c r="K357" s="59"/>
      <c r="L357" s="61"/>
    </row>
    <row r="358" spans="1:12" x14ac:dyDescent="0.25">
      <c r="A358" s="54" t="s">
        <v>1025</v>
      </c>
      <c r="B358" s="55" t="s">
        <v>433</v>
      </c>
      <c r="C358" s="55" t="s">
        <v>869</v>
      </c>
      <c r="D358" s="55" t="s">
        <v>254</v>
      </c>
      <c r="E358" s="55" t="s">
        <v>1026</v>
      </c>
      <c r="F358" s="56">
        <v>45695</v>
      </c>
      <c r="G358" s="55"/>
      <c r="H358" s="55"/>
      <c r="I358" s="55" t="s">
        <v>28</v>
      </c>
      <c r="J358" s="55"/>
      <c r="K358" s="55"/>
      <c r="L358" s="57"/>
    </row>
    <row r="359" spans="1:12" x14ac:dyDescent="0.25">
      <c r="A359" s="58" t="s">
        <v>1027</v>
      </c>
      <c r="B359" s="59" t="s">
        <v>825</v>
      </c>
      <c r="C359" s="59" t="s">
        <v>1028</v>
      </c>
      <c r="D359" s="59" t="s">
        <v>150</v>
      </c>
      <c r="E359" s="59" t="s">
        <v>1029</v>
      </c>
      <c r="F359" s="60">
        <v>45539</v>
      </c>
      <c r="G359" s="59"/>
      <c r="H359" s="59"/>
      <c r="I359" s="59" t="s">
        <v>385</v>
      </c>
      <c r="J359" s="59"/>
      <c r="K359" s="59"/>
      <c r="L359" s="61"/>
    </row>
    <row r="360" spans="1:12" x14ac:dyDescent="0.25">
      <c r="A360" s="54" t="s">
        <v>1030</v>
      </c>
      <c r="B360" s="55" t="s">
        <v>825</v>
      </c>
      <c r="C360" s="55" t="s">
        <v>1031</v>
      </c>
      <c r="D360" s="55" t="s">
        <v>1032</v>
      </c>
      <c r="E360" s="65" t="s">
        <v>1033</v>
      </c>
      <c r="F360" s="56">
        <v>45539</v>
      </c>
      <c r="G360" s="55"/>
      <c r="H360" s="55"/>
      <c r="I360" s="55" t="s">
        <v>388</v>
      </c>
      <c r="J360" s="55"/>
      <c r="K360" s="55"/>
      <c r="L360" s="57"/>
    </row>
    <row r="361" spans="1:12" x14ac:dyDescent="0.25">
      <c r="A361" s="58" t="s">
        <v>1034</v>
      </c>
      <c r="B361" s="59" t="s">
        <v>13</v>
      </c>
      <c r="C361" s="59" t="s">
        <v>51</v>
      </c>
      <c r="D361" s="59" t="s">
        <v>1035</v>
      </c>
      <c r="E361" s="59" t="s">
        <v>1036</v>
      </c>
      <c r="F361" s="60">
        <v>45540</v>
      </c>
      <c r="G361" s="59"/>
      <c r="H361" s="59"/>
      <c r="I361" s="59" t="s">
        <v>385</v>
      </c>
      <c r="J361" s="59"/>
      <c r="K361" s="59"/>
      <c r="L361" s="61"/>
    </row>
    <row r="362" spans="1:12" x14ac:dyDescent="0.25">
      <c r="A362" s="54" t="s">
        <v>1037</v>
      </c>
      <c r="B362" s="55" t="s">
        <v>220</v>
      </c>
      <c r="C362" s="55" t="s">
        <v>526</v>
      </c>
      <c r="D362" s="55" t="s">
        <v>924</v>
      </c>
      <c r="E362" s="55" t="s">
        <v>1038</v>
      </c>
      <c r="F362" s="56">
        <v>45541</v>
      </c>
      <c r="G362" s="55"/>
      <c r="H362" s="55"/>
      <c r="I362" s="55" t="s">
        <v>385</v>
      </c>
      <c r="J362" s="55"/>
      <c r="K362" s="55"/>
      <c r="L362" s="57"/>
    </row>
    <row r="363" spans="1:12" x14ac:dyDescent="0.25">
      <c r="A363" s="58" t="s">
        <v>1039</v>
      </c>
      <c r="B363" s="59" t="s">
        <v>996</v>
      </c>
      <c r="C363" s="59" t="s">
        <v>963</v>
      </c>
      <c r="D363" s="59" t="s">
        <v>964</v>
      </c>
      <c r="E363" s="59" t="s">
        <v>1040</v>
      </c>
      <c r="F363" s="60">
        <v>45553</v>
      </c>
      <c r="G363" s="59"/>
      <c r="H363" s="59"/>
      <c r="I363" s="59" t="s">
        <v>388</v>
      </c>
      <c r="J363" s="59"/>
      <c r="K363" s="59"/>
      <c r="L363" s="61"/>
    </row>
    <row r="364" spans="1:12" x14ac:dyDescent="0.25">
      <c r="A364" s="54" t="s">
        <v>1041</v>
      </c>
      <c r="B364" s="55" t="s">
        <v>135</v>
      </c>
      <c r="C364" s="55" t="s">
        <v>265</v>
      </c>
      <c r="D364" s="55" t="s">
        <v>1042</v>
      </c>
      <c r="E364" s="55" t="s">
        <v>1043</v>
      </c>
      <c r="F364" s="56">
        <v>45553</v>
      </c>
      <c r="G364" s="55"/>
      <c r="H364" s="55"/>
      <c r="I364" s="55" t="s">
        <v>17</v>
      </c>
      <c r="J364" s="55"/>
      <c r="K364" s="55"/>
      <c r="L364" s="57"/>
    </row>
    <row r="365" spans="1:12" x14ac:dyDescent="0.25">
      <c r="A365" s="58" t="s">
        <v>1044</v>
      </c>
      <c r="B365" s="59" t="s">
        <v>24</v>
      </c>
      <c r="C365" s="59" t="s">
        <v>1016</v>
      </c>
      <c r="D365" s="59" t="s">
        <v>1017</v>
      </c>
      <c r="E365" s="59" t="s">
        <v>1045</v>
      </c>
      <c r="F365" s="60">
        <v>45558</v>
      </c>
      <c r="G365" s="59"/>
      <c r="H365" s="59"/>
      <c r="I365" s="59" t="s">
        <v>28</v>
      </c>
      <c r="J365" s="59"/>
      <c r="K365" s="59"/>
      <c r="L365" s="61"/>
    </row>
    <row r="366" spans="1:12" x14ac:dyDescent="0.25">
      <c r="A366" s="54" t="s">
        <v>1046</v>
      </c>
      <c r="B366" s="55" t="s">
        <v>24</v>
      </c>
      <c r="C366" s="55" t="s">
        <v>1016</v>
      </c>
      <c r="D366" s="55" t="s">
        <v>1017</v>
      </c>
      <c r="E366" s="55" t="s">
        <v>1047</v>
      </c>
      <c r="F366" s="56">
        <v>45558</v>
      </c>
      <c r="G366" s="55"/>
      <c r="H366" s="55"/>
      <c r="I366" s="55" t="s">
        <v>388</v>
      </c>
      <c r="J366" s="55"/>
      <c r="K366" s="55"/>
      <c r="L366" s="57"/>
    </row>
    <row r="367" spans="1:12" x14ac:dyDescent="0.25">
      <c r="A367" s="58" t="s">
        <v>1048</v>
      </c>
      <c r="B367" s="59" t="s">
        <v>24</v>
      </c>
      <c r="C367" s="59" t="s">
        <v>914</v>
      </c>
      <c r="D367" s="59" t="s">
        <v>915</v>
      </c>
      <c r="E367" s="59" t="s">
        <v>697</v>
      </c>
      <c r="F367" s="60">
        <v>45559</v>
      </c>
      <c r="G367" s="59"/>
      <c r="H367" s="59"/>
      <c r="I367" s="59" t="s">
        <v>28</v>
      </c>
      <c r="J367" s="59"/>
      <c r="K367" s="59"/>
      <c r="L367" s="61"/>
    </row>
    <row r="368" spans="1:12" x14ac:dyDescent="0.25">
      <c r="A368" s="54" t="s">
        <v>1049</v>
      </c>
      <c r="B368" s="55" t="s">
        <v>24</v>
      </c>
      <c r="C368" s="55" t="s">
        <v>914</v>
      </c>
      <c r="D368" s="55" t="s">
        <v>915</v>
      </c>
      <c r="E368" s="55" t="s">
        <v>1050</v>
      </c>
      <c r="F368" s="56">
        <v>45560</v>
      </c>
      <c r="G368" s="55"/>
      <c r="H368" s="55"/>
      <c r="I368" s="55" t="s">
        <v>385</v>
      </c>
      <c r="J368" s="55"/>
      <c r="K368" s="55"/>
      <c r="L368" s="57"/>
    </row>
    <row r="369" spans="1:12" x14ac:dyDescent="0.25">
      <c r="A369" s="58" t="s">
        <v>1051</v>
      </c>
      <c r="B369" s="59" t="s">
        <v>825</v>
      </c>
      <c r="C369" s="59" t="s">
        <v>1052</v>
      </c>
      <c r="D369" s="59" t="s">
        <v>1053</v>
      </c>
      <c r="E369" s="59" t="s">
        <v>1054</v>
      </c>
      <c r="F369" s="60">
        <v>45561</v>
      </c>
      <c r="G369" s="59"/>
      <c r="H369" s="59"/>
      <c r="I369" s="59" t="s">
        <v>385</v>
      </c>
      <c r="J369" s="59"/>
      <c r="K369" s="59"/>
      <c r="L369" s="61"/>
    </row>
    <row r="370" spans="1:12" x14ac:dyDescent="0.25">
      <c r="A370" s="54" t="s">
        <v>1055</v>
      </c>
      <c r="B370" s="55" t="s">
        <v>825</v>
      </c>
      <c r="C370" s="55" t="s">
        <v>1056</v>
      </c>
      <c r="D370" s="55" t="s">
        <v>1057</v>
      </c>
      <c r="E370" s="55" t="s">
        <v>1058</v>
      </c>
      <c r="F370" s="56">
        <v>45562</v>
      </c>
      <c r="G370" s="55"/>
      <c r="H370" s="55"/>
      <c r="I370" s="55" t="s">
        <v>385</v>
      </c>
      <c r="J370" s="55"/>
      <c r="K370" s="55"/>
      <c r="L370" s="57"/>
    </row>
    <row r="371" spans="1:12" x14ac:dyDescent="0.25">
      <c r="A371" s="58" t="s">
        <v>1059</v>
      </c>
      <c r="B371" s="59" t="s">
        <v>825</v>
      </c>
      <c r="C371" s="59" t="s">
        <v>177</v>
      </c>
      <c r="D371" s="59" t="s">
        <v>1060</v>
      </c>
      <c r="E371" s="59" t="s">
        <v>1061</v>
      </c>
      <c r="F371" s="60">
        <v>45562</v>
      </c>
      <c r="G371" s="59"/>
      <c r="H371" s="59"/>
      <c r="I371" s="59" t="s">
        <v>388</v>
      </c>
      <c r="J371" s="59"/>
      <c r="K371" s="59"/>
      <c r="L371" s="61"/>
    </row>
    <row r="372" spans="1:12" x14ac:dyDescent="0.25">
      <c r="A372" s="54" t="s">
        <v>1062</v>
      </c>
      <c r="B372" s="55" t="s">
        <v>13</v>
      </c>
      <c r="C372" s="55" t="s">
        <v>1063</v>
      </c>
      <c r="D372" s="55" t="s">
        <v>1064</v>
      </c>
      <c r="E372" s="55" t="s">
        <v>1065</v>
      </c>
      <c r="F372" s="56">
        <v>45565</v>
      </c>
      <c r="G372" s="55"/>
      <c r="H372" s="55"/>
      <c r="I372" s="55" t="s">
        <v>28</v>
      </c>
      <c r="J372" s="55"/>
      <c r="K372" s="55"/>
      <c r="L372" s="57"/>
    </row>
    <row r="373" spans="1:12" x14ac:dyDescent="0.25">
      <c r="A373" s="58" t="s">
        <v>1066</v>
      </c>
      <c r="B373" s="59" t="s">
        <v>881</v>
      </c>
      <c r="C373" s="59" t="s">
        <v>869</v>
      </c>
      <c r="D373" s="59" t="s">
        <v>254</v>
      </c>
      <c r="E373" s="59" t="s">
        <v>1067</v>
      </c>
      <c r="F373" s="60">
        <v>45566</v>
      </c>
      <c r="G373" s="59"/>
      <c r="H373" s="59"/>
      <c r="I373" s="59" t="s">
        <v>385</v>
      </c>
      <c r="J373" s="59"/>
      <c r="K373" s="59"/>
      <c r="L373" s="61"/>
    </row>
    <row r="374" spans="1:12" x14ac:dyDescent="0.25">
      <c r="A374" s="54" t="s">
        <v>1068</v>
      </c>
      <c r="B374" s="55" t="s">
        <v>1069</v>
      </c>
      <c r="C374" s="55" t="s">
        <v>1070</v>
      </c>
      <c r="D374" s="55" t="s">
        <v>915</v>
      </c>
      <c r="E374" s="55" t="s">
        <v>1071</v>
      </c>
      <c r="F374" s="56">
        <v>45566</v>
      </c>
      <c r="G374" s="55"/>
      <c r="H374" s="55"/>
      <c r="I374" s="55" t="s">
        <v>17</v>
      </c>
      <c r="J374" s="55"/>
      <c r="K374" s="55"/>
      <c r="L374" s="57"/>
    </row>
    <row r="375" spans="1:12" x14ac:dyDescent="0.25">
      <c r="A375" s="58" t="s">
        <v>1072</v>
      </c>
      <c r="B375" s="59" t="s">
        <v>24</v>
      </c>
      <c r="C375" s="59" t="s">
        <v>1016</v>
      </c>
      <c r="D375" s="59" t="s">
        <v>1017</v>
      </c>
      <c r="E375" s="63" t="s">
        <v>1073</v>
      </c>
      <c r="F375" s="60">
        <v>45568</v>
      </c>
      <c r="G375" s="59"/>
      <c r="H375" s="59"/>
      <c r="I375" s="59" t="s">
        <v>388</v>
      </c>
      <c r="J375" s="59"/>
      <c r="K375" s="59"/>
      <c r="L375" s="61"/>
    </row>
    <row r="376" spans="1:12" x14ac:dyDescent="0.25">
      <c r="A376" s="54" t="s">
        <v>1074</v>
      </c>
      <c r="B376" s="55" t="s">
        <v>825</v>
      </c>
      <c r="C376" s="55" t="s">
        <v>1075</v>
      </c>
      <c r="D376" s="55" t="s">
        <v>1076</v>
      </c>
      <c r="E376" s="55" t="s">
        <v>1077</v>
      </c>
      <c r="F376" s="56">
        <v>45569</v>
      </c>
      <c r="G376" s="55"/>
      <c r="H376" s="55"/>
      <c r="I376" s="55" t="s">
        <v>385</v>
      </c>
      <c r="J376" s="55"/>
      <c r="K376" s="55"/>
      <c r="L376" s="57"/>
    </row>
    <row r="377" spans="1:12" x14ac:dyDescent="0.25">
      <c r="A377" s="58" t="s">
        <v>1078</v>
      </c>
      <c r="B377" s="59" t="s">
        <v>13</v>
      </c>
      <c r="C377" s="59" t="s">
        <v>1052</v>
      </c>
      <c r="D377" s="59" t="s">
        <v>1053</v>
      </c>
      <c r="E377" s="59" t="s">
        <v>1079</v>
      </c>
      <c r="F377" s="60">
        <v>45569</v>
      </c>
      <c r="G377" s="59"/>
      <c r="H377" s="59"/>
      <c r="I377" s="59" t="s">
        <v>28</v>
      </c>
      <c r="J377" s="59"/>
      <c r="K377" s="59"/>
      <c r="L377" s="61"/>
    </row>
    <row r="378" spans="1:12" x14ac:dyDescent="0.25">
      <c r="A378" s="54" t="s">
        <v>1080</v>
      </c>
      <c r="B378" s="55" t="s">
        <v>1081</v>
      </c>
      <c r="C378" s="55" t="s">
        <v>177</v>
      </c>
      <c r="D378" s="55" t="s">
        <v>511</v>
      </c>
      <c r="E378" s="55" t="s">
        <v>1082</v>
      </c>
      <c r="F378" s="56">
        <v>45572</v>
      </c>
      <c r="G378" s="55"/>
      <c r="H378" s="55"/>
      <c r="I378" s="55" t="s">
        <v>385</v>
      </c>
      <c r="J378" s="55"/>
      <c r="K378" s="55"/>
      <c r="L378" s="57"/>
    </row>
    <row r="379" spans="1:12" x14ac:dyDescent="0.25">
      <c r="A379" s="58" t="s">
        <v>1083</v>
      </c>
      <c r="B379" s="59" t="s">
        <v>220</v>
      </c>
      <c r="C379" s="59" t="s">
        <v>1056</v>
      </c>
      <c r="D379" s="59" t="s">
        <v>628</v>
      </c>
      <c r="E379" s="59" t="s">
        <v>1084</v>
      </c>
      <c r="F379" s="60">
        <v>45573</v>
      </c>
      <c r="G379" s="59"/>
      <c r="H379" s="59"/>
      <c r="I379" s="59" t="s">
        <v>28</v>
      </c>
      <c r="J379" s="59"/>
      <c r="K379" s="59"/>
      <c r="L379" s="61"/>
    </row>
    <row r="380" spans="1:12" x14ac:dyDescent="0.25">
      <c r="A380" s="54" t="s">
        <v>1085</v>
      </c>
      <c r="B380" s="55" t="s">
        <v>1081</v>
      </c>
      <c r="C380" s="55" t="s">
        <v>1086</v>
      </c>
      <c r="D380" s="55"/>
      <c r="E380" s="55" t="s">
        <v>1087</v>
      </c>
      <c r="F380" s="56">
        <v>45581</v>
      </c>
      <c r="G380" s="55"/>
      <c r="H380" s="55"/>
      <c r="I380" s="55" t="s">
        <v>385</v>
      </c>
      <c r="J380" s="55"/>
      <c r="K380" s="55"/>
      <c r="L380" s="57"/>
    </row>
    <row r="381" spans="1:12" x14ac:dyDescent="0.25">
      <c r="A381" s="58" t="s">
        <v>1088</v>
      </c>
      <c r="B381" s="59" t="s">
        <v>1081</v>
      </c>
      <c r="C381" s="59" t="s">
        <v>265</v>
      </c>
      <c r="D381" s="59" t="s">
        <v>1042</v>
      </c>
      <c r="E381" s="59" t="s">
        <v>1089</v>
      </c>
      <c r="F381" s="60">
        <v>45582</v>
      </c>
      <c r="G381" s="59"/>
      <c r="H381" s="59"/>
      <c r="I381" s="59" t="s">
        <v>388</v>
      </c>
      <c r="J381" s="59"/>
      <c r="K381" s="59"/>
      <c r="L381" s="61"/>
    </row>
    <row r="382" spans="1:12" x14ac:dyDescent="0.25">
      <c r="A382" s="54" t="s">
        <v>1090</v>
      </c>
      <c r="B382" s="55" t="s">
        <v>220</v>
      </c>
      <c r="C382" s="55" t="s">
        <v>1056</v>
      </c>
      <c r="D382" s="55" t="s">
        <v>628</v>
      </c>
      <c r="E382" s="55" t="s">
        <v>1091</v>
      </c>
      <c r="F382" s="56">
        <v>45582</v>
      </c>
      <c r="G382" s="55"/>
      <c r="H382" s="55"/>
      <c r="I382" s="55" t="s">
        <v>28</v>
      </c>
      <c r="J382" s="55"/>
      <c r="K382" s="55"/>
      <c r="L382" s="57"/>
    </row>
    <row r="383" spans="1:12" x14ac:dyDescent="0.25">
      <c r="A383" s="58" t="s">
        <v>1092</v>
      </c>
      <c r="B383" s="59" t="s">
        <v>24</v>
      </c>
      <c r="C383" s="59" t="s">
        <v>1052</v>
      </c>
      <c r="D383" s="59" t="s">
        <v>1053</v>
      </c>
      <c r="E383" s="59" t="s">
        <v>1093</v>
      </c>
      <c r="F383" s="60">
        <v>45588</v>
      </c>
      <c r="G383" s="59"/>
      <c r="H383" s="59"/>
      <c r="I383" s="59" t="s">
        <v>385</v>
      </c>
      <c r="J383" s="59"/>
      <c r="K383" s="59"/>
      <c r="L383" s="61"/>
    </row>
    <row r="384" spans="1:12" x14ac:dyDescent="0.25">
      <c r="A384" s="54" t="s">
        <v>1094</v>
      </c>
      <c r="B384" s="55" t="s">
        <v>13</v>
      </c>
      <c r="C384" s="55" t="s">
        <v>1052</v>
      </c>
      <c r="D384" s="55" t="s">
        <v>1053</v>
      </c>
      <c r="E384" s="55" t="s">
        <v>1095</v>
      </c>
      <c r="F384" s="56">
        <v>45589</v>
      </c>
      <c r="G384" s="55"/>
      <c r="H384" s="55"/>
      <c r="I384" s="55" t="s">
        <v>28</v>
      </c>
      <c r="J384" s="55"/>
      <c r="K384" s="55"/>
      <c r="L384" s="57"/>
    </row>
    <row r="385" spans="1:12" x14ac:dyDescent="0.25">
      <c r="A385" s="58" t="s">
        <v>1096</v>
      </c>
      <c r="B385" s="59" t="s">
        <v>1097</v>
      </c>
      <c r="C385" s="59" t="s">
        <v>411</v>
      </c>
      <c r="D385" s="59" t="s">
        <v>817</v>
      </c>
      <c r="E385" s="59" t="s">
        <v>1098</v>
      </c>
      <c r="F385" s="60">
        <v>45589</v>
      </c>
      <c r="G385" s="59"/>
      <c r="H385" s="59"/>
      <c r="I385" s="59" t="s">
        <v>28</v>
      </c>
      <c r="J385" s="59"/>
      <c r="K385" s="59"/>
      <c r="L385" s="61"/>
    </row>
    <row r="386" spans="1:12" x14ac:dyDescent="0.25">
      <c r="A386" s="54" t="s">
        <v>1099</v>
      </c>
      <c r="B386" s="55" t="s">
        <v>220</v>
      </c>
      <c r="C386" s="55" t="s">
        <v>869</v>
      </c>
      <c r="D386" s="55" t="s">
        <v>254</v>
      </c>
      <c r="E386" s="55" t="s">
        <v>1100</v>
      </c>
      <c r="F386" s="56">
        <v>45593</v>
      </c>
      <c r="G386" s="55"/>
      <c r="H386" s="55"/>
      <c r="I386" s="55" t="s">
        <v>385</v>
      </c>
      <c r="J386" s="55"/>
      <c r="K386" s="55"/>
      <c r="L386" s="57"/>
    </row>
    <row r="387" spans="1:12" x14ac:dyDescent="0.25">
      <c r="A387" s="58" t="s">
        <v>1101</v>
      </c>
      <c r="B387" s="59" t="s">
        <v>24</v>
      </c>
      <c r="C387" s="59" t="s">
        <v>126</v>
      </c>
      <c r="D387" s="59" t="s">
        <v>36</v>
      </c>
      <c r="E387" s="59" t="s">
        <v>1102</v>
      </c>
      <c r="F387" s="60">
        <v>45594</v>
      </c>
      <c r="G387" s="59"/>
      <c r="H387" s="59"/>
      <c r="I387" s="59" t="s">
        <v>385</v>
      </c>
      <c r="J387" s="59"/>
      <c r="K387" s="59"/>
      <c r="L387" s="61"/>
    </row>
    <row r="388" spans="1:12" x14ac:dyDescent="0.25">
      <c r="A388" s="54" t="s">
        <v>1103</v>
      </c>
      <c r="B388" s="55" t="s">
        <v>13</v>
      </c>
      <c r="C388" s="55" t="s">
        <v>903</v>
      </c>
      <c r="D388" s="55" t="s">
        <v>326</v>
      </c>
      <c r="E388" s="55" t="s">
        <v>1104</v>
      </c>
      <c r="F388" s="56">
        <v>45594</v>
      </c>
      <c r="G388" s="55"/>
      <c r="H388" s="55"/>
      <c r="I388" s="55" t="s">
        <v>28</v>
      </c>
      <c r="J388" s="55"/>
      <c r="K388" s="55"/>
      <c r="L388" s="57"/>
    </row>
    <row r="389" spans="1:12" x14ac:dyDescent="0.25">
      <c r="A389" s="58" t="s">
        <v>1105</v>
      </c>
      <c r="B389" s="59" t="s">
        <v>1106</v>
      </c>
      <c r="C389" s="59" t="s">
        <v>903</v>
      </c>
      <c r="D389" s="59" t="s">
        <v>1107</v>
      </c>
      <c r="E389" s="59" t="s">
        <v>1108</v>
      </c>
      <c r="F389" s="60">
        <v>45597</v>
      </c>
      <c r="G389" s="59"/>
      <c r="H389" s="59"/>
      <c r="I389" s="59" t="s">
        <v>380</v>
      </c>
      <c r="J389" s="59"/>
      <c r="K389" s="59"/>
      <c r="L389" s="61"/>
    </row>
    <row r="390" spans="1:12" x14ac:dyDescent="0.25">
      <c r="A390" s="54" t="s">
        <v>1109</v>
      </c>
      <c r="B390" s="55" t="s">
        <v>825</v>
      </c>
      <c r="C390" s="55" t="s">
        <v>70</v>
      </c>
      <c r="D390" s="55" t="s">
        <v>71</v>
      </c>
      <c r="E390" s="55" t="s">
        <v>1110</v>
      </c>
      <c r="F390" s="56">
        <v>45597</v>
      </c>
      <c r="G390" s="55"/>
      <c r="H390" s="55"/>
      <c r="I390" s="55" t="s">
        <v>380</v>
      </c>
      <c r="J390" s="55"/>
      <c r="K390" s="55"/>
      <c r="L390" s="57"/>
    </row>
    <row r="391" spans="1:12" x14ac:dyDescent="0.25">
      <c r="A391" s="58" t="s">
        <v>1111</v>
      </c>
      <c r="B391" s="59" t="s">
        <v>825</v>
      </c>
      <c r="C391" s="59" t="s">
        <v>1112</v>
      </c>
      <c r="D391" s="59" t="s">
        <v>1113</v>
      </c>
      <c r="E391" s="59" t="s">
        <v>1114</v>
      </c>
      <c r="F391" s="60">
        <v>45597</v>
      </c>
      <c r="G391" s="59"/>
      <c r="H391" s="59"/>
      <c r="I391" s="59" t="s">
        <v>380</v>
      </c>
      <c r="J391" s="59"/>
      <c r="K391" s="59"/>
      <c r="L391" s="61"/>
    </row>
    <row r="392" spans="1:12" x14ac:dyDescent="0.25">
      <c r="A392" s="54" t="s">
        <v>1115</v>
      </c>
      <c r="B392" s="55" t="s">
        <v>825</v>
      </c>
      <c r="C392" s="55" t="s">
        <v>1116</v>
      </c>
      <c r="D392" s="55" t="s">
        <v>1117</v>
      </c>
      <c r="E392" s="55" t="s">
        <v>1118</v>
      </c>
      <c r="F392" s="56">
        <v>45597</v>
      </c>
      <c r="G392" s="55"/>
      <c r="H392" s="55"/>
      <c r="I392" s="55" t="s">
        <v>388</v>
      </c>
      <c r="J392" s="55"/>
      <c r="K392" s="55"/>
      <c r="L392" s="57"/>
    </row>
    <row r="393" spans="1:12" x14ac:dyDescent="0.25">
      <c r="A393" s="58" t="s">
        <v>1119</v>
      </c>
      <c r="B393" s="59" t="s">
        <v>1120</v>
      </c>
      <c r="C393" s="59" t="s">
        <v>1121</v>
      </c>
      <c r="D393" s="59" t="s">
        <v>699</v>
      </c>
      <c r="E393" s="59" t="s">
        <v>1122</v>
      </c>
      <c r="F393" s="60">
        <v>45597</v>
      </c>
      <c r="G393" s="59"/>
      <c r="H393" s="59"/>
      <c r="I393" s="59" t="s">
        <v>385</v>
      </c>
      <c r="J393" s="59"/>
      <c r="K393" s="59"/>
      <c r="L393" s="61"/>
    </row>
    <row r="394" spans="1:12" x14ac:dyDescent="0.25">
      <c r="A394" s="54" t="s">
        <v>1123</v>
      </c>
      <c r="B394" s="55" t="s">
        <v>825</v>
      </c>
      <c r="C394" s="55" t="s">
        <v>1056</v>
      </c>
      <c r="D394" s="55" t="s">
        <v>511</v>
      </c>
      <c r="E394" s="55" t="s">
        <v>1124</v>
      </c>
      <c r="F394" s="56">
        <v>45597</v>
      </c>
      <c r="G394" s="55"/>
      <c r="H394" s="55"/>
      <c r="I394" s="55" t="s">
        <v>388</v>
      </c>
      <c r="J394" s="55"/>
      <c r="K394" s="55"/>
      <c r="L394" s="57"/>
    </row>
    <row r="395" spans="1:12" x14ac:dyDescent="0.25">
      <c r="A395" s="58" t="s">
        <v>1125</v>
      </c>
      <c r="B395" s="59" t="s">
        <v>825</v>
      </c>
      <c r="C395" s="59" t="s">
        <v>1126</v>
      </c>
      <c r="D395" s="59" t="s">
        <v>1017</v>
      </c>
      <c r="E395" s="59" t="s">
        <v>1127</v>
      </c>
      <c r="F395" s="59"/>
      <c r="G395" s="59"/>
      <c r="H395" s="59"/>
      <c r="I395" s="59" t="s">
        <v>28</v>
      </c>
      <c r="J395" s="59"/>
      <c r="K395" s="59"/>
      <c r="L395" s="61"/>
    </row>
    <row r="396" spans="1:12" x14ac:dyDescent="0.25">
      <c r="A396" s="54" t="s">
        <v>1128</v>
      </c>
      <c r="B396" s="55" t="s">
        <v>1129</v>
      </c>
      <c r="C396" s="55" t="s">
        <v>122</v>
      </c>
      <c r="D396" s="55" t="s">
        <v>1130</v>
      </c>
      <c r="E396" s="55" t="s">
        <v>1131</v>
      </c>
      <c r="F396" s="56">
        <v>45597</v>
      </c>
      <c r="G396" s="55"/>
      <c r="H396" s="55"/>
      <c r="I396" s="55" t="s">
        <v>380</v>
      </c>
      <c r="J396" s="55"/>
      <c r="K396" s="55"/>
      <c r="L396" s="57"/>
    </row>
    <row r="397" spans="1:12" x14ac:dyDescent="0.25">
      <c r="A397" s="58" t="s">
        <v>1132</v>
      </c>
      <c r="B397" s="59" t="s">
        <v>1015</v>
      </c>
      <c r="C397" s="59" t="s">
        <v>1031</v>
      </c>
      <c r="D397" s="59" t="s">
        <v>1133</v>
      </c>
      <c r="E397" s="59" t="s">
        <v>1134</v>
      </c>
      <c r="F397" s="60">
        <v>45597</v>
      </c>
      <c r="G397" s="59"/>
      <c r="H397" s="59"/>
      <c r="I397" s="59" t="s">
        <v>388</v>
      </c>
      <c r="J397" s="59"/>
      <c r="K397" s="59"/>
      <c r="L397" s="61"/>
    </row>
    <row r="398" spans="1:12" x14ac:dyDescent="0.25">
      <c r="A398" s="54" t="s">
        <v>1135</v>
      </c>
      <c r="B398" s="55" t="s">
        <v>13</v>
      </c>
      <c r="C398" s="55" t="s">
        <v>1136</v>
      </c>
      <c r="D398" s="55" t="s">
        <v>244</v>
      </c>
      <c r="E398" s="55" t="s">
        <v>1137</v>
      </c>
      <c r="F398" s="56">
        <v>45600</v>
      </c>
      <c r="G398" s="55"/>
      <c r="H398" s="55"/>
      <c r="I398" s="55" t="s">
        <v>380</v>
      </c>
      <c r="J398" s="55"/>
      <c r="K398" s="55"/>
      <c r="L398" s="57"/>
    </row>
    <row r="399" spans="1:12" x14ac:dyDescent="0.25">
      <c r="A399" s="58" t="s">
        <v>1138</v>
      </c>
      <c r="B399" s="59" t="s">
        <v>13</v>
      </c>
      <c r="C399" s="59" t="s">
        <v>1136</v>
      </c>
      <c r="D399" s="59" t="s">
        <v>244</v>
      </c>
      <c r="E399" s="59" t="s">
        <v>1139</v>
      </c>
      <c r="F399" s="60">
        <v>45600</v>
      </c>
      <c r="G399" s="59"/>
      <c r="H399" s="59"/>
      <c r="I399" s="59" t="s">
        <v>385</v>
      </c>
      <c r="J399" s="59"/>
      <c r="K399" s="59"/>
      <c r="L399" s="61"/>
    </row>
    <row r="400" spans="1:12" x14ac:dyDescent="0.25">
      <c r="A400" s="54" t="s">
        <v>1140</v>
      </c>
      <c r="B400" s="55" t="s">
        <v>135</v>
      </c>
      <c r="C400" s="55" t="s">
        <v>253</v>
      </c>
      <c r="D400" s="55" t="s">
        <v>254</v>
      </c>
      <c r="E400" s="55" t="s">
        <v>1141</v>
      </c>
      <c r="F400" s="56">
        <v>45610</v>
      </c>
      <c r="G400" s="55"/>
      <c r="H400" s="55"/>
      <c r="I400" s="55" t="s">
        <v>28</v>
      </c>
      <c r="J400" s="55"/>
      <c r="K400" s="55"/>
      <c r="L400" s="57"/>
    </row>
    <row r="401" spans="1:12" x14ac:dyDescent="0.25">
      <c r="A401" s="58" t="s">
        <v>1142</v>
      </c>
      <c r="B401" s="59" t="s">
        <v>474</v>
      </c>
      <c r="C401" s="59" t="s">
        <v>956</v>
      </c>
      <c r="D401" s="59" t="s">
        <v>957</v>
      </c>
      <c r="E401" s="59" t="s">
        <v>1143</v>
      </c>
      <c r="F401" s="60">
        <v>45611</v>
      </c>
      <c r="G401" s="59"/>
      <c r="H401" s="59"/>
      <c r="I401" s="59" t="s">
        <v>385</v>
      </c>
      <c r="J401" s="59"/>
      <c r="K401" s="59"/>
      <c r="L401" s="61"/>
    </row>
    <row r="402" spans="1:12" x14ac:dyDescent="0.25">
      <c r="A402" s="54" t="s">
        <v>1144</v>
      </c>
      <c r="B402" s="55" t="s">
        <v>135</v>
      </c>
      <c r="C402" s="55" t="s">
        <v>956</v>
      </c>
      <c r="D402" s="55" t="s">
        <v>957</v>
      </c>
      <c r="E402" s="55" t="s">
        <v>1145</v>
      </c>
      <c r="F402" s="56">
        <v>45615</v>
      </c>
      <c r="G402" s="55"/>
      <c r="H402" s="55"/>
      <c r="I402" s="55" t="s">
        <v>385</v>
      </c>
      <c r="J402" s="55"/>
      <c r="K402" s="55"/>
      <c r="L402" s="57"/>
    </row>
    <row r="403" spans="1:12" x14ac:dyDescent="0.25">
      <c r="A403" s="58" t="s">
        <v>1146</v>
      </c>
      <c r="B403" s="59" t="s">
        <v>13</v>
      </c>
      <c r="C403" s="59" t="s">
        <v>903</v>
      </c>
      <c r="D403" s="59" t="s">
        <v>326</v>
      </c>
      <c r="E403" s="59" t="s">
        <v>1147</v>
      </c>
      <c r="F403" s="60">
        <v>45617</v>
      </c>
      <c r="G403" s="59"/>
      <c r="H403" s="59"/>
      <c r="I403" s="59" t="s">
        <v>385</v>
      </c>
      <c r="J403" s="59"/>
      <c r="K403" s="59"/>
      <c r="L403" s="61"/>
    </row>
    <row r="404" spans="1:12" x14ac:dyDescent="0.25">
      <c r="A404" s="54" t="s">
        <v>1148</v>
      </c>
      <c r="B404" s="55" t="s">
        <v>135</v>
      </c>
      <c r="C404" s="55" t="s">
        <v>1149</v>
      </c>
      <c r="D404" s="55" t="s">
        <v>599</v>
      </c>
      <c r="E404" s="55" t="s">
        <v>1150</v>
      </c>
      <c r="F404" s="56">
        <v>45618</v>
      </c>
      <c r="G404" s="55"/>
      <c r="H404" s="55"/>
      <c r="I404" s="55" t="s">
        <v>380</v>
      </c>
      <c r="J404" s="55"/>
      <c r="K404" s="55"/>
      <c r="L404" s="57"/>
    </row>
    <row r="405" spans="1:12" x14ac:dyDescent="0.25">
      <c r="A405" s="58" t="s">
        <v>1151</v>
      </c>
      <c r="B405" s="59" t="s">
        <v>325</v>
      </c>
      <c r="C405" s="59" t="s">
        <v>70</v>
      </c>
      <c r="D405" s="59" t="s">
        <v>71</v>
      </c>
      <c r="E405" s="59" t="s">
        <v>1152</v>
      </c>
      <c r="F405" s="60">
        <v>45616</v>
      </c>
      <c r="G405" s="59"/>
      <c r="H405" s="59"/>
      <c r="I405" s="59" t="s">
        <v>388</v>
      </c>
      <c r="J405" s="59"/>
      <c r="K405" s="59"/>
      <c r="L405" s="61"/>
    </row>
    <row r="406" spans="1:12" x14ac:dyDescent="0.25">
      <c r="A406" s="54" t="s">
        <v>1153</v>
      </c>
      <c r="B406" s="55" t="s">
        <v>13</v>
      </c>
      <c r="C406" s="55" t="s">
        <v>1136</v>
      </c>
      <c r="D406" s="55" t="s">
        <v>244</v>
      </c>
      <c r="E406" s="55" t="s">
        <v>1154</v>
      </c>
      <c r="F406" s="56">
        <v>45622</v>
      </c>
      <c r="G406" s="55"/>
      <c r="H406" s="55"/>
      <c r="I406" s="55" t="s">
        <v>388</v>
      </c>
      <c r="J406" s="55"/>
      <c r="K406" s="55"/>
      <c r="L406" s="57"/>
    </row>
    <row r="407" spans="1:12" x14ac:dyDescent="0.25">
      <c r="A407" s="58" t="s">
        <v>1155</v>
      </c>
      <c r="B407" s="59" t="s">
        <v>24</v>
      </c>
      <c r="C407" s="59" t="s">
        <v>1016</v>
      </c>
      <c r="D407" s="59" t="s">
        <v>1017</v>
      </c>
      <c r="E407" s="59" t="s">
        <v>1156</v>
      </c>
      <c r="F407" s="60">
        <v>45623</v>
      </c>
      <c r="G407" s="59"/>
      <c r="H407" s="59"/>
      <c r="I407" s="59" t="s">
        <v>28</v>
      </c>
      <c r="J407" s="59"/>
      <c r="K407" s="59"/>
      <c r="L407" s="61"/>
    </row>
    <row r="408" spans="1:12" x14ac:dyDescent="0.25">
      <c r="A408" s="54" t="s">
        <v>1157</v>
      </c>
      <c r="B408" s="55" t="s">
        <v>1158</v>
      </c>
      <c r="C408" s="55" t="s">
        <v>578</v>
      </c>
      <c r="D408" s="55" t="s">
        <v>326</v>
      </c>
      <c r="E408" s="55" t="s">
        <v>1159</v>
      </c>
      <c r="F408" s="56">
        <v>45628</v>
      </c>
      <c r="G408" s="55"/>
      <c r="H408" s="55"/>
      <c r="I408" s="55" t="s">
        <v>28</v>
      </c>
      <c r="J408" s="55"/>
      <c r="K408" s="55"/>
      <c r="L408" s="57"/>
    </row>
    <row r="409" spans="1:12" x14ac:dyDescent="0.25">
      <c r="A409" s="58" t="s">
        <v>1160</v>
      </c>
      <c r="B409" s="59" t="s">
        <v>24</v>
      </c>
      <c r="C409" s="59" t="s">
        <v>126</v>
      </c>
      <c r="D409" s="59" t="s">
        <v>232</v>
      </c>
      <c r="E409" s="59" t="s">
        <v>1161</v>
      </c>
      <c r="F409" s="60">
        <v>45629</v>
      </c>
      <c r="G409" s="59"/>
      <c r="H409" s="59"/>
      <c r="I409" s="59" t="s">
        <v>385</v>
      </c>
      <c r="J409" s="59"/>
      <c r="K409" s="59"/>
      <c r="L409" s="61"/>
    </row>
    <row r="410" spans="1:12" x14ac:dyDescent="0.25">
      <c r="A410" s="54" t="s">
        <v>1162</v>
      </c>
      <c r="B410" s="55" t="s">
        <v>13</v>
      </c>
      <c r="C410" s="55" t="s">
        <v>903</v>
      </c>
      <c r="D410" s="55" t="s">
        <v>921</v>
      </c>
      <c r="E410" s="55" t="s">
        <v>1163</v>
      </c>
      <c r="F410" s="56">
        <v>45629</v>
      </c>
      <c r="G410" s="55"/>
      <c r="H410" s="55"/>
      <c r="I410" s="55" t="s">
        <v>28</v>
      </c>
      <c r="J410" s="55"/>
      <c r="K410" s="55"/>
      <c r="L410" s="57"/>
    </row>
    <row r="411" spans="1:12" x14ac:dyDescent="0.25">
      <c r="A411" s="58" t="s">
        <v>1164</v>
      </c>
      <c r="B411" s="59" t="s">
        <v>24</v>
      </c>
      <c r="C411" s="59" t="s">
        <v>126</v>
      </c>
      <c r="D411" s="59" t="s">
        <v>36</v>
      </c>
      <c r="E411" s="59" t="s">
        <v>1165</v>
      </c>
      <c r="F411" s="60">
        <v>45631</v>
      </c>
      <c r="G411" s="59"/>
      <c r="H411" s="59"/>
      <c r="I411" s="59"/>
      <c r="J411" s="59"/>
      <c r="K411" s="59"/>
      <c r="L411" s="61"/>
    </row>
    <row r="412" spans="1:12" x14ac:dyDescent="0.25">
      <c r="A412" s="54" t="s">
        <v>1166</v>
      </c>
      <c r="B412" s="55" t="s">
        <v>881</v>
      </c>
      <c r="C412" s="55" t="s">
        <v>70</v>
      </c>
      <c r="D412" s="55" t="s">
        <v>71</v>
      </c>
      <c r="E412" s="55" t="s">
        <v>1167</v>
      </c>
      <c r="F412" s="56">
        <v>45632</v>
      </c>
      <c r="G412" s="55"/>
      <c r="H412" s="55"/>
      <c r="I412" s="55"/>
      <c r="J412" s="55"/>
      <c r="K412" s="55"/>
      <c r="L412" s="57"/>
    </row>
    <row r="413" spans="1:12" x14ac:dyDescent="0.25">
      <c r="A413" s="58" t="s">
        <v>1168</v>
      </c>
      <c r="B413" s="59" t="s">
        <v>24</v>
      </c>
      <c r="C413" s="59" t="s">
        <v>1136</v>
      </c>
      <c r="D413" s="59" t="s">
        <v>244</v>
      </c>
      <c r="E413" s="59" t="s">
        <v>1169</v>
      </c>
      <c r="F413" s="60">
        <v>45635</v>
      </c>
      <c r="G413" s="59"/>
      <c r="H413" s="59"/>
      <c r="I413" s="59"/>
      <c r="J413" s="59"/>
      <c r="K413" s="59"/>
      <c r="L413" s="61"/>
    </row>
    <row r="414" spans="1:12" ht="30" x14ac:dyDescent="0.25">
      <c r="A414" s="54" t="s">
        <v>1170</v>
      </c>
      <c r="B414" s="55" t="s">
        <v>433</v>
      </c>
      <c r="C414" s="55" t="s">
        <v>869</v>
      </c>
      <c r="D414" s="55" t="s">
        <v>254</v>
      </c>
      <c r="E414" s="55" t="s">
        <v>1171</v>
      </c>
      <c r="F414" s="56">
        <v>45637</v>
      </c>
      <c r="G414" s="55"/>
      <c r="H414" s="55"/>
      <c r="I414" s="55" t="s">
        <v>385</v>
      </c>
      <c r="J414" s="55"/>
      <c r="K414" s="65" t="s">
        <v>1172</v>
      </c>
      <c r="L414" s="57"/>
    </row>
    <row r="415" spans="1:12" x14ac:dyDescent="0.25">
      <c r="A415" s="58" t="s">
        <v>1173</v>
      </c>
      <c r="B415" s="59" t="s">
        <v>773</v>
      </c>
      <c r="C415" s="59" t="s">
        <v>869</v>
      </c>
      <c r="D415" s="59" t="s">
        <v>254</v>
      </c>
      <c r="E415" s="59" t="s">
        <v>1174</v>
      </c>
      <c r="F415" s="60">
        <v>45637</v>
      </c>
      <c r="G415" s="59"/>
      <c r="H415" s="59"/>
      <c r="I415" s="59" t="s">
        <v>28</v>
      </c>
      <c r="J415" s="59"/>
      <c r="K415" s="59"/>
      <c r="L415" s="61"/>
    </row>
    <row r="416" spans="1:12" x14ac:dyDescent="0.25">
      <c r="A416" s="54" t="s">
        <v>1175</v>
      </c>
      <c r="B416" s="55" t="s">
        <v>773</v>
      </c>
      <c r="C416" s="55" t="s">
        <v>869</v>
      </c>
      <c r="D416" s="55" t="s">
        <v>254</v>
      </c>
      <c r="E416" s="55" t="s">
        <v>1176</v>
      </c>
      <c r="F416" s="55"/>
      <c r="G416" s="55"/>
      <c r="H416" s="55"/>
      <c r="I416" s="55" t="s">
        <v>28</v>
      </c>
      <c r="J416" s="55"/>
      <c r="K416" s="55"/>
      <c r="L416" s="57"/>
    </row>
    <row r="417" spans="1:12" x14ac:dyDescent="0.25">
      <c r="A417" s="58" t="s">
        <v>1177</v>
      </c>
      <c r="B417" s="59" t="s">
        <v>773</v>
      </c>
      <c r="C417" s="59" t="s">
        <v>869</v>
      </c>
      <c r="D417" s="59" t="s">
        <v>254</v>
      </c>
      <c r="E417" s="59" t="s">
        <v>1178</v>
      </c>
      <c r="F417" s="60">
        <v>45638</v>
      </c>
      <c r="G417" s="59"/>
      <c r="H417" s="59"/>
      <c r="I417" s="59" t="s">
        <v>28</v>
      </c>
      <c r="J417" s="59"/>
      <c r="K417" s="59"/>
      <c r="L417" s="61"/>
    </row>
    <row r="418" spans="1:12" x14ac:dyDescent="0.25">
      <c r="A418" s="54" t="s">
        <v>1179</v>
      </c>
      <c r="B418" s="55" t="s">
        <v>220</v>
      </c>
      <c r="C418" s="55" t="s">
        <v>1116</v>
      </c>
      <c r="D418" s="55" t="s">
        <v>535</v>
      </c>
      <c r="E418" s="55" t="s">
        <v>1180</v>
      </c>
      <c r="F418" s="56">
        <v>46003</v>
      </c>
      <c r="G418" s="55"/>
      <c r="H418" s="55"/>
      <c r="I418" s="55"/>
      <c r="J418" s="55"/>
      <c r="K418" s="55"/>
      <c r="L418" s="57"/>
    </row>
    <row r="419" spans="1:12" x14ac:dyDescent="0.25">
      <c r="A419" s="58" t="s">
        <v>1181</v>
      </c>
      <c r="B419" s="59" t="s">
        <v>474</v>
      </c>
      <c r="C419" s="59" t="s">
        <v>265</v>
      </c>
      <c r="D419" s="59" t="s">
        <v>1042</v>
      </c>
      <c r="E419" s="59" t="s">
        <v>1182</v>
      </c>
      <c r="F419" s="60">
        <v>45639</v>
      </c>
      <c r="G419" s="59"/>
      <c r="H419" s="59"/>
      <c r="I419" s="59"/>
      <c r="J419" s="59"/>
      <c r="K419" s="59"/>
      <c r="L419" s="61"/>
    </row>
    <row r="420" spans="1:12" x14ac:dyDescent="0.25">
      <c r="A420" s="54" t="s">
        <v>1183</v>
      </c>
      <c r="B420" s="55" t="s">
        <v>881</v>
      </c>
      <c r="C420" s="55" t="s">
        <v>243</v>
      </c>
      <c r="D420" s="55" t="s">
        <v>244</v>
      </c>
      <c r="E420" s="55" t="s">
        <v>1184</v>
      </c>
      <c r="F420" s="56">
        <v>45639</v>
      </c>
      <c r="G420" s="55"/>
      <c r="H420" s="55"/>
      <c r="I420" s="55"/>
      <c r="J420" s="55"/>
      <c r="K420" s="55"/>
      <c r="L420" s="57"/>
    </row>
    <row r="421" spans="1:12" x14ac:dyDescent="0.25">
      <c r="A421" s="58" t="s">
        <v>1185</v>
      </c>
      <c r="B421" s="59" t="s">
        <v>13</v>
      </c>
      <c r="C421" s="59" t="s">
        <v>411</v>
      </c>
      <c r="D421" s="59" t="s">
        <v>817</v>
      </c>
      <c r="E421" s="59" t="s">
        <v>1186</v>
      </c>
      <c r="F421" s="60">
        <v>45643</v>
      </c>
      <c r="G421" s="59"/>
      <c r="H421" s="59"/>
      <c r="I421" s="59" t="s">
        <v>28</v>
      </c>
      <c r="J421" s="59"/>
      <c r="K421" s="59"/>
      <c r="L421" s="61"/>
    </row>
    <row r="422" spans="1:12" x14ac:dyDescent="0.25">
      <c r="A422" s="54" t="s">
        <v>1187</v>
      </c>
      <c r="B422" s="55" t="s">
        <v>1015</v>
      </c>
      <c r="C422" s="55" t="s">
        <v>43</v>
      </c>
      <c r="D422" s="55" t="s">
        <v>1188</v>
      </c>
      <c r="E422" s="55" t="s">
        <v>1189</v>
      </c>
      <c r="F422" s="56">
        <v>45646</v>
      </c>
      <c r="G422" s="55"/>
      <c r="H422" s="55"/>
      <c r="I422" s="55" t="s">
        <v>385</v>
      </c>
      <c r="J422" s="55"/>
      <c r="K422" s="55"/>
      <c r="L422" s="57"/>
    </row>
    <row r="423" spans="1:12" x14ac:dyDescent="0.25">
      <c r="A423" s="58" t="s">
        <v>1190</v>
      </c>
      <c r="B423" s="59" t="s">
        <v>220</v>
      </c>
      <c r="C423" s="59" t="s">
        <v>1056</v>
      </c>
      <c r="D423" s="59" t="s">
        <v>225</v>
      </c>
      <c r="E423" s="59" t="s">
        <v>1191</v>
      </c>
      <c r="F423" s="60">
        <v>45646</v>
      </c>
      <c r="G423" s="59"/>
      <c r="H423" s="59"/>
      <c r="I423" s="59"/>
      <c r="J423" s="59"/>
      <c r="K423" s="59"/>
      <c r="L423" s="61"/>
    </row>
    <row r="424" spans="1:12" x14ac:dyDescent="0.25">
      <c r="A424" s="54" t="s">
        <v>1192</v>
      </c>
      <c r="B424" s="55" t="s">
        <v>13</v>
      </c>
      <c r="C424" s="55" t="s">
        <v>937</v>
      </c>
      <c r="D424" s="55" t="s">
        <v>1193</v>
      </c>
      <c r="E424" s="55" t="s">
        <v>1194</v>
      </c>
      <c r="F424" s="56">
        <v>45652</v>
      </c>
      <c r="G424" s="55"/>
      <c r="H424" s="55"/>
      <c r="I424" s="55" t="s">
        <v>388</v>
      </c>
      <c r="J424" s="55"/>
      <c r="K424" s="55"/>
      <c r="L424" s="57"/>
    </row>
    <row r="425" spans="1:12" x14ac:dyDescent="0.25">
      <c r="A425" s="58" t="s">
        <v>1195</v>
      </c>
      <c r="B425" s="59" t="s">
        <v>13</v>
      </c>
      <c r="C425" s="59" t="s">
        <v>1052</v>
      </c>
      <c r="D425" s="59" t="s">
        <v>1053</v>
      </c>
      <c r="E425" s="59" t="s">
        <v>1196</v>
      </c>
      <c r="F425" s="60">
        <v>45664</v>
      </c>
      <c r="G425" s="59"/>
      <c r="H425" s="59"/>
      <c r="I425" s="59" t="s">
        <v>28</v>
      </c>
      <c r="J425" s="59"/>
      <c r="K425" s="59"/>
      <c r="L425" s="61"/>
    </row>
    <row r="426" spans="1:12" x14ac:dyDescent="0.25">
      <c r="A426" s="54" t="s">
        <v>1197</v>
      </c>
      <c r="B426" s="55" t="s">
        <v>13</v>
      </c>
      <c r="C426" s="55" t="s">
        <v>1136</v>
      </c>
      <c r="D426" s="55" t="s">
        <v>1198</v>
      </c>
      <c r="E426" s="55" t="s">
        <v>1199</v>
      </c>
      <c r="F426" s="56">
        <v>45665</v>
      </c>
      <c r="G426" s="55"/>
      <c r="H426" s="55"/>
      <c r="I426" s="55" t="s">
        <v>385</v>
      </c>
      <c r="J426" s="55"/>
      <c r="K426" s="55"/>
      <c r="L426" s="57"/>
    </row>
    <row r="427" spans="1:12" x14ac:dyDescent="0.25">
      <c r="A427" s="58" t="s">
        <v>1200</v>
      </c>
      <c r="B427" s="59" t="s">
        <v>825</v>
      </c>
      <c r="C427" s="59" t="s">
        <v>578</v>
      </c>
      <c r="D427" s="59" t="s">
        <v>326</v>
      </c>
      <c r="E427" s="59" t="s">
        <v>1201</v>
      </c>
      <c r="F427" s="60">
        <v>45666</v>
      </c>
      <c r="G427" s="59"/>
      <c r="H427" s="59"/>
      <c r="I427" s="59" t="s">
        <v>385</v>
      </c>
      <c r="J427" s="59"/>
      <c r="K427" s="59"/>
      <c r="L427" s="61"/>
    </row>
    <row r="428" spans="1:12" x14ac:dyDescent="0.25">
      <c r="A428" s="54" t="s">
        <v>1202</v>
      </c>
      <c r="B428" s="55" t="s">
        <v>1203</v>
      </c>
      <c r="C428" s="55" t="s">
        <v>1204</v>
      </c>
      <c r="D428" s="55" t="s">
        <v>1205</v>
      </c>
      <c r="E428" s="55" t="s">
        <v>1206</v>
      </c>
      <c r="F428" s="56">
        <v>45666</v>
      </c>
      <c r="G428" s="55"/>
      <c r="H428" s="55"/>
      <c r="I428" s="55" t="s">
        <v>28</v>
      </c>
      <c r="J428" s="55"/>
      <c r="K428" s="55"/>
      <c r="L428" s="57"/>
    </row>
    <row r="429" spans="1:12" x14ac:dyDescent="0.25">
      <c r="A429" s="58" t="s">
        <v>1207</v>
      </c>
      <c r="B429" s="59" t="s">
        <v>13</v>
      </c>
      <c r="C429" s="59" t="s">
        <v>411</v>
      </c>
      <c r="D429" s="59" t="s">
        <v>817</v>
      </c>
      <c r="E429" s="59" t="s">
        <v>1208</v>
      </c>
      <c r="F429" s="60">
        <v>45667</v>
      </c>
      <c r="G429" s="59"/>
      <c r="H429" s="59"/>
      <c r="I429" s="59" t="s">
        <v>385</v>
      </c>
      <c r="J429" s="59"/>
      <c r="K429" s="59"/>
      <c r="L429" s="61"/>
    </row>
    <row r="430" spans="1:12" x14ac:dyDescent="0.25">
      <c r="A430" s="54" t="s">
        <v>1209</v>
      </c>
      <c r="B430" s="55" t="s">
        <v>24</v>
      </c>
      <c r="C430" s="55" t="s">
        <v>43</v>
      </c>
      <c r="D430" s="55" t="s">
        <v>582</v>
      </c>
      <c r="E430" s="55" t="s">
        <v>1210</v>
      </c>
      <c r="F430" s="56">
        <v>45672</v>
      </c>
      <c r="G430" s="55"/>
      <c r="H430" s="55"/>
      <c r="I430" s="55"/>
      <c r="J430" s="55"/>
      <c r="K430" s="55"/>
      <c r="L430" s="57"/>
    </row>
    <row r="431" spans="1:12" x14ac:dyDescent="0.25">
      <c r="A431" s="58" t="s">
        <v>1211</v>
      </c>
      <c r="B431" s="59" t="s">
        <v>1015</v>
      </c>
      <c r="C431" s="59" t="s">
        <v>1136</v>
      </c>
      <c r="D431" s="59" t="s">
        <v>244</v>
      </c>
      <c r="E431" s="59" t="s">
        <v>1212</v>
      </c>
      <c r="F431" s="60">
        <v>45672</v>
      </c>
      <c r="G431" s="59"/>
      <c r="H431" s="59"/>
      <c r="I431" s="59"/>
      <c r="J431" s="59"/>
      <c r="K431" s="59"/>
      <c r="L431" s="61"/>
    </row>
    <row r="432" spans="1:12" x14ac:dyDescent="0.25">
      <c r="A432" s="54" t="s">
        <v>1213</v>
      </c>
      <c r="B432" s="55" t="s">
        <v>433</v>
      </c>
      <c r="C432" s="55" t="s">
        <v>869</v>
      </c>
      <c r="D432" s="55" t="s">
        <v>1214</v>
      </c>
      <c r="E432" s="55" t="s">
        <v>1215</v>
      </c>
      <c r="F432" s="56">
        <v>45673</v>
      </c>
      <c r="G432" s="55"/>
      <c r="H432" s="55"/>
      <c r="I432" s="55" t="s">
        <v>28</v>
      </c>
      <c r="J432" s="55"/>
      <c r="K432" s="55"/>
      <c r="L432" s="57"/>
    </row>
    <row r="433" spans="1:12" x14ac:dyDescent="0.25">
      <c r="A433" s="58" t="s">
        <v>1216</v>
      </c>
      <c r="B433" s="59" t="s">
        <v>433</v>
      </c>
      <c r="C433" s="59" t="s">
        <v>1217</v>
      </c>
      <c r="D433" s="59" t="s">
        <v>1218</v>
      </c>
      <c r="E433" s="59" t="s">
        <v>1219</v>
      </c>
      <c r="F433" s="60">
        <v>45673</v>
      </c>
      <c r="G433" s="59"/>
      <c r="H433" s="59"/>
      <c r="I433" s="59" t="s">
        <v>388</v>
      </c>
      <c r="J433" s="59"/>
      <c r="K433" s="59"/>
      <c r="L433" s="61"/>
    </row>
    <row r="434" spans="1:12" x14ac:dyDescent="0.25">
      <c r="A434" s="54" t="s">
        <v>1220</v>
      </c>
      <c r="B434" s="55" t="s">
        <v>1015</v>
      </c>
      <c r="C434" s="55" t="s">
        <v>177</v>
      </c>
      <c r="D434" s="55"/>
      <c r="E434" s="55" t="s">
        <v>1221</v>
      </c>
      <c r="F434" s="56">
        <v>45674</v>
      </c>
      <c r="G434" s="55"/>
      <c r="H434" s="55"/>
      <c r="I434" s="55"/>
      <c r="J434" s="55"/>
      <c r="K434" s="55"/>
      <c r="L434" s="57"/>
    </row>
    <row r="435" spans="1:12" x14ac:dyDescent="0.25">
      <c r="A435" s="58" t="s">
        <v>1222</v>
      </c>
      <c r="B435" s="59" t="s">
        <v>135</v>
      </c>
      <c r="C435" s="59" t="s">
        <v>578</v>
      </c>
      <c r="D435" s="59" t="s">
        <v>284</v>
      </c>
      <c r="E435" s="59" t="s">
        <v>1223</v>
      </c>
      <c r="F435" s="60">
        <v>45677</v>
      </c>
      <c r="G435" s="59"/>
      <c r="H435" s="59"/>
      <c r="I435" s="59" t="s">
        <v>28</v>
      </c>
      <c r="J435" s="59"/>
      <c r="K435" s="59"/>
      <c r="L435" s="61"/>
    </row>
    <row r="436" spans="1:12" x14ac:dyDescent="0.25">
      <c r="A436" s="54" t="s">
        <v>1224</v>
      </c>
      <c r="B436" s="55" t="s">
        <v>13</v>
      </c>
      <c r="C436" s="55" t="s">
        <v>611</v>
      </c>
      <c r="D436" s="55" t="s">
        <v>111</v>
      </c>
      <c r="E436" s="55" t="s">
        <v>1225</v>
      </c>
      <c r="F436" s="56">
        <v>45679</v>
      </c>
      <c r="G436" s="55"/>
      <c r="H436" s="55"/>
      <c r="I436" s="55" t="s">
        <v>380</v>
      </c>
      <c r="J436" s="55"/>
      <c r="K436" s="55"/>
      <c r="L436" s="57"/>
    </row>
    <row r="437" spans="1:12" x14ac:dyDescent="0.25">
      <c r="A437" s="58" t="s">
        <v>1226</v>
      </c>
      <c r="B437" s="59" t="s">
        <v>1203</v>
      </c>
      <c r="C437" s="59" t="s">
        <v>578</v>
      </c>
      <c r="D437" s="59" t="s">
        <v>326</v>
      </c>
      <c r="E437" s="59" t="s">
        <v>1227</v>
      </c>
      <c r="F437" s="60">
        <v>45684</v>
      </c>
      <c r="G437" s="59"/>
      <c r="H437" s="59"/>
      <c r="I437" s="59"/>
      <c r="J437" s="59"/>
      <c r="K437" s="59"/>
      <c r="L437" s="61"/>
    </row>
    <row r="438" spans="1:12" x14ac:dyDescent="0.25">
      <c r="A438" s="54" t="s">
        <v>1228</v>
      </c>
      <c r="B438" s="55" t="s">
        <v>13</v>
      </c>
      <c r="C438" s="55" t="s">
        <v>1229</v>
      </c>
      <c r="D438" s="55" t="s">
        <v>1230</v>
      </c>
      <c r="E438" s="55" t="s">
        <v>1231</v>
      </c>
      <c r="F438" s="56">
        <v>45685</v>
      </c>
      <c r="G438" s="55"/>
      <c r="H438" s="55"/>
      <c r="I438" s="55" t="s">
        <v>385</v>
      </c>
      <c r="J438" s="55"/>
      <c r="K438" s="55"/>
      <c r="L438" s="57"/>
    </row>
    <row r="439" spans="1:12" x14ac:dyDescent="0.25">
      <c r="A439" s="58" t="s">
        <v>1232</v>
      </c>
      <c r="B439" s="59" t="s">
        <v>13</v>
      </c>
      <c r="C439" s="59" t="s">
        <v>51</v>
      </c>
      <c r="D439" s="59" t="s">
        <v>61</v>
      </c>
      <c r="E439" s="59" t="s">
        <v>1233</v>
      </c>
      <c r="F439" s="60">
        <v>45686</v>
      </c>
      <c r="G439" s="60">
        <v>45685</v>
      </c>
      <c r="H439" s="59"/>
      <c r="I439" s="59" t="s">
        <v>385</v>
      </c>
      <c r="J439" s="59"/>
      <c r="K439" s="59"/>
      <c r="L439" s="61"/>
    </row>
    <row r="440" spans="1:12" x14ac:dyDescent="0.25">
      <c r="A440" s="54" t="s">
        <v>1234</v>
      </c>
      <c r="B440" s="55" t="s">
        <v>1235</v>
      </c>
      <c r="C440" s="55" t="s">
        <v>1217</v>
      </c>
      <c r="D440" s="55" t="s">
        <v>254</v>
      </c>
      <c r="E440" s="55" t="s">
        <v>1236</v>
      </c>
      <c r="F440" s="56">
        <v>45686</v>
      </c>
      <c r="G440" s="55"/>
      <c r="H440" s="55"/>
      <c r="I440" s="55" t="s">
        <v>385</v>
      </c>
      <c r="J440" s="55"/>
      <c r="K440" s="55"/>
      <c r="L440" s="57"/>
    </row>
    <row r="441" spans="1:12" x14ac:dyDescent="0.25">
      <c r="A441" s="58" t="s">
        <v>1237</v>
      </c>
      <c r="B441" s="59" t="s">
        <v>13</v>
      </c>
      <c r="C441" s="59" t="s">
        <v>122</v>
      </c>
      <c r="D441" s="59" t="s">
        <v>1238</v>
      </c>
      <c r="E441" s="59" t="s">
        <v>1239</v>
      </c>
      <c r="F441" s="60">
        <v>45686</v>
      </c>
      <c r="G441" s="59"/>
      <c r="H441" s="59"/>
      <c r="I441" s="59" t="s">
        <v>380</v>
      </c>
      <c r="J441" s="59"/>
      <c r="K441" s="59"/>
      <c r="L441" s="61"/>
    </row>
    <row r="442" spans="1:12" x14ac:dyDescent="0.25">
      <c r="A442" s="54" t="s">
        <v>1240</v>
      </c>
      <c r="B442" s="55" t="s">
        <v>773</v>
      </c>
      <c r="C442" s="55" t="s">
        <v>869</v>
      </c>
      <c r="D442" s="55" t="s">
        <v>774</v>
      </c>
      <c r="E442" s="55" t="s">
        <v>1241</v>
      </c>
      <c r="F442" s="56">
        <v>45687</v>
      </c>
      <c r="G442" s="55"/>
      <c r="H442" s="55"/>
      <c r="I442" s="55" t="s">
        <v>388</v>
      </c>
      <c r="J442" s="55"/>
      <c r="K442" s="55"/>
      <c r="L442" s="57"/>
    </row>
    <row r="443" spans="1:12" x14ac:dyDescent="0.25">
      <c r="A443" s="58" t="s">
        <v>1242</v>
      </c>
      <c r="B443" s="59" t="s">
        <v>13</v>
      </c>
      <c r="C443" s="59" t="s">
        <v>411</v>
      </c>
      <c r="D443" s="59" t="s">
        <v>817</v>
      </c>
      <c r="E443" s="59" t="s">
        <v>1243</v>
      </c>
      <c r="F443" s="60">
        <v>45687</v>
      </c>
      <c r="G443" s="59"/>
      <c r="H443" s="59"/>
      <c r="I443" s="59" t="s">
        <v>380</v>
      </c>
      <c r="J443" s="59"/>
      <c r="K443" s="59"/>
      <c r="L443" s="61"/>
    </row>
    <row r="444" spans="1:12" x14ac:dyDescent="0.25">
      <c r="A444" s="54" t="s">
        <v>1244</v>
      </c>
      <c r="B444" s="55" t="s">
        <v>1245</v>
      </c>
      <c r="C444" s="55" t="s">
        <v>1031</v>
      </c>
      <c r="D444" s="55" t="s">
        <v>1133</v>
      </c>
      <c r="E444" s="55" t="s">
        <v>1246</v>
      </c>
      <c r="F444" s="56">
        <v>45688</v>
      </c>
      <c r="G444" s="56">
        <v>45702</v>
      </c>
      <c r="H444" s="55"/>
      <c r="I444" s="55"/>
      <c r="J444" s="55"/>
      <c r="K444" s="55"/>
      <c r="L444" s="57"/>
    </row>
    <row r="445" spans="1:12" x14ac:dyDescent="0.25">
      <c r="A445" s="58" t="s">
        <v>1247</v>
      </c>
      <c r="B445" s="59" t="s">
        <v>433</v>
      </c>
      <c r="C445" s="59" t="s">
        <v>869</v>
      </c>
      <c r="D445" s="59" t="s">
        <v>774</v>
      </c>
      <c r="E445" s="59" t="s">
        <v>1248</v>
      </c>
      <c r="F445" s="60">
        <v>45692</v>
      </c>
      <c r="G445" s="59"/>
      <c r="H445" s="59"/>
      <c r="I445" s="59" t="s">
        <v>28</v>
      </c>
      <c r="J445" s="59"/>
      <c r="K445" s="59"/>
      <c r="L445" s="61"/>
    </row>
    <row r="446" spans="1:12" x14ac:dyDescent="0.25">
      <c r="A446" s="54" t="s">
        <v>1249</v>
      </c>
      <c r="B446" s="55" t="s">
        <v>433</v>
      </c>
      <c r="C446" s="55" t="s">
        <v>869</v>
      </c>
      <c r="D446" s="55" t="s">
        <v>774</v>
      </c>
      <c r="E446" s="55" t="s">
        <v>1250</v>
      </c>
      <c r="F446" s="56">
        <v>45692</v>
      </c>
      <c r="G446" s="55"/>
      <c r="H446" s="55"/>
      <c r="I446" s="55" t="s">
        <v>28</v>
      </c>
      <c r="J446" s="55"/>
      <c r="K446" s="55"/>
      <c r="L446" s="57"/>
    </row>
    <row r="447" spans="1:12" x14ac:dyDescent="0.25">
      <c r="A447" s="58" t="s">
        <v>1251</v>
      </c>
      <c r="B447" s="59" t="s">
        <v>24</v>
      </c>
      <c r="C447" s="59" t="s">
        <v>265</v>
      </c>
      <c r="D447" s="63" t="s">
        <v>1252</v>
      </c>
      <c r="E447" s="59" t="s">
        <v>1253</v>
      </c>
      <c r="F447" s="60">
        <v>45701</v>
      </c>
      <c r="G447" s="59"/>
      <c r="H447" s="59"/>
      <c r="I447" s="59"/>
      <c r="J447" s="59"/>
      <c r="K447" s="59"/>
      <c r="L447" s="61"/>
    </row>
    <row r="448" spans="1:12" x14ac:dyDescent="0.25">
      <c r="A448" s="54" t="s">
        <v>1254</v>
      </c>
      <c r="B448" s="55" t="s">
        <v>13</v>
      </c>
      <c r="C448" s="55" t="s">
        <v>578</v>
      </c>
      <c r="D448" s="55" t="s">
        <v>326</v>
      </c>
      <c r="E448" s="55" t="s">
        <v>1255</v>
      </c>
      <c r="F448" s="56">
        <v>45698</v>
      </c>
      <c r="G448" s="55"/>
      <c r="H448" s="55"/>
      <c r="I448" s="55" t="s">
        <v>380</v>
      </c>
      <c r="J448" s="55"/>
      <c r="K448" s="55"/>
      <c r="L448" s="57"/>
    </row>
    <row r="449" spans="1:12" x14ac:dyDescent="0.25">
      <c r="A449" s="58" t="s">
        <v>1256</v>
      </c>
      <c r="B449" s="59" t="s">
        <v>773</v>
      </c>
      <c r="C449" s="59" t="s">
        <v>869</v>
      </c>
      <c r="D449" s="59" t="s">
        <v>254</v>
      </c>
      <c r="E449" s="59" t="s">
        <v>1257</v>
      </c>
      <c r="F449" s="59"/>
      <c r="G449" s="59"/>
      <c r="H449" s="59"/>
      <c r="I449" s="59"/>
      <c r="J449" s="59"/>
      <c r="K449" s="59"/>
      <c r="L449" s="61"/>
    </row>
    <row r="450" spans="1:12" x14ac:dyDescent="0.25">
      <c r="A450" s="54" t="s">
        <v>1258</v>
      </c>
      <c r="B450" s="55" t="s">
        <v>773</v>
      </c>
      <c r="C450" s="55" t="s">
        <v>869</v>
      </c>
      <c r="D450" s="55" t="s">
        <v>1259</v>
      </c>
      <c r="E450" s="55" t="s">
        <v>1260</v>
      </c>
      <c r="F450" s="56">
        <v>45707</v>
      </c>
      <c r="G450" s="55"/>
      <c r="H450" s="55"/>
      <c r="I450" s="55" t="s">
        <v>28</v>
      </c>
      <c r="J450" s="55"/>
      <c r="K450" s="55"/>
      <c r="L450" s="57"/>
    </row>
    <row r="451" spans="1:12" x14ac:dyDescent="0.25">
      <c r="A451" s="58" t="s">
        <v>1261</v>
      </c>
      <c r="B451" s="59" t="s">
        <v>825</v>
      </c>
      <c r="C451" s="59" t="s">
        <v>1262</v>
      </c>
      <c r="D451" s="66" t="s">
        <v>1263</v>
      </c>
      <c r="E451" s="59" t="s">
        <v>1264</v>
      </c>
      <c r="F451" s="60">
        <v>45709</v>
      </c>
      <c r="G451" s="59"/>
      <c r="H451" s="59"/>
      <c r="I451" s="59" t="s">
        <v>385</v>
      </c>
      <c r="J451" s="59"/>
      <c r="K451" s="59"/>
      <c r="L451" s="61"/>
    </row>
    <row r="452" spans="1:12" x14ac:dyDescent="0.25">
      <c r="A452" s="54" t="s">
        <v>1265</v>
      </c>
      <c r="B452" s="55" t="s">
        <v>825</v>
      </c>
      <c r="C452" s="55" t="s">
        <v>1262</v>
      </c>
      <c r="D452" s="55" t="s">
        <v>1266</v>
      </c>
      <c r="E452" s="55" t="s">
        <v>1267</v>
      </c>
      <c r="F452" s="56">
        <v>45709</v>
      </c>
      <c r="G452" s="55"/>
      <c r="H452" s="55"/>
      <c r="I452" s="55" t="s">
        <v>385</v>
      </c>
      <c r="J452" s="55"/>
      <c r="K452" s="55"/>
      <c r="L452" s="57"/>
    </row>
    <row r="453" spans="1:12" x14ac:dyDescent="0.25">
      <c r="A453" s="58" t="s">
        <v>1268</v>
      </c>
      <c r="B453" s="59" t="s">
        <v>825</v>
      </c>
      <c r="C453" s="63" t="s">
        <v>1262</v>
      </c>
      <c r="D453" s="59" t="s">
        <v>1266</v>
      </c>
      <c r="E453" s="59" t="s">
        <v>1269</v>
      </c>
      <c r="F453" s="60">
        <v>45709</v>
      </c>
      <c r="G453" s="59"/>
      <c r="H453" s="59"/>
      <c r="I453" s="59" t="s">
        <v>388</v>
      </c>
      <c r="J453" s="59"/>
      <c r="K453" s="59"/>
      <c r="L453" s="61"/>
    </row>
    <row r="454" spans="1:12" x14ac:dyDescent="0.25">
      <c r="A454" s="54" t="s">
        <v>1270</v>
      </c>
      <c r="B454" s="55" t="s">
        <v>825</v>
      </c>
      <c r="C454" s="67" t="s">
        <v>1262</v>
      </c>
      <c r="D454" s="55" t="s">
        <v>1271</v>
      </c>
      <c r="E454" s="55" t="s">
        <v>1272</v>
      </c>
      <c r="F454" s="56">
        <v>45709</v>
      </c>
      <c r="G454" s="55"/>
      <c r="H454" s="55"/>
      <c r="I454" s="55" t="s">
        <v>388</v>
      </c>
      <c r="J454" s="55"/>
      <c r="K454" s="55"/>
      <c r="L454" s="57"/>
    </row>
    <row r="455" spans="1:12" x14ac:dyDescent="0.25">
      <c r="A455" s="58" t="s">
        <v>1273</v>
      </c>
      <c r="B455" s="59" t="s">
        <v>433</v>
      </c>
      <c r="C455" s="59" t="s">
        <v>869</v>
      </c>
      <c r="D455" s="59" t="s">
        <v>254</v>
      </c>
      <c r="E455" s="59" t="s">
        <v>1274</v>
      </c>
      <c r="F455" s="60">
        <v>45709</v>
      </c>
      <c r="G455" s="59"/>
      <c r="H455" s="59"/>
      <c r="I455" s="59" t="s">
        <v>28</v>
      </c>
      <c r="J455" s="59"/>
      <c r="K455" s="59"/>
      <c r="L455" s="61"/>
    </row>
    <row r="456" spans="1:12" x14ac:dyDescent="0.25">
      <c r="A456" s="54" t="s">
        <v>1275</v>
      </c>
      <c r="B456" s="55" t="s">
        <v>433</v>
      </c>
      <c r="C456" s="55" t="s">
        <v>869</v>
      </c>
      <c r="D456" s="55" t="s">
        <v>254</v>
      </c>
      <c r="E456" s="55" t="s">
        <v>1276</v>
      </c>
      <c r="F456" s="56">
        <v>45709</v>
      </c>
      <c r="G456" s="55"/>
      <c r="H456" s="55"/>
      <c r="I456" s="55" t="s">
        <v>28</v>
      </c>
      <c r="J456" s="55"/>
      <c r="K456" s="55"/>
      <c r="L456" s="57"/>
    </row>
    <row r="457" spans="1:12" x14ac:dyDescent="0.25">
      <c r="A457" s="58" t="s">
        <v>1277</v>
      </c>
      <c r="B457" s="59" t="s">
        <v>433</v>
      </c>
      <c r="C457" s="59" t="s">
        <v>869</v>
      </c>
      <c r="D457" s="59" t="s">
        <v>254</v>
      </c>
      <c r="E457" s="59" t="s">
        <v>1278</v>
      </c>
      <c r="F457" s="60">
        <v>45709</v>
      </c>
      <c r="G457" s="59"/>
      <c r="H457" s="59"/>
      <c r="I457" s="59" t="s">
        <v>380</v>
      </c>
      <c r="J457" s="59"/>
      <c r="K457" s="59"/>
      <c r="L457" s="61"/>
    </row>
    <row r="458" spans="1:12" x14ac:dyDescent="0.25">
      <c r="A458" s="54" t="s">
        <v>1279</v>
      </c>
      <c r="B458" s="55" t="s">
        <v>433</v>
      </c>
      <c r="C458" s="55" t="s">
        <v>869</v>
      </c>
      <c r="D458" s="55" t="s">
        <v>254</v>
      </c>
      <c r="E458" s="55" t="s">
        <v>1280</v>
      </c>
      <c r="F458" s="56">
        <v>45709</v>
      </c>
      <c r="G458" s="55"/>
      <c r="H458" s="55"/>
      <c r="I458" s="55" t="s">
        <v>28</v>
      </c>
      <c r="J458" s="55"/>
      <c r="K458" s="55"/>
      <c r="L458" s="57"/>
    </row>
    <row r="459" spans="1:12" x14ac:dyDescent="0.25">
      <c r="A459" s="58" t="s">
        <v>1281</v>
      </c>
      <c r="B459" s="59" t="s">
        <v>220</v>
      </c>
      <c r="C459" s="59" t="s">
        <v>1056</v>
      </c>
      <c r="D459" s="59" t="s">
        <v>628</v>
      </c>
      <c r="E459" s="59" t="s">
        <v>1282</v>
      </c>
      <c r="F459" s="60">
        <v>45709</v>
      </c>
      <c r="G459" s="59"/>
      <c r="H459" s="59"/>
      <c r="I459" s="59" t="s">
        <v>388</v>
      </c>
      <c r="J459" s="59"/>
      <c r="K459" s="59"/>
      <c r="L459" s="61"/>
    </row>
    <row r="460" spans="1:12" x14ac:dyDescent="0.25">
      <c r="A460" s="54" t="s">
        <v>1283</v>
      </c>
      <c r="B460" s="55" t="s">
        <v>825</v>
      </c>
      <c r="C460" s="55" t="s">
        <v>1284</v>
      </c>
      <c r="D460" s="55" t="s">
        <v>1285</v>
      </c>
      <c r="E460" s="55" t="s">
        <v>1286</v>
      </c>
      <c r="F460" s="56">
        <v>45709</v>
      </c>
      <c r="G460" s="55"/>
      <c r="H460" s="55"/>
      <c r="I460" s="55"/>
      <c r="J460" s="55"/>
      <c r="K460" s="55"/>
      <c r="L460" s="57"/>
    </row>
    <row r="461" spans="1:12" x14ac:dyDescent="0.25">
      <c r="A461" s="58" t="s">
        <v>1287</v>
      </c>
      <c r="B461" s="59" t="s">
        <v>13</v>
      </c>
      <c r="C461" s="59" t="s">
        <v>997</v>
      </c>
      <c r="D461" s="59" t="s">
        <v>150</v>
      </c>
      <c r="E461" s="59" t="s">
        <v>1288</v>
      </c>
      <c r="F461" s="60">
        <v>45712</v>
      </c>
      <c r="G461" s="59"/>
      <c r="H461" s="59"/>
      <c r="I461" s="59" t="s">
        <v>28</v>
      </c>
      <c r="J461" s="59"/>
      <c r="K461" s="59"/>
      <c r="L461" s="61"/>
    </row>
    <row r="462" spans="1:12" x14ac:dyDescent="0.25">
      <c r="A462" s="54" t="s">
        <v>1289</v>
      </c>
      <c r="B462" s="55" t="s">
        <v>13</v>
      </c>
      <c r="C462" s="55" t="s">
        <v>920</v>
      </c>
      <c r="D462" s="55" t="s">
        <v>1290</v>
      </c>
      <c r="E462" s="55" t="s">
        <v>1291</v>
      </c>
      <c r="F462" s="56">
        <v>45712</v>
      </c>
      <c r="G462" s="55"/>
      <c r="H462" s="55"/>
      <c r="I462" s="55" t="s">
        <v>385</v>
      </c>
      <c r="J462" s="55"/>
      <c r="K462" s="55"/>
      <c r="L462" s="57"/>
    </row>
    <row r="463" spans="1:12" x14ac:dyDescent="0.25">
      <c r="A463" s="58" t="s">
        <v>1292</v>
      </c>
      <c r="B463" s="59" t="s">
        <v>825</v>
      </c>
      <c r="C463" s="59" t="s">
        <v>411</v>
      </c>
      <c r="D463" s="59" t="s">
        <v>412</v>
      </c>
      <c r="E463" s="59" t="s">
        <v>1293</v>
      </c>
      <c r="F463" s="60">
        <v>45714</v>
      </c>
      <c r="G463" s="59"/>
      <c r="H463" s="59"/>
      <c r="I463" s="59"/>
      <c r="J463" s="59"/>
      <c r="K463" s="59"/>
      <c r="L463" s="61"/>
    </row>
    <row r="464" spans="1:12" x14ac:dyDescent="0.25">
      <c r="A464" s="54" t="s">
        <v>1294</v>
      </c>
      <c r="B464" s="55" t="s">
        <v>773</v>
      </c>
      <c r="C464" s="55" t="s">
        <v>1295</v>
      </c>
      <c r="D464" s="55" t="s">
        <v>1296</v>
      </c>
      <c r="E464" s="55" t="s">
        <v>1297</v>
      </c>
      <c r="F464" s="56">
        <v>45714</v>
      </c>
      <c r="G464" s="55"/>
      <c r="H464" s="55"/>
      <c r="I464" s="55"/>
      <c r="J464" s="55"/>
      <c r="K464" s="55"/>
      <c r="L464" s="57"/>
    </row>
    <row r="465" spans="1:12" x14ac:dyDescent="0.25">
      <c r="A465" s="58" t="s">
        <v>1298</v>
      </c>
      <c r="B465" s="59" t="s">
        <v>220</v>
      </c>
      <c r="C465" s="59" t="s">
        <v>177</v>
      </c>
      <c r="D465" s="59" t="s">
        <v>1299</v>
      </c>
      <c r="E465" s="59" t="s">
        <v>1300</v>
      </c>
      <c r="F465" s="60">
        <v>45714</v>
      </c>
      <c r="G465" s="59"/>
      <c r="H465" s="59"/>
      <c r="I465" s="59"/>
      <c r="J465" s="59"/>
      <c r="K465" s="59"/>
      <c r="L465" s="61"/>
    </row>
    <row r="466" spans="1:12" x14ac:dyDescent="0.25">
      <c r="A466" s="54" t="s">
        <v>1301</v>
      </c>
      <c r="B466" s="55" t="s">
        <v>825</v>
      </c>
      <c r="C466" s="55" t="s">
        <v>578</v>
      </c>
      <c r="D466" s="55" t="s">
        <v>960</v>
      </c>
      <c r="E466" s="55" t="s">
        <v>1302</v>
      </c>
      <c r="F466" s="56">
        <v>45714</v>
      </c>
      <c r="G466" s="55"/>
      <c r="H466" s="55"/>
      <c r="I466" s="55"/>
      <c r="J466" s="55"/>
      <c r="K466" s="55"/>
      <c r="L466" s="57"/>
    </row>
    <row r="467" spans="1:12" x14ac:dyDescent="0.25">
      <c r="A467" s="58" t="s">
        <v>1303</v>
      </c>
      <c r="B467" s="59" t="s">
        <v>13</v>
      </c>
      <c r="C467" s="59" t="s">
        <v>1136</v>
      </c>
      <c r="D467" s="59" t="s">
        <v>1198</v>
      </c>
      <c r="E467" s="59" t="s">
        <v>1304</v>
      </c>
      <c r="F467" s="60">
        <v>45714</v>
      </c>
      <c r="G467" s="59"/>
      <c r="H467" s="59"/>
      <c r="I467" s="59" t="s">
        <v>385</v>
      </c>
      <c r="J467" s="59"/>
      <c r="K467" s="59"/>
      <c r="L467" s="61"/>
    </row>
    <row r="468" spans="1:12" x14ac:dyDescent="0.25">
      <c r="A468" s="54" t="s">
        <v>1305</v>
      </c>
      <c r="B468" s="55" t="s">
        <v>1245</v>
      </c>
      <c r="C468" s="55" t="s">
        <v>1136</v>
      </c>
      <c r="D468" s="55" t="s">
        <v>244</v>
      </c>
      <c r="E468" s="55" t="s">
        <v>316</v>
      </c>
      <c r="F468" s="56">
        <v>45716</v>
      </c>
      <c r="G468" s="55"/>
      <c r="H468" s="55"/>
      <c r="I468" s="55"/>
      <c r="J468" s="55"/>
      <c r="K468" s="55"/>
      <c r="L468" s="57"/>
    </row>
    <row r="469" spans="1:12" x14ac:dyDescent="0.25">
      <c r="A469" s="58" t="s">
        <v>1306</v>
      </c>
      <c r="B469" s="59" t="s">
        <v>825</v>
      </c>
      <c r="C469" s="59" t="s">
        <v>578</v>
      </c>
      <c r="D469" s="59" t="s">
        <v>960</v>
      </c>
      <c r="E469" s="59" t="s">
        <v>1307</v>
      </c>
      <c r="F469" s="60">
        <v>45716</v>
      </c>
      <c r="G469" s="59"/>
      <c r="H469" s="59"/>
      <c r="I469" s="59"/>
      <c r="J469" s="59"/>
      <c r="K469" s="59"/>
      <c r="L469" s="61"/>
    </row>
    <row r="470" spans="1:12" x14ac:dyDescent="0.25">
      <c r="A470" s="54" t="s">
        <v>1308</v>
      </c>
      <c r="B470" s="55" t="s">
        <v>433</v>
      </c>
      <c r="C470" s="55" t="s">
        <v>869</v>
      </c>
      <c r="D470" s="55" t="s">
        <v>254</v>
      </c>
      <c r="E470" s="55" t="s">
        <v>1309</v>
      </c>
      <c r="F470" s="56">
        <v>45719</v>
      </c>
      <c r="G470" s="55"/>
      <c r="H470" s="55"/>
      <c r="I470" s="55" t="s">
        <v>28</v>
      </c>
      <c r="J470" s="55"/>
      <c r="K470" s="55"/>
      <c r="L470" s="57"/>
    </row>
    <row r="471" spans="1:12" x14ac:dyDescent="0.25">
      <c r="A471" s="58" t="s">
        <v>1310</v>
      </c>
      <c r="B471" s="59" t="s">
        <v>24</v>
      </c>
      <c r="C471" s="59" t="s">
        <v>43</v>
      </c>
      <c r="D471" s="59" t="s">
        <v>459</v>
      </c>
      <c r="E471" s="59" t="s">
        <v>1311</v>
      </c>
      <c r="F471" s="60">
        <v>45720</v>
      </c>
      <c r="G471" s="59"/>
      <c r="H471" s="59"/>
      <c r="I471" s="59"/>
      <c r="J471" s="59"/>
      <c r="K471" s="59"/>
      <c r="L471" s="61"/>
    </row>
    <row r="472" spans="1:12" x14ac:dyDescent="0.25">
      <c r="A472" s="54" t="s">
        <v>1312</v>
      </c>
      <c r="B472" s="55" t="s">
        <v>135</v>
      </c>
      <c r="C472" s="55" t="s">
        <v>247</v>
      </c>
      <c r="D472" s="55" t="s">
        <v>1313</v>
      </c>
      <c r="E472" s="55" t="s">
        <v>1314</v>
      </c>
      <c r="F472" s="56">
        <v>45719</v>
      </c>
      <c r="G472" s="55"/>
      <c r="H472" s="55"/>
      <c r="I472" s="55" t="s">
        <v>385</v>
      </c>
      <c r="J472" s="55"/>
      <c r="K472" s="55"/>
      <c r="L472" s="57"/>
    </row>
    <row r="473" spans="1:12" x14ac:dyDescent="0.25">
      <c r="A473" s="58" t="s">
        <v>1315</v>
      </c>
      <c r="B473" s="59" t="s">
        <v>1316</v>
      </c>
      <c r="C473" s="59" t="s">
        <v>51</v>
      </c>
      <c r="D473" s="59" t="s">
        <v>61</v>
      </c>
      <c r="E473" s="59" t="s">
        <v>1317</v>
      </c>
      <c r="F473" s="60">
        <v>45721</v>
      </c>
      <c r="G473" s="59"/>
      <c r="H473" s="59"/>
      <c r="I473" s="59"/>
      <c r="J473" s="59"/>
      <c r="K473" s="59"/>
      <c r="L473" s="61"/>
    </row>
    <row r="474" spans="1:12" x14ac:dyDescent="0.25">
      <c r="A474" s="54" t="s">
        <v>1318</v>
      </c>
      <c r="B474" s="55" t="s">
        <v>474</v>
      </c>
      <c r="C474" s="55" t="s">
        <v>1284</v>
      </c>
      <c r="D474" s="55" t="s">
        <v>1319</v>
      </c>
      <c r="E474" s="55" t="s">
        <v>1320</v>
      </c>
      <c r="F474" s="56">
        <v>45722</v>
      </c>
      <c r="G474" s="55"/>
      <c r="H474" s="55"/>
      <c r="I474" s="55"/>
      <c r="J474" s="55"/>
      <c r="K474" s="55"/>
      <c r="L474" s="57"/>
    </row>
    <row r="475" spans="1:12" x14ac:dyDescent="0.25">
      <c r="A475" s="58" t="s">
        <v>1321</v>
      </c>
      <c r="B475" s="59" t="s">
        <v>773</v>
      </c>
      <c r="C475" s="59" t="s">
        <v>869</v>
      </c>
      <c r="D475" s="59" t="s">
        <v>1322</v>
      </c>
      <c r="E475" s="59" t="s">
        <v>1323</v>
      </c>
      <c r="F475" s="60">
        <v>45726</v>
      </c>
      <c r="G475" s="59"/>
      <c r="H475" s="59"/>
      <c r="I475" s="59" t="s">
        <v>28</v>
      </c>
      <c r="J475" s="59"/>
      <c r="K475" s="59"/>
      <c r="L475" s="61"/>
    </row>
    <row r="476" spans="1:12" x14ac:dyDescent="0.25">
      <c r="A476" s="54" t="s">
        <v>1324</v>
      </c>
      <c r="B476" s="55" t="s">
        <v>1325</v>
      </c>
      <c r="C476" s="55" t="s">
        <v>1136</v>
      </c>
      <c r="D476" s="55" t="s">
        <v>244</v>
      </c>
      <c r="E476" s="55" t="s">
        <v>1326</v>
      </c>
      <c r="F476" s="56">
        <v>45727</v>
      </c>
      <c r="G476" s="55"/>
      <c r="H476" s="55"/>
      <c r="I476" s="55" t="s">
        <v>385</v>
      </c>
      <c r="J476" s="55"/>
      <c r="K476" s="55"/>
      <c r="L476" s="57"/>
    </row>
    <row r="477" spans="1:12" x14ac:dyDescent="0.25">
      <c r="A477" s="58" t="s">
        <v>1327</v>
      </c>
      <c r="B477" s="59" t="s">
        <v>220</v>
      </c>
      <c r="C477" s="59" t="s">
        <v>1328</v>
      </c>
      <c r="D477" s="59" t="s">
        <v>1329</v>
      </c>
      <c r="E477" s="59" t="s">
        <v>1330</v>
      </c>
      <c r="F477" s="60">
        <v>45727</v>
      </c>
      <c r="G477" s="59"/>
      <c r="H477" s="59"/>
      <c r="I477" s="59"/>
      <c r="J477" s="59"/>
      <c r="K477" s="59"/>
      <c r="L477" s="61"/>
    </row>
    <row r="478" spans="1:12" x14ac:dyDescent="0.25">
      <c r="A478" s="54" t="s">
        <v>1331</v>
      </c>
      <c r="B478" s="55" t="s">
        <v>220</v>
      </c>
      <c r="C478" s="55" t="s">
        <v>1332</v>
      </c>
      <c r="D478" s="55" t="s">
        <v>1333</v>
      </c>
      <c r="E478" s="55" t="s">
        <v>1334</v>
      </c>
      <c r="F478" s="56">
        <v>45730</v>
      </c>
      <c r="G478" s="55"/>
      <c r="H478" s="55"/>
      <c r="I478" s="55" t="s">
        <v>28</v>
      </c>
      <c r="J478" s="55"/>
      <c r="K478" s="55"/>
      <c r="L478" s="57"/>
    </row>
    <row r="479" spans="1:12" x14ac:dyDescent="0.25">
      <c r="A479" s="58" t="s">
        <v>1335</v>
      </c>
      <c r="B479" s="59" t="s">
        <v>773</v>
      </c>
      <c r="C479" s="59" t="s">
        <v>869</v>
      </c>
      <c r="D479" s="59" t="s">
        <v>1259</v>
      </c>
      <c r="E479" s="59" t="s">
        <v>1336</v>
      </c>
      <c r="F479" s="60">
        <v>45730</v>
      </c>
      <c r="G479" s="59"/>
      <c r="H479" s="59"/>
      <c r="I479" s="59" t="s">
        <v>28</v>
      </c>
      <c r="J479" s="59"/>
      <c r="K479" s="59"/>
      <c r="L479" s="61"/>
    </row>
    <row r="480" spans="1:12" x14ac:dyDescent="0.25">
      <c r="A480" s="54" t="s">
        <v>1337</v>
      </c>
      <c r="B480" s="55" t="s">
        <v>220</v>
      </c>
      <c r="C480" s="55" t="s">
        <v>1332</v>
      </c>
      <c r="D480" s="55"/>
      <c r="E480" s="55" t="s">
        <v>1338</v>
      </c>
      <c r="F480" s="56">
        <v>45733</v>
      </c>
      <c r="G480" s="55"/>
      <c r="H480" s="55"/>
      <c r="I480" s="55" t="s">
        <v>28</v>
      </c>
      <c r="J480" s="55"/>
      <c r="K480" s="55"/>
      <c r="L480" s="57"/>
    </row>
    <row r="481" spans="1:12" x14ac:dyDescent="0.25">
      <c r="A481" s="58" t="s">
        <v>1339</v>
      </c>
      <c r="B481" s="59" t="s">
        <v>1325</v>
      </c>
      <c r="C481" s="59" t="s">
        <v>51</v>
      </c>
      <c r="D481" s="59" t="s">
        <v>61</v>
      </c>
      <c r="E481" s="59" t="s">
        <v>1340</v>
      </c>
      <c r="F481" s="60">
        <v>45743</v>
      </c>
      <c r="G481" s="59"/>
      <c r="H481" s="59"/>
      <c r="I481" s="59" t="s">
        <v>385</v>
      </c>
      <c r="J481" s="59"/>
      <c r="K481" s="59"/>
      <c r="L481" s="61"/>
    </row>
    <row r="482" spans="1:12" x14ac:dyDescent="0.25">
      <c r="A482" s="54" t="s">
        <v>1341</v>
      </c>
      <c r="B482" s="55" t="s">
        <v>1342</v>
      </c>
      <c r="C482" s="55" t="s">
        <v>51</v>
      </c>
      <c r="D482" s="55" t="s">
        <v>61</v>
      </c>
      <c r="E482" s="55" t="s">
        <v>1343</v>
      </c>
      <c r="F482" s="56">
        <v>45743</v>
      </c>
      <c r="G482" s="55"/>
      <c r="H482" s="55"/>
      <c r="I482" s="55"/>
      <c r="J482" s="55"/>
      <c r="K482" s="55"/>
      <c r="L482" s="57"/>
    </row>
    <row r="483" spans="1:12" x14ac:dyDescent="0.25">
      <c r="A483" s="58" t="s">
        <v>1344</v>
      </c>
      <c r="B483" s="59" t="s">
        <v>135</v>
      </c>
      <c r="C483" s="59" t="s">
        <v>177</v>
      </c>
      <c r="D483" s="59"/>
      <c r="E483" s="59" t="s">
        <v>1345</v>
      </c>
      <c r="F483" s="60">
        <v>45740</v>
      </c>
      <c r="G483" s="59"/>
      <c r="H483" s="59"/>
      <c r="I483" s="59" t="s">
        <v>380</v>
      </c>
      <c r="J483" s="59"/>
      <c r="K483" s="59"/>
      <c r="L483" s="61"/>
    </row>
    <row r="484" spans="1:12" x14ac:dyDescent="0.25">
      <c r="A484" s="54" t="s">
        <v>1346</v>
      </c>
      <c r="B484" s="55" t="s">
        <v>1325</v>
      </c>
      <c r="C484" s="55"/>
      <c r="D484" s="55"/>
      <c r="E484" s="55" t="s">
        <v>1347</v>
      </c>
      <c r="F484" s="56">
        <v>45747</v>
      </c>
      <c r="G484" s="55"/>
      <c r="H484" s="55"/>
      <c r="I484" s="55"/>
      <c r="J484" s="55"/>
      <c r="K484" s="55"/>
      <c r="L484" s="57"/>
    </row>
    <row r="485" spans="1:12" x14ac:dyDescent="0.25">
      <c r="A485" s="58" t="s">
        <v>1348</v>
      </c>
      <c r="B485" s="59" t="s">
        <v>433</v>
      </c>
      <c r="C485" s="59" t="s">
        <v>253</v>
      </c>
      <c r="D485" s="59" t="s">
        <v>254</v>
      </c>
      <c r="E485" s="59" t="s">
        <v>1349</v>
      </c>
      <c r="F485" s="60">
        <v>45750</v>
      </c>
      <c r="G485" s="59"/>
      <c r="H485" s="59"/>
      <c r="I485" s="59" t="s">
        <v>380</v>
      </c>
      <c r="J485" s="59"/>
      <c r="K485" s="59"/>
      <c r="L485" s="61"/>
    </row>
    <row r="486" spans="1:12" x14ac:dyDescent="0.25">
      <c r="A486" s="54" t="s">
        <v>1350</v>
      </c>
      <c r="B486" s="55" t="s">
        <v>773</v>
      </c>
      <c r="C486" s="55" t="s">
        <v>1351</v>
      </c>
      <c r="D486" s="55" t="s">
        <v>1352</v>
      </c>
      <c r="E486" s="55" t="s">
        <v>1353</v>
      </c>
      <c r="F486" s="56">
        <v>45750</v>
      </c>
      <c r="G486" s="55"/>
      <c r="H486" s="55"/>
      <c r="I486" s="55"/>
      <c r="J486" s="55"/>
      <c r="K486" s="55"/>
      <c r="L486" s="57"/>
    </row>
    <row r="487" spans="1:12" x14ac:dyDescent="0.25">
      <c r="A487" s="58" t="s">
        <v>1354</v>
      </c>
      <c r="B487" s="59" t="s">
        <v>433</v>
      </c>
      <c r="C487" s="59" t="s">
        <v>869</v>
      </c>
      <c r="D487" s="59" t="s">
        <v>254</v>
      </c>
      <c r="E487" s="59" t="s">
        <v>1355</v>
      </c>
      <c r="F487" s="60">
        <v>45750</v>
      </c>
      <c r="G487" s="59"/>
      <c r="H487" s="59"/>
      <c r="I487" s="59" t="s">
        <v>28</v>
      </c>
      <c r="J487" s="59"/>
      <c r="K487" s="59"/>
      <c r="L487" s="61"/>
    </row>
    <row r="488" spans="1:12" x14ac:dyDescent="0.25">
      <c r="A488" s="54" t="s">
        <v>1356</v>
      </c>
      <c r="B488" s="55" t="s">
        <v>433</v>
      </c>
      <c r="C488" s="55" t="s">
        <v>869</v>
      </c>
      <c r="D488" s="55" t="s">
        <v>254</v>
      </c>
      <c r="E488" s="55" t="s">
        <v>1357</v>
      </c>
      <c r="F488" s="56">
        <v>45754</v>
      </c>
      <c r="G488" s="55"/>
      <c r="H488" s="55"/>
      <c r="I488" s="55" t="s">
        <v>380</v>
      </c>
      <c r="J488" s="55"/>
      <c r="K488" s="55"/>
      <c r="L488" s="57"/>
    </row>
    <row r="489" spans="1:12" x14ac:dyDescent="0.25">
      <c r="A489" s="58" t="s">
        <v>1358</v>
      </c>
      <c r="B489" s="59" t="s">
        <v>1342</v>
      </c>
      <c r="C489" s="59" t="s">
        <v>51</v>
      </c>
      <c r="D489" s="59" t="s">
        <v>61</v>
      </c>
      <c r="E489" s="59" t="s">
        <v>1359</v>
      </c>
      <c r="F489" s="60">
        <v>45754</v>
      </c>
      <c r="G489" s="59"/>
      <c r="H489" s="59"/>
      <c r="I489" s="59"/>
      <c r="J489" s="59"/>
      <c r="K489" s="59"/>
      <c r="L489" s="61"/>
    </row>
    <row r="490" spans="1:12" x14ac:dyDescent="0.25">
      <c r="A490" s="54" t="s">
        <v>1360</v>
      </c>
      <c r="B490" s="55" t="s">
        <v>474</v>
      </c>
      <c r="C490" s="55" t="s">
        <v>1016</v>
      </c>
      <c r="D490" s="55" t="s">
        <v>1017</v>
      </c>
      <c r="E490" s="55" t="s">
        <v>1361</v>
      </c>
      <c r="F490" s="56">
        <v>45755</v>
      </c>
      <c r="G490" s="55"/>
      <c r="H490" s="55"/>
      <c r="I490" s="55"/>
      <c r="J490" s="55"/>
      <c r="K490" s="55"/>
      <c r="L490" s="57"/>
    </row>
    <row r="491" spans="1:12" x14ac:dyDescent="0.25">
      <c r="A491" s="58" t="s">
        <v>1362</v>
      </c>
      <c r="B491" s="59" t="s">
        <v>773</v>
      </c>
      <c r="C491" s="59" t="s">
        <v>1351</v>
      </c>
      <c r="D491" s="59" t="s">
        <v>1363</v>
      </c>
      <c r="E491" s="59" t="s">
        <v>1364</v>
      </c>
      <c r="F491" s="60">
        <v>45756</v>
      </c>
      <c r="G491" s="59"/>
      <c r="H491" s="59"/>
      <c r="I491" s="59" t="s">
        <v>385</v>
      </c>
      <c r="J491" s="59"/>
      <c r="K491" s="59"/>
      <c r="L491" s="61"/>
    </row>
    <row r="492" spans="1:12" x14ac:dyDescent="0.25">
      <c r="A492" s="54" t="s">
        <v>1365</v>
      </c>
      <c r="B492" s="55" t="s">
        <v>773</v>
      </c>
      <c r="C492" s="55" t="s">
        <v>869</v>
      </c>
      <c r="D492" s="55" t="s">
        <v>254</v>
      </c>
      <c r="E492" s="55" t="s">
        <v>1366</v>
      </c>
      <c r="F492" s="56">
        <v>45757</v>
      </c>
      <c r="G492" s="55"/>
      <c r="H492" s="55"/>
      <c r="I492" s="55" t="s">
        <v>388</v>
      </c>
      <c r="J492" s="55"/>
      <c r="K492" s="55"/>
      <c r="L492" s="57"/>
    </row>
    <row r="493" spans="1:12" x14ac:dyDescent="0.25">
      <c r="A493" s="58" t="s">
        <v>1367</v>
      </c>
      <c r="B493" s="59" t="s">
        <v>773</v>
      </c>
      <c r="C493" s="59" t="s">
        <v>869</v>
      </c>
      <c r="D493" s="59" t="s">
        <v>254</v>
      </c>
      <c r="E493" s="59" t="s">
        <v>1368</v>
      </c>
      <c r="F493" s="60">
        <v>45757</v>
      </c>
      <c r="G493" s="59"/>
      <c r="H493" s="59"/>
      <c r="I493" s="59" t="s">
        <v>385</v>
      </c>
      <c r="J493" s="59"/>
      <c r="K493" s="59"/>
      <c r="L493" s="61"/>
    </row>
    <row r="494" spans="1:12" x14ac:dyDescent="0.25">
      <c r="A494" s="54" t="s">
        <v>1369</v>
      </c>
      <c r="B494" s="55" t="s">
        <v>773</v>
      </c>
      <c r="C494" s="55" t="s">
        <v>869</v>
      </c>
      <c r="D494" s="55" t="s">
        <v>254</v>
      </c>
      <c r="E494" s="55" t="s">
        <v>1370</v>
      </c>
      <c r="F494" s="56">
        <v>45757</v>
      </c>
      <c r="G494" s="55"/>
      <c r="H494" s="55"/>
      <c r="I494" s="55" t="s">
        <v>388</v>
      </c>
      <c r="J494" s="55"/>
      <c r="K494" s="55"/>
      <c r="L494" s="57"/>
    </row>
    <row r="495" spans="1:12" x14ac:dyDescent="0.25">
      <c r="A495" s="58" t="s">
        <v>1371</v>
      </c>
      <c r="B495" s="59" t="s">
        <v>773</v>
      </c>
      <c r="C495" s="59" t="s">
        <v>869</v>
      </c>
      <c r="D495" s="59" t="s">
        <v>254</v>
      </c>
      <c r="E495" s="59" t="s">
        <v>1372</v>
      </c>
      <c r="F495" s="60">
        <v>45757</v>
      </c>
      <c r="G495" s="59"/>
      <c r="H495" s="59"/>
      <c r="I495" s="59" t="s">
        <v>388</v>
      </c>
      <c r="J495" s="59"/>
      <c r="K495" s="59"/>
      <c r="L495" s="61"/>
    </row>
    <row r="496" spans="1:12" x14ac:dyDescent="0.25">
      <c r="A496" s="54" t="s">
        <v>1373</v>
      </c>
      <c r="B496" s="55" t="s">
        <v>773</v>
      </c>
      <c r="C496" s="55" t="s">
        <v>869</v>
      </c>
      <c r="D496" s="55" t="s">
        <v>254</v>
      </c>
      <c r="E496" s="55" t="s">
        <v>1374</v>
      </c>
      <c r="F496" s="56">
        <v>45757</v>
      </c>
      <c r="G496" s="55"/>
      <c r="H496" s="55"/>
      <c r="I496" s="55" t="s">
        <v>385</v>
      </c>
      <c r="J496" s="55"/>
      <c r="K496" s="55"/>
      <c r="L496" s="57"/>
    </row>
    <row r="497" spans="1:12" x14ac:dyDescent="0.25">
      <c r="A497" s="58" t="s">
        <v>1375</v>
      </c>
      <c r="B497" s="59" t="s">
        <v>167</v>
      </c>
      <c r="C497" s="59" t="s">
        <v>869</v>
      </c>
      <c r="D497" s="59" t="s">
        <v>254</v>
      </c>
      <c r="E497" s="59" t="s">
        <v>1376</v>
      </c>
      <c r="F497" s="60">
        <v>45757</v>
      </c>
      <c r="G497" s="59"/>
      <c r="H497" s="59"/>
      <c r="I497" s="59" t="s">
        <v>385</v>
      </c>
      <c r="J497" s="59"/>
      <c r="K497" s="59"/>
      <c r="L497" s="61"/>
    </row>
    <row r="498" spans="1:12" x14ac:dyDescent="0.25">
      <c r="A498" s="54" t="s">
        <v>1377</v>
      </c>
      <c r="B498" s="55" t="s">
        <v>24</v>
      </c>
      <c r="C498" s="55" t="s">
        <v>1378</v>
      </c>
      <c r="D498" s="55" t="s">
        <v>1379</v>
      </c>
      <c r="E498" s="55" t="s">
        <v>1380</v>
      </c>
      <c r="F498" s="56">
        <v>45758</v>
      </c>
      <c r="G498" s="55"/>
      <c r="H498" s="55"/>
      <c r="I498" s="55"/>
      <c r="J498" s="55"/>
      <c r="K498" s="55"/>
      <c r="L498" s="57"/>
    </row>
    <row r="499" spans="1:12" x14ac:dyDescent="0.25">
      <c r="A499" s="58" t="s">
        <v>1381</v>
      </c>
      <c r="B499" s="59" t="s">
        <v>24</v>
      </c>
      <c r="C499" s="59" t="s">
        <v>1378</v>
      </c>
      <c r="D499" s="59" t="s">
        <v>1382</v>
      </c>
      <c r="E499" s="59" t="s">
        <v>851</v>
      </c>
      <c r="F499" s="60">
        <v>45758</v>
      </c>
      <c r="G499" s="59"/>
      <c r="H499" s="59"/>
      <c r="I499" s="59"/>
      <c r="J499" s="59"/>
      <c r="K499" s="59"/>
      <c r="L499" s="61"/>
    </row>
    <row r="500" spans="1:12" x14ac:dyDescent="0.25">
      <c r="A500" s="54" t="s">
        <v>1383</v>
      </c>
      <c r="B500" s="55" t="s">
        <v>24</v>
      </c>
      <c r="C500" s="55" t="s">
        <v>1136</v>
      </c>
      <c r="D500" s="55" t="s">
        <v>244</v>
      </c>
      <c r="E500" s="55" t="s">
        <v>1384</v>
      </c>
      <c r="F500" s="56">
        <v>45762</v>
      </c>
      <c r="G500" s="55"/>
      <c r="H500" s="55"/>
      <c r="I500" s="55"/>
      <c r="J500" s="55"/>
      <c r="K500" s="55"/>
      <c r="L500" s="57"/>
    </row>
    <row r="501" spans="1:12" x14ac:dyDescent="0.25">
      <c r="A501" s="58" t="s">
        <v>1385</v>
      </c>
      <c r="B501" s="59" t="s">
        <v>24</v>
      </c>
      <c r="C501" s="59" t="s">
        <v>1378</v>
      </c>
      <c r="D501" s="59" t="s">
        <v>1382</v>
      </c>
      <c r="E501" s="59" t="s">
        <v>1386</v>
      </c>
      <c r="F501" s="60">
        <v>45763</v>
      </c>
      <c r="G501" s="59"/>
      <c r="H501" s="59"/>
      <c r="I501" s="59"/>
      <c r="J501" s="59"/>
      <c r="K501" s="59"/>
      <c r="L501" s="61"/>
    </row>
    <row r="502" spans="1:12" x14ac:dyDescent="0.25">
      <c r="A502" s="54" t="s">
        <v>1387</v>
      </c>
      <c r="B502" s="55" t="s">
        <v>24</v>
      </c>
      <c r="C502" s="55" t="s">
        <v>1378</v>
      </c>
      <c r="D502" s="55" t="s">
        <v>1388</v>
      </c>
      <c r="E502" s="55" t="s">
        <v>1389</v>
      </c>
      <c r="F502" s="56">
        <v>45763</v>
      </c>
      <c r="G502" s="56">
        <v>45784</v>
      </c>
      <c r="H502" s="55"/>
      <c r="I502" s="55"/>
      <c r="J502" s="55"/>
      <c r="K502" s="55"/>
      <c r="L502" s="57"/>
    </row>
    <row r="503" spans="1:12" x14ac:dyDescent="0.25">
      <c r="A503" s="58" t="s">
        <v>1390</v>
      </c>
      <c r="B503" s="59" t="s">
        <v>13</v>
      </c>
      <c r="C503" s="59" t="s">
        <v>411</v>
      </c>
      <c r="D503" s="59" t="s">
        <v>412</v>
      </c>
      <c r="E503" s="59" t="s">
        <v>1391</v>
      </c>
      <c r="F503" s="60">
        <v>45764</v>
      </c>
      <c r="G503" s="59"/>
      <c r="H503" s="59"/>
      <c r="I503" s="59" t="s">
        <v>28</v>
      </c>
      <c r="J503" s="59" t="s">
        <v>29</v>
      </c>
      <c r="K503" s="59"/>
      <c r="L503" s="61"/>
    </row>
    <row r="504" spans="1:12" x14ac:dyDescent="0.25">
      <c r="A504" s="54" t="s">
        <v>1392</v>
      </c>
      <c r="B504" s="55" t="s">
        <v>474</v>
      </c>
      <c r="C504" s="55" t="s">
        <v>1393</v>
      </c>
      <c r="D504" s="55" t="s">
        <v>412</v>
      </c>
      <c r="E504" s="55" t="s">
        <v>1394</v>
      </c>
      <c r="F504" s="56">
        <v>45769</v>
      </c>
      <c r="G504" s="55"/>
      <c r="H504" s="55"/>
      <c r="I504" s="55"/>
      <c r="J504" s="55"/>
      <c r="K504" s="55"/>
      <c r="L504" s="57"/>
    </row>
    <row r="505" spans="1:12" x14ac:dyDescent="0.25">
      <c r="A505" s="58" t="s">
        <v>1395</v>
      </c>
      <c r="B505" s="59" t="s">
        <v>24</v>
      </c>
      <c r="C505" s="59" t="s">
        <v>1378</v>
      </c>
      <c r="D505" s="59" t="s">
        <v>1388</v>
      </c>
      <c r="E505" s="59" t="s">
        <v>1396</v>
      </c>
      <c r="F505" s="60">
        <v>45769</v>
      </c>
      <c r="G505" s="60">
        <v>45784</v>
      </c>
      <c r="H505" s="59"/>
      <c r="I505" s="59"/>
      <c r="J505" s="59"/>
      <c r="K505" s="59"/>
      <c r="L505" s="61"/>
    </row>
    <row r="506" spans="1:12" x14ac:dyDescent="0.25">
      <c r="A506" s="54" t="s">
        <v>1397</v>
      </c>
      <c r="B506" s="55" t="s">
        <v>13</v>
      </c>
      <c r="C506" s="55" t="s">
        <v>611</v>
      </c>
      <c r="D506" s="55" t="s">
        <v>1398</v>
      </c>
      <c r="E506" s="55" t="s">
        <v>1399</v>
      </c>
      <c r="F506" s="56">
        <v>45769</v>
      </c>
      <c r="G506" s="55"/>
      <c r="H506" s="55"/>
      <c r="I506" s="55" t="s">
        <v>28</v>
      </c>
      <c r="J506" s="55" t="s">
        <v>29</v>
      </c>
      <c r="K506" s="55"/>
      <c r="L506" s="57"/>
    </row>
    <row r="507" spans="1:12" x14ac:dyDescent="0.25">
      <c r="A507" s="58" t="s">
        <v>1400</v>
      </c>
      <c r="B507" s="59" t="s">
        <v>773</v>
      </c>
      <c r="C507" s="59" t="s">
        <v>1401</v>
      </c>
      <c r="D507" s="59" t="s">
        <v>774</v>
      </c>
      <c r="E507" s="59" t="s">
        <v>1402</v>
      </c>
      <c r="F507" s="60">
        <v>45770</v>
      </c>
      <c r="G507" s="59"/>
      <c r="H507" s="59"/>
      <c r="I507" s="59"/>
      <c r="J507" s="59"/>
      <c r="K507" s="59"/>
      <c r="L507" s="61"/>
    </row>
    <row r="508" spans="1:12" x14ac:dyDescent="0.25">
      <c r="A508" s="54" t="s">
        <v>1403</v>
      </c>
      <c r="B508" s="55" t="s">
        <v>474</v>
      </c>
      <c r="C508" s="55" t="s">
        <v>1404</v>
      </c>
      <c r="D508" s="55" t="s">
        <v>1405</v>
      </c>
      <c r="E508" s="55" t="s">
        <v>1406</v>
      </c>
      <c r="F508" s="56">
        <v>45770</v>
      </c>
      <c r="G508" s="55"/>
      <c r="H508" s="55"/>
      <c r="I508" s="55" t="s">
        <v>28</v>
      </c>
      <c r="J508" s="55"/>
      <c r="K508" s="55"/>
      <c r="L508" s="57"/>
    </row>
    <row r="509" spans="1:12" x14ac:dyDescent="0.25">
      <c r="A509" s="58" t="s">
        <v>1407</v>
      </c>
      <c r="B509" s="59" t="s">
        <v>24</v>
      </c>
      <c r="C509" s="59" t="s">
        <v>411</v>
      </c>
      <c r="D509" s="59" t="s">
        <v>412</v>
      </c>
      <c r="E509" s="59" t="s">
        <v>1408</v>
      </c>
      <c r="F509" s="60">
        <v>45772</v>
      </c>
      <c r="G509" s="59"/>
      <c r="H509" s="59"/>
      <c r="I509" s="59" t="s">
        <v>28</v>
      </c>
      <c r="J509" s="59"/>
      <c r="K509" s="59"/>
      <c r="L509" s="61"/>
    </row>
    <row r="510" spans="1:12" x14ac:dyDescent="0.25">
      <c r="A510" s="54" t="s">
        <v>1409</v>
      </c>
      <c r="B510" s="55" t="s">
        <v>13</v>
      </c>
      <c r="C510" s="55" t="s">
        <v>611</v>
      </c>
      <c r="D510" s="55" t="s">
        <v>111</v>
      </c>
      <c r="E510" s="55" t="s">
        <v>1410</v>
      </c>
      <c r="F510" s="56">
        <v>45775</v>
      </c>
      <c r="G510" s="55"/>
      <c r="H510" s="55"/>
      <c r="I510" s="55" t="s">
        <v>28</v>
      </c>
      <c r="J510" s="55"/>
      <c r="K510" s="55"/>
      <c r="L510" s="57"/>
    </row>
    <row r="511" spans="1:12" x14ac:dyDescent="0.25">
      <c r="A511" s="58" t="s">
        <v>1411</v>
      </c>
      <c r="B511" s="59" t="s">
        <v>135</v>
      </c>
      <c r="C511" s="59" t="s">
        <v>265</v>
      </c>
      <c r="D511" s="59" t="s">
        <v>1412</v>
      </c>
      <c r="E511" s="59" t="s">
        <v>1413</v>
      </c>
      <c r="F511" s="60">
        <v>45770</v>
      </c>
      <c r="G511" s="59"/>
      <c r="H511" s="59"/>
      <c r="I511" s="59" t="s">
        <v>28</v>
      </c>
      <c r="J511" s="59"/>
      <c r="K511" s="59"/>
      <c r="L511" s="61"/>
    </row>
    <row r="512" spans="1:12" x14ac:dyDescent="0.25">
      <c r="A512" s="54" t="s">
        <v>1414</v>
      </c>
      <c r="B512" s="55" t="s">
        <v>13</v>
      </c>
      <c r="C512" s="55" t="s">
        <v>51</v>
      </c>
      <c r="D512" s="55" t="s">
        <v>61</v>
      </c>
      <c r="E512" s="55" t="s">
        <v>1415</v>
      </c>
      <c r="F512" s="56">
        <v>45785</v>
      </c>
      <c r="G512" s="55"/>
      <c r="H512" s="55"/>
      <c r="I512" s="55" t="s">
        <v>385</v>
      </c>
      <c r="J512" s="55"/>
      <c r="K512" s="55"/>
      <c r="L512" s="57"/>
    </row>
    <row r="513" spans="1:12" x14ac:dyDescent="0.25">
      <c r="A513" s="58" t="s">
        <v>1416</v>
      </c>
      <c r="B513" s="59" t="s">
        <v>1015</v>
      </c>
      <c r="C513" s="59" t="s">
        <v>70</v>
      </c>
      <c r="D513" s="59" t="s">
        <v>1417</v>
      </c>
      <c r="E513" s="59" t="s">
        <v>1418</v>
      </c>
      <c r="F513" s="60">
        <v>45785</v>
      </c>
      <c r="G513" s="59"/>
      <c r="H513" s="59"/>
      <c r="I513" s="59"/>
      <c r="J513" s="59"/>
      <c r="K513" s="59"/>
      <c r="L513" s="61"/>
    </row>
    <row r="514" spans="1:12" x14ac:dyDescent="0.25">
      <c r="A514" s="54" t="s">
        <v>1419</v>
      </c>
      <c r="B514" s="55" t="s">
        <v>1420</v>
      </c>
      <c r="C514" s="55" t="s">
        <v>51</v>
      </c>
      <c r="D514" s="55" t="s">
        <v>61</v>
      </c>
      <c r="E514" s="55" t="s">
        <v>1421</v>
      </c>
      <c r="F514" s="56">
        <v>45789</v>
      </c>
      <c r="G514" s="55"/>
      <c r="H514" s="55"/>
      <c r="I514" s="55" t="s">
        <v>28</v>
      </c>
      <c r="J514" s="55"/>
      <c r="K514" s="55"/>
      <c r="L514" s="57"/>
    </row>
    <row r="515" spans="1:12" x14ac:dyDescent="0.25">
      <c r="A515" s="58" t="s">
        <v>1422</v>
      </c>
      <c r="B515" s="59" t="s">
        <v>220</v>
      </c>
      <c r="C515" s="59" t="s">
        <v>526</v>
      </c>
      <c r="D515" s="59" t="s">
        <v>924</v>
      </c>
      <c r="E515" s="63" t="s">
        <v>1423</v>
      </c>
      <c r="F515" s="60">
        <v>45790</v>
      </c>
      <c r="G515" s="59"/>
      <c r="H515" s="59"/>
      <c r="I515" s="59"/>
      <c r="J515" s="59"/>
      <c r="K515" s="59"/>
      <c r="L515" s="61"/>
    </row>
    <row r="516" spans="1:12" x14ac:dyDescent="0.25">
      <c r="A516" s="54" t="s">
        <v>1424</v>
      </c>
      <c r="B516" s="55" t="s">
        <v>220</v>
      </c>
      <c r="C516" s="55" t="s">
        <v>526</v>
      </c>
      <c r="D516" s="55" t="s">
        <v>924</v>
      </c>
      <c r="E516" s="55" t="s">
        <v>1425</v>
      </c>
      <c r="F516" s="56">
        <v>45791</v>
      </c>
      <c r="G516" s="55"/>
      <c r="H516" s="55"/>
      <c r="I516" s="55" t="s">
        <v>28</v>
      </c>
      <c r="J516" s="55"/>
      <c r="K516" s="55"/>
      <c r="L516" s="57"/>
    </row>
    <row r="517" spans="1:12" x14ac:dyDescent="0.25">
      <c r="A517" s="58" t="s">
        <v>1426</v>
      </c>
      <c r="B517" s="59" t="s">
        <v>474</v>
      </c>
      <c r="C517" s="59" t="s">
        <v>578</v>
      </c>
      <c r="D517" s="59" t="s">
        <v>326</v>
      </c>
      <c r="E517" s="59" t="s">
        <v>1427</v>
      </c>
      <c r="F517" s="60">
        <v>45793</v>
      </c>
      <c r="G517" s="59"/>
      <c r="H517" s="59"/>
      <c r="I517" s="59" t="s">
        <v>385</v>
      </c>
      <c r="J517" s="59"/>
      <c r="K517" s="59"/>
      <c r="L517" s="61"/>
    </row>
    <row r="518" spans="1:12" x14ac:dyDescent="0.25">
      <c r="A518" s="54" t="s">
        <v>1428</v>
      </c>
      <c r="B518" s="55" t="s">
        <v>1429</v>
      </c>
      <c r="C518" s="55" t="s">
        <v>310</v>
      </c>
      <c r="D518" s="55" t="s">
        <v>311</v>
      </c>
      <c r="E518" s="55" t="s">
        <v>1430</v>
      </c>
      <c r="F518" s="56">
        <v>45796</v>
      </c>
      <c r="G518" s="55"/>
      <c r="H518" s="55"/>
      <c r="I518" s="55" t="s">
        <v>385</v>
      </c>
      <c r="J518" s="55"/>
      <c r="K518" s="55"/>
      <c r="L518" s="57"/>
    </row>
    <row r="519" spans="1:12" x14ac:dyDescent="0.25">
      <c r="A519" s="58" t="s">
        <v>1431</v>
      </c>
      <c r="B519" s="59" t="s">
        <v>825</v>
      </c>
      <c r="C519" s="59" t="s">
        <v>578</v>
      </c>
      <c r="D519" s="59" t="s">
        <v>1432</v>
      </c>
      <c r="E519" s="59" t="s">
        <v>1433</v>
      </c>
      <c r="F519" s="60">
        <v>45797</v>
      </c>
      <c r="G519" s="59"/>
      <c r="H519" s="59"/>
      <c r="I519" s="59" t="s">
        <v>385</v>
      </c>
      <c r="J519" s="59"/>
      <c r="K519" s="59"/>
      <c r="L519" s="61"/>
    </row>
    <row r="520" spans="1:12" x14ac:dyDescent="0.25">
      <c r="A520" s="54" t="s">
        <v>1434</v>
      </c>
      <c r="B520" s="55" t="s">
        <v>1429</v>
      </c>
      <c r="C520" s="55" t="s">
        <v>997</v>
      </c>
      <c r="D520" s="55" t="s">
        <v>150</v>
      </c>
      <c r="E520" s="55" t="s">
        <v>1435</v>
      </c>
      <c r="F520" s="56">
        <v>45799</v>
      </c>
      <c r="G520" s="55"/>
      <c r="H520" s="55"/>
      <c r="I520" s="55" t="s">
        <v>385</v>
      </c>
      <c r="J520" s="55"/>
      <c r="K520" s="55"/>
      <c r="L520" s="57"/>
    </row>
    <row r="521" spans="1:12" x14ac:dyDescent="0.25">
      <c r="A521" s="58" t="s">
        <v>1436</v>
      </c>
      <c r="B521" s="59" t="s">
        <v>1429</v>
      </c>
      <c r="C521" s="59" t="s">
        <v>51</v>
      </c>
      <c r="D521" s="59" t="s">
        <v>52</v>
      </c>
      <c r="E521" s="59" t="s">
        <v>1437</v>
      </c>
      <c r="F521" s="60">
        <v>45797</v>
      </c>
      <c r="G521" s="59"/>
      <c r="H521" s="59"/>
      <c r="I521" s="59" t="s">
        <v>385</v>
      </c>
      <c r="J521" s="59"/>
      <c r="K521" s="59"/>
      <c r="L521" s="61"/>
    </row>
    <row r="522" spans="1:12" x14ac:dyDescent="0.25">
      <c r="A522" s="54" t="s">
        <v>1438</v>
      </c>
      <c r="B522" s="55" t="s">
        <v>825</v>
      </c>
      <c r="C522" s="55" t="s">
        <v>578</v>
      </c>
      <c r="D522" s="55" t="s">
        <v>326</v>
      </c>
      <c r="E522" s="55" t="s">
        <v>1439</v>
      </c>
      <c r="F522" s="56">
        <v>45804</v>
      </c>
      <c r="G522" s="55"/>
      <c r="H522" s="55"/>
      <c r="I522" s="55" t="s">
        <v>385</v>
      </c>
      <c r="J522" s="55"/>
      <c r="K522" s="55"/>
      <c r="L522" s="57"/>
    </row>
    <row r="523" spans="1:12" x14ac:dyDescent="0.25">
      <c r="A523" s="58" t="s">
        <v>1440</v>
      </c>
      <c r="B523" s="59" t="s">
        <v>474</v>
      </c>
      <c r="C523" s="59" t="s">
        <v>1441</v>
      </c>
      <c r="D523" s="59" t="s">
        <v>303</v>
      </c>
      <c r="E523" s="59" t="s">
        <v>1442</v>
      </c>
      <c r="F523" s="60">
        <v>45804</v>
      </c>
      <c r="G523" s="59"/>
      <c r="H523" s="59"/>
      <c r="I523" s="59" t="s">
        <v>385</v>
      </c>
      <c r="J523" s="59"/>
      <c r="K523" s="59"/>
      <c r="L523" s="61"/>
    </row>
    <row r="524" spans="1:12" x14ac:dyDescent="0.25">
      <c r="A524" s="54" t="s">
        <v>1443</v>
      </c>
      <c r="B524" s="55" t="s">
        <v>1429</v>
      </c>
      <c r="C524" s="55" t="s">
        <v>159</v>
      </c>
      <c r="D524" s="55" t="s">
        <v>1444</v>
      </c>
      <c r="E524" s="55" t="s">
        <v>1445</v>
      </c>
      <c r="F524" s="56">
        <v>45804</v>
      </c>
      <c r="G524" s="56">
        <v>45806</v>
      </c>
      <c r="H524" s="55"/>
      <c r="I524" s="59" t="s">
        <v>385</v>
      </c>
      <c r="J524" s="55"/>
      <c r="K524" s="55"/>
      <c r="L524" s="57"/>
    </row>
    <row r="525" spans="1:12" x14ac:dyDescent="0.25">
      <c r="A525" s="58" t="s">
        <v>1446</v>
      </c>
      <c r="B525" s="59" t="s">
        <v>24</v>
      </c>
      <c r="C525" s="59" t="s">
        <v>1016</v>
      </c>
      <c r="D525" s="59" t="s">
        <v>1017</v>
      </c>
      <c r="E525" s="59" t="s">
        <v>1447</v>
      </c>
      <c r="F525" s="60">
        <v>45807</v>
      </c>
      <c r="G525" s="59"/>
      <c r="H525" s="59"/>
      <c r="I525" s="59"/>
      <c r="J525" s="59"/>
      <c r="K525" s="59"/>
      <c r="L525" s="61"/>
    </row>
    <row r="526" spans="1:12" x14ac:dyDescent="0.25">
      <c r="A526" s="54" t="s">
        <v>1448</v>
      </c>
      <c r="B526" s="55" t="s">
        <v>135</v>
      </c>
      <c r="C526" s="55" t="s">
        <v>265</v>
      </c>
      <c r="D526" s="55" t="s">
        <v>1449</v>
      </c>
      <c r="E526" s="55" t="s">
        <v>1450</v>
      </c>
      <c r="F526" s="56">
        <v>45807</v>
      </c>
      <c r="G526" s="55"/>
      <c r="H526" s="55"/>
      <c r="I526" s="55" t="s">
        <v>380</v>
      </c>
      <c r="J526" s="55"/>
      <c r="K526" s="55"/>
      <c r="L526" s="57"/>
    </row>
    <row r="527" spans="1:12" x14ac:dyDescent="0.25">
      <c r="A527" s="58" t="s">
        <v>1451</v>
      </c>
      <c r="B527" t="s">
        <v>1015</v>
      </c>
      <c r="C527" t="s">
        <v>32</v>
      </c>
      <c r="D527" t="s">
        <v>751</v>
      </c>
      <c r="E527" t="s">
        <v>1452</v>
      </c>
      <c r="F527" s="1">
        <v>45820</v>
      </c>
      <c r="I527" t="s">
        <v>380</v>
      </c>
      <c r="K527" s="1"/>
      <c r="L527" s="1"/>
    </row>
    <row r="528" spans="1:12" x14ac:dyDescent="0.25">
      <c r="A528" s="58" t="s">
        <v>1453</v>
      </c>
      <c r="B528" t="s">
        <v>13</v>
      </c>
      <c r="C528" t="s">
        <v>47</v>
      </c>
      <c r="D528" t="s">
        <v>757</v>
      </c>
      <c r="E528" t="s">
        <v>1454</v>
      </c>
      <c r="F528" s="1">
        <v>45825</v>
      </c>
      <c r="I528" t="s">
        <v>380</v>
      </c>
      <c r="K528" s="1"/>
      <c r="L528" s="1"/>
    </row>
    <row r="529" spans="1:12" x14ac:dyDescent="0.25">
      <c r="A529" s="58" t="s">
        <v>1455</v>
      </c>
      <c r="B529" t="s">
        <v>13</v>
      </c>
      <c r="C529" t="s">
        <v>1136</v>
      </c>
      <c r="D529" t="s">
        <v>244</v>
      </c>
      <c r="E529" t="s">
        <v>1456</v>
      </c>
      <c r="F529" s="1">
        <v>45826</v>
      </c>
      <c r="I529" t="s">
        <v>28</v>
      </c>
      <c r="K529" s="1"/>
      <c r="L529" s="1"/>
    </row>
    <row r="530" spans="1:12" x14ac:dyDescent="0.25">
      <c r="A530" s="58" t="s">
        <v>1457</v>
      </c>
      <c r="B530" t="s">
        <v>135</v>
      </c>
      <c r="C530" t="s">
        <v>25</v>
      </c>
      <c r="D530" t="s">
        <v>1458</v>
      </c>
      <c r="E530" t="s">
        <v>1459</v>
      </c>
      <c r="F530" s="1">
        <v>45827</v>
      </c>
      <c r="I530" t="s">
        <v>385</v>
      </c>
      <c r="K530" s="1"/>
      <c r="L530" s="1"/>
    </row>
    <row r="531" spans="1:12" x14ac:dyDescent="0.25">
      <c r="A531" s="58" t="s">
        <v>1460</v>
      </c>
      <c r="B531" t="s">
        <v>825</v>
      </c>
      <c r="C531" t="s">
        <v>265</v>
      </c>
      <c r="D531" t="s">
        <v>1412</v>
      </c>
      <c r="E531" t="s">
        <v>1461</v>
      </c>
      <c r="F531" s="1">
        <v>45841</v>
      </c>
      <c r="I531" t="s">
        <v>380</v>
      </c>
      <c r="K531" s="1"/>
      <c r="L531" s="1"/>
    </row>
    <row r="532" spans="1:12" x14ac:dyDescent="0.25">
      <c r="A532" s="54" t="s">
        <v>1462</v>
      </c>
      <c r="B532" t="s">
        <v>1015</v>
      </c>
      <c r="C532" t="s">
        <v>1463</v>
      </c>
      <c r="D532" t="s">
        <v>1464</v>
      </c>
      <c r="E532" t="s">
        <v>1465</v>
      </c>
      <c r="F532" s="1">
        <v>45841</v>
      </c>
      <c r="I532" t="s">
        <v>380</v>
      </c>
      <c r="K532" s="1"/>
      <c r="L532" s="1"/>
    </row>
    <row r="533" spans="1:12" x14ac:dyDescent="0.25">
      <c r="A533" s="58" t="s">
        <v>1466</v>
      </c>
      <c r="B533" t="s">
        <v>1015</v>
      </c>
      <c r="C533" t="s">
        <v>32</v>
      </c>
      <c r="D533" t="s">
        <v>751</v>
      </c>
      <c r="E533" t="s">
        <v>1467</v>
      </c>
      <c r="F533" s="1">
        <v>45845</v>
      </c>
      <c r="K533" s="1"/>
      <c r="L533" s="1"/>
    </row>
    <row r="534" spans="1:12" x14ac:dyDescent="0.25">
      <c r="A534" s="54" t="s">
        <v>1468</v>
      </c>
      <c r="B534" t="s">
        <v>24</v>
      </c>
      <c r="C534" t="s">
        <v>43</v>
      </c>
      <c r="D534" t="s">
        <v>582</v>
      </c>
      <c r="E534" t="s">
        <v>1469</v>
      </c>
      <c r="F534" s="1">
        <v>45846</v>
      </c>
      <c r="K534" s="1"/>
      <c r="L534" s="1"/>
    </row>
    <row r="535" spans="1:12" x14ac:dyDescent="0.25">
      <c r="A535" s="58" t="s">
        <v>1470</v>
      </c>
      <c r="B535" t="s">
        <v>1471</v>
      </c>
      <c r="C535" t="s">
        <v>1136</v>
      </c>
      <c r="D535" t="s">
        <v>244</v>
      </c>
      <c r="E535" t="s">
        <v>1472</v>
      </c>
      <c r="F535" s="1">
        <v>45847</v>
      </c>
      <c r="K535" s="1"/>
      <c r="L535" s="1"/>
    </row>
    <row r="536" spans="1:12" x14ac:dyDescent="0.25">
      <c r="A536" s="54" t="s">
        <v>1473</v>
      </c>
      <c r="B536" t="s">
        <v>1429</v>
      </c>
      <c r="C536" t="s">
        <v>1474</v>
      </c>
      <c r="D536" t="s">
        <v>1475</v>
      </c>
      <c r="E536" t="s">
        <v>1476</v>
      </c>
      <c r="F536" s="1">
        <v>45849</v>
      </c>
      <c r="K536" s="1"/>
      <c r="L536" s="1"/>
    </row>
    <row r="537" spans="1:12" x14ac:dyDescent="0.25">
      <c r="A537" s="58" t="s">
        <v>1477</v>
      </c>
      <c r="B537" t="s">
        <v>825</v>
      </c>
      <c r="C537" t="s">
        <v>1478</v>
      </c>
      <c r="D537" t="s">
        <v>1479</v>
      </c>
      <c r="E537" t="s">
        <v>1480</v>
      </c>
      <c r="F537" s="1">
        <v>45853</v>
      </c>
      <c r="K537" s="1"/>
      <c r="L537" s="1"/>
    </row>
    <row r="538" spans="1:12" x14ac:dyDescent="0.25">
      <c r="A538" s="58" t="s">
        <v>1481</v>
      </c>
      <c r="B538" t="s">
        <v>24</v>
      </c>
      <c r="C538" t="s">
        <v>479</v>
      </c>
      <c r="D538" t="s">
        <v>480</v>
      </c>
      <c r="E538" t="s">
        <v>1482</v>
      </c>
      <c r="F538" s="1">
        <v>45855</v>
      </c>
      <c r="K538" s="1"/>
      <c r="L538" s="1"/>
    </row>
    <row r="539" spans="1:12" x14ac:dyDescent="0.25">
      <c r="A539" s="58" t="s">
        <v>1483</v>
      </c>
      <c r="B539" t="s">
        <v>825</v>
      </c>
      <c r="C539" t="s">
        <v>534</v>
      </c>
      <c r="D539" t="s">
        <v>535</v>
      </c>
      <c r="E539" t="s">
        <v>1484</v>
      </c>
      <c r="K539" s="1"/>
      <c r="L539" s="1"/>
    </row>
    <row r="540" spans="1:12" x14ac:dyDescent="0.25">
      <c r="A540" s="58" t="s">
        <v>1485</v>
      </c>
      <c r="B540" t="s">
        <v>24</v>
      </c>
      <c r="C540" t="s">
        <v>526</v>
      </c>
      <c r="D540" t="s">
        <v>924</v>
      </c>
      <c r="E540" t="s">
        <v>1486</v>
      </c>
      <c r="F540" s="1">
        <v>45859</v>
      </c>
      <c r="K540" s="1"/>
      <c r="L540" s="1"/>
    </row>
    <row r="541" spans="1:12" x14ac:dyDescent="0.25">
      <c r="A541" s="58" t="s">
        <v>1487</v>
      </c>
      <c r="B541" t="s">
        <v>825</v>
      </c>
      <c r="C541" t="s">
        <v>534</v>
      </c>
      <c r="D541" t="s">
        <v>535</v>
      </c>
      <c r="E541" t="s">
        <v>1488</v>
      </c>
      <c r="F541" s="1">
        <v>45860</v>
      </c>
      <c r="K541" s="1"/>
      <c r="L541" s="1"/>
    </row>
    <row r="542" spans="1:12" x14ac:dyDescent="0.25">
      <c r="A542" s="54" t="s">
        <v>1489</v>
      </c>
      <c r="B542" t="s">
        <v>474</v>
      </c>
      <c r="C542" t="s">
        <v>1490</v>
      </c>
      <c r="D542" t="s">
        <v>1491</v>
      </c>
      <c r="E542" t="s">
        <v>1492</v>
      </c>
      <c r="F542" s="1">
        <v>45861</v>
      </c>
      <c r="K542" s="1"/>
      <c r="L542" s="1"/>
    </row>
    <row r="543" spans="1:12" x14ac:dyDescent="0.25">
      <c r="A543" s="58" t="s">
        <v>1493</v>
      </c>
      <c r="B543" t="s">
        <v>514</v>
      </c>
      <c r="C543" t="s">
        <v>1494</v>
      </c>
      <c r="D543" t="s">
        <v>774</v>
      </c>
      <c r="E543" t="s">
        <v>1495</v>
      </c>
      <c r="F543" s="1">
        <v>45862</v>
      </c>
      <c r="K543" s="1"/>
      <c r="L543" s="1"/>
    </row>
    <row r="544" spans="1:12" x14ac:dyDescent="0.25">
      <c r="A544" s="54" t="s">
        <v>1496</v>
      </c>
      <c r="B544" t="s">
        <v>1429</v>
      </c>
      <c r="C544" t="s">
        <v>51</v>
      </c>
      <c r="D544" t="s">
        <v>61</v>
      </c>
      <c r="E544" t="s">
        <v>1497</v>
      </c>
      <c r="F544" s="1">
        <v>45861</v>
      </c>
      <c r="K544" s="1"/>
      <c r="L544" s="1"/>
    </row>
    <row r="545" spans="1:12" x14ac:dyDescent="0.25">
      <c r="A545" s="58" t="s">
        <v>1498</v>
      </c>
      <c r="B545" t="s">
        <v>825</v>
      </c>
      <c r="C545" t="s">
        <v>1474</v>
      </c>
      <c r="D545" t="s">
        <v>1475</v>
      </c>
      <c r="E545" t="s">
        <v>1499</v>
      </c>
      <c r="K545" s="1"/>
      <c r="L545" s="1"/>
    </row>
    <row r="546" spans="1:12" x14ac:dyDescent="0.25">
      <c r="A546" s="54" t="s">
        <v>1500</v>
      </c>
      <c r="B546" t="s">
        <v>1015</v>
      </c>
      <c r="C546" t="s">
        <v>1494</v>
      </c>
      <c r="D546" t="s">
        <v>774</v>
      </c>
      <c r="E546" t="s">
        <v>1501</v>
      </c>
      <c r="F546" s="1">
        <v>45863</v>
      </c>
      <c r="K546" s="1"/>
      <c r="L546" s="1"/>
    </row>
    <row r="547" spans="1:12" x14ac:dyDescent="0.25">
      <c r="A547" s="58" t="s">
        <v>1502</v>
      </c>
      <c r="B547" t="s">
        <v>514</v>
      </c>
      <c r="C547" t="s">
        <v>32</v>
      </c>
      <c r="D547" t="s">
        <v>397</v>
      </c>
      <c r="E547" t="s">
        <v>1503</v>
      </c>
      <c r="F547" s="1">
        <v>45867</v>
      </c>
      <c r="I547" t="s">
        <v>28</v>
      </c>
      <c r="K547" s="1"/>
      <c r="L547" s="1"/>
    </row>
    <row r="548" spans="1:12" x14ac:dyDescent="0.25">
      <c r="A548" s="58" t="s">
        <v>1504</v>
      </c>
      <c r="B548" t="s">
        <v>13</v>
      </c>
      <c r="C548" t="s">
        <v>51</v>
      </c>
      <c r="D548" t="s">
        <v>1505</v>
      </c>
      <c r="E548" t="s">
        <v>1506</v>
      </c>
      <c r="F548" s="1">
        <v>45868</v>
      </c>
      <c r="K548" s="1"/>
      <c r="L548" s="1"/>
    </row>
    <row r="549" spans="1:12" x14ac:dyDescent="0.25">
      <c r="A549" s="58" t="s">
        <v>1507</v>
      </c>
      <c r="B549" t="s">
        <v>1508</v>
      </c>
      <c r="C549" t="s">
        <v>578</v>
      </c>
      <c r="D549" t="s">
        <v>1432</v>
      </c>
      <c r="E549" t="s">
        <v>1509</v>
      </c>
      <c r="F549" s="1">
        <v>45870</v>
      </c>
      <c r="K549" s="1"/>
      <c r="L549" s="1"/>
    </row>
    <row r="550" spans="1:12" x14ac:dyDescent="0.25">
      <c r="A550" s="58" t="s">
        <v>1510</v>
      </c>
      <c r="B550" t="s">
        <v>167</v>
      </c>
      <c r="C550" t="s">
        <v>534</v>
      </c>
      <c r="D550" t="s">
        <v>535</v>
      </c>
      <c r="E550" t="s">
        <v>401</v>
      </c>
      <c r="F550" s="1">
        <v>45875</v>
      </c>
      <c r="K550" s="1"/>
      <c r="L550" s="1"/>
    </row>
    <row r="551" spans="1:12" x14ac:dyDescent="0.25">
      <c r="A551" s="58" t="s">
        <v>1511</v>
      </c>
      <c r="B551" t="s">
        <v>24</v>
      </c>
      <c r="C551" t="s">
        <v>1512</v>
      </c>
      <c r="D551" t="s">
        <v>36</v>
      </c>
      <c r="E551" t="s">
        <v>1513</v>
      </c>
      <c r="F551" s="1">
        <v>45876</v>
      </c>
      <c r="K551" s="1"/>
      <c r="L551" s="1"/>
    </row>
    <row r="552" spans="1:12" x14ac:dyDescent="0.25">
      <c r="A552" s="58" t="s">
        <v>1514</v>
      </c>
      <c r="B552" t="s">
        <v>825</v>
      </c>
      <c r="C552" t="s">
        <v>70</v>
      </c>
      <c r="D552" t="s">
        <v>1479</v>
      </c>
      <c r="E552" t="s">
        <v>1515</v>
      </c>
      <c r="F552" s="1">
        <v>45877</v>
      </c>
      <c r="K552" s="1"/>
      <c r="L552" s="1"/>
    </row>
    <row r="553" spans="1:12" x14ac:dyDescent="0.25">
      <c r="A553" s="58" t="s">
        <v>1516</v>
      </c>
      <c r="B553" t="s">
        <v>825</v>
      </c>
      <c r="C553" t="s">
        <v>70</v>
      </c>
      <c r="D553" t="s">
        <v>1479</v>
      </c>
      <c r="E553" t="s">
        <v>1517</v>
      </c>
      <c r="K553" s="1"/>
      <c r="L553" s="1"/>
    </row>
    <row r="554" spans="1:12" x14ac:dyDescent="0.25">
      <c r="A554" s="58" t="s">
        <v>1518</v>
      </c>
      <c r="B554" t="s">
        <v>24</v>
      </c>
      <c r="C554" t="s">
        <v>1519</v>
      </c>
      <c r="D554" t="s">
        <v>1520</v>
      </c>
      <c r="E554" t="s">
        <v>1521</v>
      </c>
      <c r="F554" s="1">
        <v>45882</v>
      </c>
      <c r="K554" s="1"/>
      <c r="L554" s="1"/>
    </row>
    <row r="555" spans="1:12" x14ac:dyDescent="0.25">
      <c r="A555" s="58" t="s">
        <v>1522</v>
      </c>
      <c r="B555" t="s">
        <v>1245</v>
      </c>
      <c r="C555" t="s">
        <v>1523</v>
      </c>
      <c r="D555" t="s">
        <v>1524</v>
      </c>
      <c r="E555" t="s">
        <v>1525</v>
      </c>
      <c r="F555" s="1">
        <v>45889</v>
      </c>
      <c r="K555" s="1"/>
      <c r="L555" s="1"/>
    </row>
    <row r="556" spans="1:12" x14ac:dyDescent="0.25">
      <c r="A556" s="54" t="s">
        <v>1526</v>
      </c>
      <c r="B556" t="s">
        <v>1527</v>
      </c>
      <c r="C556" t="s">
        <v>51</v>
      </c>
      <c r="D556" t="s">
        <v>1528</v>
      </c>
      <c r="E556" t="s">
        <v>1529</v>
      </c>
      <c r="F556" s="1">
        <v>45889</v>
      </c>
      <c r="K556" s="1"/>
      <c r="L556" s="1"/>
    </row>
    <row r="557" spans="1:12" x14ac:dyDescent="0.25">
      <c r="A557" s="58" t="s">
        <v>1530</v>
      </c>
      <c r="B557" t="s">
        <v>135</v>
      </c>
      <c r="C557" t="s">
        <v>253</v>
      </c>
      <c r="D557" t="s">
        <v>254</v>
      </c>
      <c r="E557" t="s">
        <v>1531</v>
      </c>
      <c r="F557" s="1">
        <v>45887</v>
      </c>
      <c r="I557" t="s">
        <v>385</v>
      </c>
      <c r="K557" s="1"/>
      <c r="L557" s="1"/>
    </row>
    <row r="558" spans="1:12" x14ac:dyDescent="0.25">
      <c r="A558" s="54" t="s">
        <v>1532</v>
      </c>
      <c r="B558" t="s">
        <v>825</v>
      </c>
      <c r="C558" t="s">
        <v>997</v>
      </c>
      <c r="D558" t="s">
        <v>150</v>
      </c>
      <c r="E558" t="s">
        <v>1533</v>
      </c>
      <c r="F558" s="1">
        <v>45894</v>
      </c>
      <c r="K558" s="1"/>
      <c r="L558" s="1"/>
    </row>
    <row r="559" spans="1:12" x14ac:dyDescent="0.25">
      <c r="A559" s="58" t="s">
        <v>1534</v>
      </c>
      <c r="B559" t="s">
        <v>24</v>
      </c>
      <c r="C559" t="s">
        <v>25</v>
      </c>
      <c r="D559" t="s">
        <v>1057</v>
      </c>
      <c r="E559" t="s">
        <v>1535</v>
      </c>
      <c r="F559" s="1">
        <v>45896</v>
      </c>
      <c r="K559" s="1"/>
      <c r="L559" s="1"/>
    </row>
    <row r="560" spans="1:12" x14ac:dyDescent="0.25">
      <c r="A560" s="54" t="s">
        <v>1536</v>
      </c>
      <c r="B560" t="s">
        <v>135</v>
      </c>
      <c r="C560" t="s">
        <v>247</v>
      </c>
      <c r="D560" t="s">
        <v>1313</v>
      </c>
      <c r="E560" t="s">
        <v>1537</v>
      </c>
      <c r="F560" s="1">
        <v>45896</v>
      </c>
      <c r="I560" t="s">
        <v>1538</v>
      </c>
      <c r="K560" s="1"/>
      <c r="L560" s="1"/>
    </row>
    <row r="561" spans="1:12" x14ac:dyDescent="0.25">
      <c r="A561" s="58" t="s">
        <v>1539</v>
      </c>
      <c r="B561" t="s">
        <v>1540</v>
      </c>
      <c r="C561" t="s">
        <v>1541</v>
      </c>
      <c r="D561" s="87" t="s">
        <v>1542</v>
      </c>
      <c r="E561" s="87" t="s">
        <v>1543</v>
      </c>
      <c r="F561" s="1">
        <v>45903</v>
      </c>
      <c r="K561" s="1"/>
      <c r="L561" s="1"/>
    </row>
    <row r="562" spans="1:12" x14ac:dyDescent="0.25">
      <c r="A562" s="58" t="s">
        <v>1544</v>
      </c>
      <c r="B562" t="s">
        <v>1545</v>
      </c>
      <c r="C562" t="s">
        <v>1519</v>
      </c>
      <c r="D562" t="s">
        <v>1520</v>
      </c>
      <c r="E562" t="s">
        <v>1546</v>
      </c>
      <c r="K562" s="1"/>
      <c r="L562" s="1"/>
    </row>
    <row r="563" spans="1:12" x14ac:dyDescent="0.25">
      <c r="A563" s="58" t="s">
        <v>1547</v>
      </c>
      <c r="B563" t="s">
        <v>135</v>
      </c>
      <c r="C563" t="s">
        <v>539</v>
      </c>
      <c r="D563" t="s">
        <v>540</v>
      </c>
      <c r="E563" t="s">
        <v>1548</v>
      </c>
      <c r="F563" s="1">
        <v>45905</v>
      </c>
      <c r="I563" t="s">
        <v>385</v>
      </c>
      <c r="K563" s="1"/>
      <c r="L563" s="1"/>
    </row>
    <row r="564" spans="1:12" x14ac:dyDescent="0.25">
      <c r="A564" s="58" t="s">
        <v>1549</v>
      </c>
      <c r="B564" t="s">
        <v>13</v>
      </c>
      <c r="C564" t="s">
        <v>534</v>
      </c>
      <c r="D564" t="s">
        <v>535</v>
      </c>
      <c r="E564" t="s">
        <v>1550</v>
      </c>
      <c r="F564" s="1">
        <v>45908</v>
      </c>
      <c r="K564" s="1"/>
      <c r="L564" s="1"/>
    </row>
    <row r="565" spans="1:12" x14ac:dyDescent="0.25">
      <c r="A565" s="58" t="s">
        <v>1551</v>
      </c>
      <c r="B565" t="s">
        <v>24</v>
      </c>
      <c r="C565" t="s">
        <v>70</v>
      </c>
      <c r="D565" t="s">
        <v>1552</v>
      </c>
      <c r="E565" t="s">
        <v>1553</v>
      </c>
      <c r="F565" s="1">
        <v>45905</v>
      </c>
      <c r="K565" s="1"/>
      <c r="L565" s="1"/>
    </row>
    <row r="566" spans="1:12" x14ac:dyDescent="0.25">
      <c r="A566" s="54" t="s">
        <v>1554</v>
      </c>
      <c r="B566" t="s">
        <v>24</v>
      </c>
      <c r="C566" t="s">
        <v>778</v>
      </c>
      <c r="D566" t="s">
        <v>1555</v>
      </c>
      <c r="E566" t="s">
        <v>1556</v>
      </c>
      <c r="F566" s="1">
        <v>45908</v>
      </c>
      <c r="K566" s="1"/>
      <c r="L566" s="1"/>
    </row>
    <row r="567" spans="1:12" x14ac:dyDescent="0.25">
      <c r="A567" s="58" t="s">
        <v>1557</v>
      </c>
      <c r="B567" t="s">
        <v>13</v>
      </c>
      <c r="C567" t="s">
        <v>578</v>
      </c>
      <c r="D567" t="s">
        <v>326</v>
      </c>
      <c r="E567" t="s">
        <v>1558</v>
      </c>
      <c r="F567" s="1">
        <v>45909</v>
      </c>
      <c r="K567" s="1"/>
      <c r="L567" s="1"/>
    </row>
    <row r="568" spans="1:12" x14ac:dyDescent="0.25">
      <c r="A568" s="54" t="s">
        <v>1559</v>
      </c>
      <c r="B568" t="s">
        <v>13</v>
      </c>
      <c r="C568" t="s">
        <v>534</v>
      </c>
      <c r="D568" t="s">
        <v>535</v>
      </c>
      <c r="E568" t="s">
        <v>1560</v>
      </c>
      <c r="F568" s="1">
        <v>45909</v>
      </c>
      <c r="K568" s="1"/>
      <c r="L568" s="1"/>
    </row>
    <row r="569" spans="1:12" x14ac:dyDescent="0.25">
      <c r="A569" s="58" t="s">
        <v>1561</v>
      </c>
      <c r="B569" t="s">
        <v>24</v>
      </c>
      <c r="C569" t="s">
        <v>1562</v>
      </c>
      <c r="D569" t="s">
        <v>1563</v>
      </c>
      <c r="E569" t="s">
        <v>1564</v>
      </c>
      <c r="F569" s="1">
        <v>45910</v>
      </c>
      <c r="K569" s="1"/>
      <c r="L569" s="1"/>
    </row>
    <row r="570" spans="1:12" x14ac:dyDescent="0.25">
      <c r="A570" s="54" t="s">
        <v>1565</v>
      </c>
      <c r="B570" t="s">
        <v>1566</v>
      </c>
      <c r="C570" t="s">
        <v>47</v>
      </c>
      <c r="D570" t="s">
        <v>757</v>
      </c>
      <c r="E570" t="s">
        <v>1567</v>
      </c>
      <c r="F570" s="1">
        <v>45912</v>
      </c>
      <c r="K570" s="1"/>
      <c r="L570" s="1"/>
    </row>
    <row r="571" spans="1:12" x14ac:dyDescent="0.25">
      <c r="A571" s="58" t="s">
        <v>1568</v>
      </c>
      <c r="B571" t="s">
        <v>135</v>
      </c>
      <c r="C571" t="s">
        <v>539</v>
      </c>
      <c r="D571" t="s">
        <v>540</v>
      </c>
      <c r="E571" t="s">
        <v>1569</v>
      </c>
      <c r="F571" s="1">
        <v>45918</v>
      </c>
      <c r="I571" t="s">
        <v>388</v>
      </c>
      <c r="K571" s="1"/>
      <c r="L571" s="1"/>
    </row>
    <row r="572" spans="1:12" x14ac:dyDescent="0.25">
      <c r="A572" s="58" t="s">
        <v>1570</v>
      </c>
      <c r="B572" t="s">
        <v>24</v>
      </c>
      <c r="C572" t="s">
        <v>1016</v>
      </c>
      <c r="D572" t="s">
        <v>1017</v>
      </c>
      <c r="E572" t="s">
        <v>1571</v>
      </c>
      <c r="F572" s="1">
        <v>45918</v>
      </c>
      <c r="K572" s="1"/>
      <c r="L572" s="1"/>
    </row>
    <row r="573" spans="1:12" x14ac:dyDescent="0.25">
      <c r="A573" s="58" t="s">
        <v>1572</v>
      </c>
      <c r="B573" t="s">
        <v>825</v>
      </c>
      <c r="C573" t="s">
        <v>1573</v>
      </c>
      <c r="D573" t="s">
        <v>1574</v>
      </c>
      <c r="E573" t="s">
        <v>1575</v>
      </c>
      <c r="F573" s="1">
        <v>45918</v>
      </c>
      <c r="K573" s="1"/>
      <c r="L573" s="1"/>
    </row>
    <row r="574" spans="1:12" x14ac:dyDescent="0.25">
      <c r="A574" s="58" t="s">
        <v>1576</v>
      </c>
      <c r="B574" t="s">
        <v>24</v>
      </c>
      <c r="C574" t="s">
        <v>1519</v>
      </c>
      <c r="D574" t="s">
        <v>1520</v>
      </c>
      <c r="E574" t="s">
        <v>1577</v>
      </c>
      <c r="K574" s="1"/>
      <c r="L574" s="1"/>
    </row>
    <row r="575" spans="1:12" x14ac:dyDescent="0.25">
      <c r="A575" s="58" t="s">
        <v>1578</v>
      </c>
      <c r="B575" t="s">
        <v>825</v>
      </c>
      <c r="C575" t="s">
        <v>1579</v>
      </c>
      <c r="D575" t="s">
        <v>1580</v>
      </c>
      <c r="E575" t="s">
        <v>1581</v>
      </c>
      <c r="F575" s="1">
        <v>45924</v>
      </c>
      <c r="K575" s="1"/>
      <c r="L575" s="1"/>
    </row>
    <row r="576" spans="1:12" x14ac:dyDescent="0.25">
      <c r="A576" s="54" t="s">
        <v>1582</v>
      </c>
      <c r="B576" t="s">
        <v>1566</v>
      </c>
      <c r="C576" t="s">
        <v>1474</v>
      </c>
      <c r="D576" t="s">
        <v>1475</v>
      </c>
      <c r="E576" t="s">
        <v>1583</v>
      </c>
      <c r="F576" s="1">
        <v>45924</v>
      </c>
      <c r="K576" s="1"/>
      <c r="L576" s="1"/>
    </row>
    <row r="577" spans="1:12" x14ac:dyDescent="0.25">
      <c r="A577" s="58" t="s">
        <v>1584</v>
      </c>
      <c r="B577" t="s">
        <v>1566</v>
      </c>
      <c r="C577" t="s">
        <v>1474</v>
      </c>
      <c r="D577" t="s">
        <v>1475</v>
      </c>
      <c r="E577" t="s">
        <v>1585</v>
      </c>
      <c r="F577" s="1">
        <v>45924</v>
      </c>
      <c r="K577" s="1"/>
      <c r="L577" s="1"/>
    </row>
    <row r="578" spans="1:12" x14ac:dyDescent="0.25">
      <c r="A578" s="54" t="s">
        <v>1586</v>
      </c>
      <c r="B578" t="s">
        <v>135</v>
      </c>
      <c r="C578" t="s">
        <v>1494</v>
      </c>
      <c r="D578" t="s">
        <v>1587</v>
      </c>
      <c r="E578" t="s">
        <v>1588</v>
      </c>
      <c r="F578" s="1">
        <v>45930</v>
      </c>
      <c r="I578" t="s">
        <v>380</v>
      </c>
      <c r="K578" s="1"/>
      <c r="L578" s="1"/>
    </row>
    <row r="579" spans="1:12" x14ac:dyDescent="0.25">
      <c r="A579" s="58" t="s">
        <v>1589</v>
      </c>
      <c r="B579" t="s">
        <v>13</v>
      </c>
      <c r="C579" t="s">
        <v>1474</v>
      </c>
      <c r="D579" t="s">
        <v>1475</v>
      </c>
      <c r="E579" t="s">
        <v>1590</v>
      </c>
      <c r="F579" s="1">
        <v>45931</v>
      </c>
      <c r="I579" t="s">
        <v>380</v>
      </c>
      <c r="K579" s="1"/>
      <c r="L579" s="1"/>
    </row>
    <row r="580" spans="1:12" x14ac:dyDescent="0.25">
      <c r="A580" s="54" t="s">
        <v>1591</v>
      </c>
      <c r="B580" t="s">
        <v>1566</v>
      </c>
      <c r="C580" t="s">
        <v>47</v>
      </c>
      <c r="D580" t="s">
        <v>757</v>
      </c>
      <c r="E580" t="s">
        <v>1592</v>
      </c>
      <c r="F580" s="1">
        <v>45932</v>
      </c>
      <c r="K580" s="1"/>
      <c r="L580" s="1"/>
    </row>
    <row r="581" spans="1:12" x14ac:dyDescent="0.25">
      <c r="A581" s="58" t="s">
        <v>1593</v>
      </c>
      <c r="B581" t="s">
        <v>474</v>
      </c>
      <c r="C581" t="s">
        <v>1594</v>
      </c>
      <c r="D581" s="6" t="s">
        <v>446</v>
      </c>
      <c r="E581" t="s">
        <v>1595</v>
      </c>
      <c r="F581" s="1">
        <v>45936</v>
      </c>
      <c r="K581" s="1"/>
      <c r="L581" s="1"/>
    </row>
    <row r="582" spans="1:12" x14ac:dyDescent="0.25">
      <c r="A582" s="54" t="s">
        <v>1596</v>
      </c>
      <c r="B582" t="s">
        <v>1597</v>
      </c>
      <c r="C582" t="s">
        <v>1598</v>
      </c>
      <c r="D582" t="s">
        <v>1599</v>
      </c>
      <c r="E582" t="s">
        <v>1600</v>
      </c>
      <c r="K582" s="1"/>
      <c r="L582" s="1"/>
    </row>
    <row r="583" spans="1:12" x14ac:dyDescent="0.25">
      <c r="A583" s="58" t="s">
        <v>1601</v>
      </c>
      <c r="B583" t="s">
        <v>1602</v>
      </c>
      <c r="C583" t="s">
        <v>25</v>
      </c>
      <c r="D583" t="s">
        <v>1603</v>
      </c>
      <c r="E583" t="s">
        <v>1604</v>
      </c>
      <c r="F583" s="1">
        <v>45937</v>
      </c>
      <c r="I583" t="s">
        <v>385</v>
      </c>
      <c r="K583" s="1"/>
      <c r="L583" s="1"/>
    </row>
    <row r="584" spans="1:12" x14ac:dyDescent="0.25">
      <c r="A584" s="54" t="s">
        <v>1605</v>
      </c>
      <c r="B584" t="s">
        <v>13</v>
      </c>
      <c r="C584" t="s">
        <v>47</v>
      </c>
      <c r="D584" t="s">
        <v>48</v>
      </c>
      <c r="E584" t="s">
        <v>1606</v>
      </c>
      <c r="F584" s="1">
        <v>45937</v>
      </c>
      <c r="I584" t="s">
        <v>28</v>
      </c>
      <c r="K584" s="1"/>
      <c r="L584" s="1"/>
    </row>
    <row r="585" spans="1:12" x14ac:dyDescent="0.25">
      <c r="A585" s="58" t="s">
        <v>1607</v>
      </c>
      <c r="B585" t="s">
        <v>13</v>
      </c>
      <c r="C585" t="s">
        <v>1136</v>
      </c>
      <c r="D585" t="s">
        <v>244</v>
      </c>
      <c r="E585" t="s">
        <v>1608</v>
      </c>
      <c r="F585" s="1">
        <v>45945</v>
      </c>
      <c r="I585" t="s">
        <v>28</v>
      </c>
      <c r="K585" s="1"/>
      <c r="L585" s="1"/>
    </row>
    <row r="586" spans="1:12" x14ac:dyDescent="0.25">
      <c r="A586" s="54" t="s">
        <v>1609</v>
      </c>
      <c r="B586" t="s">
        <v>220</v>
      </c>
      <c r="C586" t="s">
        <v>534</v>
      </c>
      <c r="D586" t="s">
        <v>535</v>
      </c>
      <c r="E586" t="s">
        <v>1610</v>
      </c>
      <c r="F586" s="1">
        <v>45950</v>
      </c>
      <c r="K586" s="1"/>
      <c r="L586" s="1"/>
    </row>
    <row r="587" spans="1:12" x14ac:dyDescent="0.25">
      <c r="A587" s="58" t="s">
        <v>1611</v>
      </c>
      <c r="B587" t="s">
        <v>1420</v>
      </c>
      <c r="C587" t="s">
        <v>247</v>
      </c>
      <c r="D587" t="s">
        <v>1612</v>
      </c>
      <c r="E587" t="s">
        <v>1613</v>
      </c>
      <c r="F587" s="1">
        <v>45950</v>
      </c>
      <c r="K587" s="1"/>
      <c r="L587" s="1"/>
    </row>
    <row r="588" spans="1:12" x14ac:dyDescent="0.25">
      <c r="A588" s="54" t="s">
        <v>1614</v>
      </c>
      <c r="B588" t="s">
        <v>24</v>
      </c>
      <c r="C588" t="s">
        <v>1016</v>
      </c>
      <c r="D588" t="s">
        <v>1017</v>
      </c>
      <c r="E588" t="s">
        <v>1615</v>
      </c>
      <c r="F588" s="1">
        <v>45951</v>
      </c>
      <c r="K588" s="1"/>
      <c r="L588" s="1"/>
    </row>
    <row r="589" spans="1:12" x14ac:dyDescent="0.25">
      <c r="A589" s="58" t="s">
        <v>1616</v>
      </c>
      <c r="B589" t="s">
        <v>220</v>
      </c>
      <c r="C589" t="s">
        <v>1494</v>
      </c>
      <c r="D589" t="s">
        <v>1617</v>
      </c>
      <c r="E589" t="s">
        <v>1618</v>
      </c>
      <c r="F589" s="1">
        <v>45951</v>
      </c>
      <c r="K589" s="1"/>
      <c r="L589" s="1"/>
    </row>
    <row r="590" spans="1:12" x14ac:dyDescent="0.25">
      <c r="A590" s="54" t="s">
        <v>1619</v>
      </c>
      <c r="B590" t="s">
        <v>135</v>
      </c>
      <c r="C590" t="s">
        <v>1494</v>
      </c>
      <c r="D590" t="s">
        <v>254</v>
      </c>
      <c r="E590" t="s">
        <v>1620</v>
      </c>
      <c r="F590" s="1">
        <v>45953</v>
      </c>
      <c r="K590" s="1"/>
      <c r="L590" s="1"/>
    </row>
    <row r="591" spans="1:12" x14ac:dyDescent="0.25">
      <c r="A591" s="58" t="s">
        <v>1621</v>
      </c>
      <c r="B591" t="s">
        <v>135</v>
      </c>
      <c r="C591" t="s">
        <v>1622</v>
      </c>
      <c r="E591" t="s">
        <v>1623</v>
      </c>
      <c r="F591" s="1">
        <v>45954</v>
      </c>
      <c r="K591" s="1"/>
      <c r="L591" s="1"/>
    </row>
    <row r="592" spans="1:12" x14ac:dyDescent="0.25">
      <c r="A592" s="58" t="s">
        <v>1624</v>
      </c>
      <c r="B592" t="s">
        <v>474</v>
      </c>
      <c r="C592" t="s">
        <v>1625</v>
      </c>
      <c r="D592" t="s">
        <v>1626</v>
      </c>
      <c r="E592" t="s">
        <v>1627</v>
      </c>
      <c r="F592" s="1">
        <v>45958</v>
      </c>
      <c r="K592" s="1"/>
      <c r="L592" s="1"/>
    </row>
    <row r="593" spans="1:12" x14ac:dyDescent="0.25">
      <c r="A593" s="58" t="s">
        <v>1628</v>
      </c>
      <c r="B593" t="s">
        <v>220</v>
      </c>
      <c r="C593" t="s">
        <v>997</v>
      </c>
      <c r="D593" t="s">
        <v>1629</v>
      </c>
      <c r="E593" t="s">
        <v>1630</v>
      </c>
      <c r="F593" s="1">
        <v>45959</v>
      </c>
      <c r="K593" s="1"/>
      <c r="L593" s="1"/>
    </row>
    <row r="594" spans="1:12" x14ac:dyDescent="0.25">
      <c r="A594" s="58" t="s">
        <v>1631</v>
      </c>
      <c r="B594" t="s">
        <v>1632</v>
      </c>
      <c r="C594" t="s">
        <v>25</v>
      </c>
      <c r="D594" t="s">
        <v>1633</v>
      </c>
      <c r="E594" s="6" t="s">
        <v>1634</v>
      </c>
      <c r="F594" s="1">
        <v>45964</v>
      </c>
      <c r="K594" s="1"/>
      <c r="L594" s="1"/>
    </row>
    <row r="595" spans="1:12" x14ac:dyDescent="0.25">
      <c r="A595" s="58" t="s">
        <v>1635</v>
      </c>
      <c r="B595" t="s">
        <v>1632</v>
      </c>
      <c r="C595" t="s">
        <v>25</v>
      </c>
      <c r="D595" t="s">
        <v>1633</v>
      </c>
      <c r="E595" s="6" t="s">
        <v>1636</v>
      </c>
      <c r="F595" s="1">
        <v>45964</v>
      </c>
      <c r="K595" s="1"/>
      <c r="L595" s="1"/>
    </row>
    <row r="596" spans="1:12" x14ac:dyDescent="0.25">
      <c r="A596" s="54" t="s">
        <v>1637</v>
      </c>
      <c r="B596" t="s">
        <v>514</v>
      </c>
      <c r="C596" t="s">
        <v>1638</v>
      </c>
      <c r="D596" t="s">
        <v>1639</v>
      </c>
      <c r="E596" t="s">
        <v>1640</v>
      </c>
      <c r="F596" s="1">
        <v>45966</v>
      </c>
      <c r="K596" s="1"/>
      <c r="L596" s="1"/>
    </row>
    <row r="597" spans="1:12" x14ac:dyDescent="0.25">
      <c r="A597" s="58" t="s">
        <v>1641</v>
      </c>
      <c r="B597" t="s">
        <v>1642</v>
      </c>
      <c r="C597" t="s">
        <v>1643</v>
      </c>
      <c r="D597" t="s">
        <v>1491</v>
      </c>
      <c r="E597" t="s">
        <v>1644</v>
      </c>
      <c r="F597" s="1">
        <v>45966</v>
      </c>
      <c r="K597" s="1"/>
      <c r="L597" s="1"/>
    </row>
    <row r="598" spans="1:12" x14ac:dyDescent="0.25">
      <c r="A598" s="54" t="s">
        <v>1645</v>
      </c>
      <c r="B598" t="s">
        <v>13</v>
      </c>
      <c r="C598" t="s">
        <v>578</v>
      </c>
      <c r="D598" t="s">
        <v>326</v>
      </c>
      <c r="E598" t="s">
        <v>1646</v>
      </c>
      <c r="F598" s="1">
        <v>45967</v>
      </c>
      <c r="I598" t="s">
        <v>385</v>
      </c>
      <c r="K598" s="1"/>
      <c r="L598" s="1"/>
    </row>
    <row r="599" spans="1:12" x14ac:dyDescent="0.25">
      <c r="A599" s="58" t="s">
        <v>1647</v>
      </c>
      <c r="B599" t="s">
        <v>1648</v>
      </c>
      <c r="C599" t="s">
        <v>1016</v>
      </c>
      <c r="D599" t="s">
        <v>1017</v>
      </c>
      <c r="E599" t="s">
        <v>1649</v>
      </c>
      <c r="F599" s="1">
        <v>45968</v>
      </c>
      <c r="K599" s="1"/>
      <c r="L599" s="1"/>
    </row>
    <row r="600" spans="1:12" x14ac:dyDescent="0.25">
      <c r="A600" s="54" t="s">
        <v>1650</v>
      </c>
      <c r="B600" t="s">
        <v>1651</v>
      </c>
      <c r="C600" t="s">
        <v>1136</v>
      </c>
      <c r="D600" t="s">
        <v>244</v>
      </c>
      <c r="E600" t="s">
        <v>1652</v>
      </c>
      <c r="F600" s="1">
        <v>45971</v>
      </c>
      <c r="K600" s="1"/>
      <c r="L600" s="1"/>
    </row>
    <row r="601" spans="1:12" x14ac:dyDescent="0.25">
      <c r="A601" s="58" t="s">
        <v>1653</v>
      </c>
      <c r="B601" t="s">
        <v>24</v>
      </c>
      <c r="C601" t="s">
        <v>1598</v>
      </c>
      <c r="D601" t="s">
        <v>1654</v>
      </c>
      <c r="E601" t="s">
        <v>1655</v>
      </c>
      <c r="F601" s="1">
        <v>45972</v>
      </c>
      <c r="I601" t="s">
        <v>385</v>
      </c>
      <c r="K601" s="1"/>
      <c r="L601" s="1"/>
    </row>
    <row r="602" spans="1:12" x14ac:dyDescent="0.25">
      <c r="A602" s="58" t="s">
        <v>1656</v>
      </c>
      <c r="B602" t="s">
        <v>24</v>
      </c>
      <c r="C602" t="s">
        <v>126</v>
      </c>
      <c r="D602" t="s">
        <v>1657</v>
      </c>
      <c r="E602" t="s">
        <v>851</v>
      </c>
      <c r="F602" s="1">
        <v>45972</v>
      </c>
      <c r="K602" s="1"/>
      <c r="L602" s="1"/>
    </row>
    <row r="603" spans="1:12" x14ac:dyDescent="0.25">
      <c r="A603" s="58" t="s">
        <v>1658</v>
      </c>
      <c r="B603" s="68" t="s">
        <v>13</v>
      </c>
      <c r="C603" s="68" t="s">
        <v>70</v>
      </c>
      <c r="D603" s="68" t="s">
        <v>834</v>
      </c>
      <c r="E603" s="68" t="s">
        <v>1659</v>
      </c>
      <c r="F603" s="69">
        <v>45819</v>
      </c>
      <c r="G603" s="69"/>
      <c r="H603" s="69"/>
      <c r="I603" s="68" t="s">
        <v>28</v>
      </c>
      <c r="J603" s="68"/>
      <c r="K603" s="69"/>
      <c r="L603" s="70"/>
    </row>
    <row r="604" spans="1:12" x14ac:dyDescent="0.25">
      <c r="A604" s="58" t="s">
        <v>1660</v>
      </c>
      <c r="B604" s="71" t="s">
        <v>24</v>
      </c>
      <c r="C604" s="71" t="s">
        <v>1661</v>
      </c>
      <c r="D604" s="71" t="s">
        <v>352</v>
      </c>
      <c r="E604" s="71" t="s">
        <v>1662</v>
      </c>
      <c r="F604" s="72">
        <v>45820</v>
      </c>
      <c r="G604" s="72"/>
      <c r="H604" s="72"/>
      <c r="I604" s="71"/>
      <c r="J604" s="71"/>
      <c r="K604" s="72"/>
      <c r="L604" s="73"/>
    </row>
    <row r="605" spans="1:12" x14ac:dyDescent="0.25">
      <c r="A605" s="58" t="s">
        <v>1663</v>
      </c>
      <c r="B605" t="s">
        <v>1642</v>
      </c>
      <c r="C605" t="s">
        <v>1664</v>
      </c>
      <c r="D605" t="s">
        <v>1665</v>
      </c>
      <c r="E605" t="s">
        <v>1666</v>
      </c>
      <c r="F605" s="1">
        <v>45974</v>
      </c>
      <c r="K605" s="1"/>
      <c r="L605" s="1"/>
    </row>
    <row r="606" spans="1:12" x14ac:dyDescent="0.25">
      <c r="A606" s="58" t="s">
        <v>1667</v>
      </c>
      <c r="B606" t="s">
        <v>474</v>
      </c>
      <c r="C606" t="s">
        <v>1136</v>
      </c>
      <c r="D606" t="s">
        <v>244</v>
      </c>
      <c r="E606" t="s">
        <v>1668</v>
      </c>
      <c r="F606" s="1">
        <v>45975</v>
      </c>
      <c r="K606" s="1"/>
      <c r="L606" s="1"/>
    </row>
    <row r="607" spans="1:12" x14ac:dyDescent="0.25">
      <c r="A607" s="58" t="s">
        <v>1669</v>
      </c>
      <c r="B607" t="s">
        <v>825</v>
      </c>
      <c r="C607" t="s">
        <v>1573</v>
      </c>
      <c r="D607" t="s">
        <v>1670</v>
      </c>
      <c r="E607" t="s">
        <v>1671</v>
      </c>
      <c r="F607" s="1">
        <v>45979</v>
      </c>
      <c r="I607" t="s">
        <v>380</v>
      </c>
      <c r="K607" s="1"/>
      <c r="L607" s="1"/>
    </row>
    <row r="608" spans="1:12" x14ac:dyDescent="0.25">
      <c r="A608" s="58" t="s">
        <v>1672</v>
      </c>
      <c r="B608" t="s">
        <v>474</v>
      </c>
      <c r="C608" t="s">
        <v>25</v>
      </c>
      <c r="D608" t="s">
        <v>1633</v>
      </c>
      <c r="E608" t="s">
        <v>1673</v>
      </c>
      <c r="F608" s="1">
        <v>45982</v>
      </c>
      <c r="K608" s="1"/>
      <c r="L608" s="1"/>
    </row>
    <row r="609" spans="1:12" x14ac:dyDescent="0.25">
      <c r="A609" s="58" t="s">
        <v>1674</v>
      </c>
      <c r="B609" t="s">
        <v>13</v>
      </c>
      <c r="C609" t="s">
        <v>247</v>
      </c>
      <c r="D609" t="s">
        <v>1675</v>
      </c>
      <c r="E609" t="s">
        <v>1676</v>
      </c>
      <c r="F609" s="1">
        <v>45985</v>
      </c>
      <c r="I609" t="s">
        <v>385</v>
      </c>
      <c r="K609" s="1"/>
      <c r="L609" s="1"/>
    </row>
    <row r="610" spans="1:12" x14ac:dyDescent="0.25">
      <c r="A610" s="58" t="s">
        <v>1677</v>
      </c>
      <c r="K610" s="1"/>
      <c r="L610" s="1"/>
    </row>
    <row r="611" spans="1:12" x14ac:dyDescent="0.25">
      <c r="A611" s="58" t="s">
        <v>1678</v>
      </c>
      <c r="K611" s="1"/>
      <c r="L611" s="1"/>
    </row>
    <row r="612" spans="1:12" x14ac:dyDescent="0.25">
      <c r="A612" s="58" t="s">
        <v>1679</v>
      </c>
      <c r="K612" s="1"/>
      <c r="L612" s="1"/>
    </row>
    <row r="613" spans="1:12" x14ac:dyDescent="0.25">
      <c r="A613" s="58" t="s">
        <v>1680</v>
      </c>
      <c r="K613" s="1"/>
      <c r="L613" s="1"/>
    </row>
    <row r="614" spans="1:12" x14ac:dyDescent="0.25">
      <c r="A614" s="58" t="s">
        <v>1681</v>
      </c>
      <c r="K614" s="1"/>
      <c r="L614" s="1"/>
    </row>
    <row r="615" spans="1:12" x14ac:dyDescent="0.25">
      <c r="A615" s="58" t="s">
        <v>1682</v>
      </c>
      <c r="K615" s="1"/>
      <c r="L615" s="1"/>
    </row>
    <row r="616" spans="1:12" x14ac:dyDescent="0.25">
      <c r="A616" s="58" t="s">
        <v>1683</v>
      </c>
      <c r="K616" s="1"/>
      <c r="L616" s="1"/>
    </row>
    <row r="617" spans="1:12" x14ac:dyDescent="0.25">
      <c r="A617" s="58" t="s">
        <v>1684</v>
      </c>
      <c r="K617" s="1"/>
      <c r="L617" s="1"/>
    </row>
    <row r="618" spans="1:12" x14ac:dyDescent="0.25">
      <c r="A618" s="58" t="s">
        <v>1685</v>
      </c>
      <c r="K618" s="1"/>
      <c r="L618" s="1"/>
    </row>
  </sheetData>
  <conditionalFormatting sqref="A1 A619:A1048576">
    <cfRule type="duplicateValues" dxfId="64" priority="1"/>
  </conditionalFormatting>
  <conditionalFormatting sqref="J1">
    <cfRule type="cellIs" dxfId="63" priority="2" operator="equal">
      <formula>"No"</formula>
    </cfRule>
  </conditionalFormatting>
  <dataValidations count="2">
    <dataValidation type="list" allowBlank="1" showInputMessage="1" showErrorMessage="1" sqref="J527:J1048576" xr:uid="{7CBAE20F-6254-45FE-8D3A-EAD6B1AA0D6C}">
      <formula1>"Yes, No"</formula1>
    </dataValidation>
    <dataValidation type="list" allowBlank="1" showInputMessage="1" showErrorMessage="1" sqref="I527:I1048576" xr:uid="{000964DC-6DEC-4CA4-BF67-72991A424913}">
      <formula1>"RFQ, In Progress, Ready for Review, Quote Sent, PO Received, Not Accepted"</formula1>
    </dataValidation>
  </dataValidations>
  <pageMargins left="0.7" right="0.7" top="0.75" bottom="0.75" header="0.3" footer="0.3"/>
  <pageSetup paperSize="3" scale="4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4E5F-CE6E-434E-BD19-4ECAF0BAC113}">
  <sheetPr codeName="Sheet2"/>
  <dimension ref="A1:FI578"/>
  <sheetViews>
    <sheetView topLeftCell="I545" zoomScaleNormal="100" workbookViewId="0">
      <selection activeCell="I31" sqref="I31"/>
    </sheetView>
  </sheetViews>
  <sheetFormatPr defaultRowHeight="15" x14ac:dyDescent="0.25"/>
  <cols>
    <col min="1" max="1" width="3.5703125" style="8" customWidth="1"/>
    <col min="2" max="2" width="24.140625" style="8" bestFit="1" customWidth="1"/>
    <col min="3" max="3" width="44.85546875" style="8" bestFit="1" customWidth="1"/>
    <col min="4" max="4" width="16" style="8" bestFit="1" customWidth="1"/>
    <col min="5" max="5" width="21.7109375" style="8" bestFit="1" customWidth="1"/>
    <col min="6" max="6" width="10" style="8" bestFit="1" customWidth="1"/>
    <col min="7" max="7" width="15.85546875" style="8" customWidth="1"/>
    <col min="8" max="8" width="89.42578125" style="8" customWidth="1"/>
    <col min="9" max="9" width="20" style="8" bestFit="1" customWidth="1"/>
    <col min="10" max="10" width="33.7109375" style="8" hidden="1" customWidth="1"/>
    <col min="11" max="11" width="19.7109375" style="8" hidden="1" customWidth="1"/>
    <col min="12" max="12" width="97.42578125" style="21" customWidth="1"/>
  </cols>
  <sheetData>
    <row r="1" spans="2:12" ht="11.25" customHeight="1" x14ac:dyDescent="0.25"/>
    <row r="2" spans="2:12" x14ac:dyDescent="0.25">
      <c r="B2" s="8" t="s">
        <v>2</v>
      </c>
      <c r="C2" s="8" t="s">
        <v>1686</v>
      </c>
      <c r="D2" s="8" t="s">
        <v>1687</v>
      </c>
      <c r="E2" s="8" t="s">
        <v>1688</v>
      </c>
      <c r="F2" s="8" t="s">
        <v>1689</v>
      </c>
      <c r="G2" s="8" t="s">
        <v>1690</v>
      </c>
      <c r="H2" s="8" t="s">
        <v>1691</v>
      </c>
      <c r="I2" s="8" t="s">
        <v>1692</v>
      </c>
      <c r="J2" s="8" t="s">
        <v>3</v>
      </c>
      <c r="K2" s="8" t="s">
        <v>1693</v>
      </c>
      <c r="L2" s="21" t="s">
        <v>1694</v>
      </c>
    </row>
    <row r="3" spans="2:12" s="8" customFormat="1" x14ac:dyDescent="0.25">
      <c r="B3" s="8" t="s">
        <v>1695</v>
      </c>
      <c r="C3" s="8" t="s">
        <v>1696</v>
      </c>
      <c r="D3" s="8" t="s">
        <v>1697</v>
      </c>
      <c r="E3" s="8" t="s">
        <v>1698</v>
      </c>
      <c r="F3" s="8">
        <v>1</v>
      </c>
      <c r="G3" s="15">
        <v>44775</v>
      </c>
      <c r="H3" s="8" t="s">
        <v>1699</v>
      </c>
      <c r="I3" s="8" t="s">
        <v>1700</v>
      </c>
      <c r="L3" s="8" t="s">
        <v>1701</v>
      </c>
    </row>
    <row r="4" spans="2:12" s="8" customFormat="1" x14ac:dyDescent="0.25">
      <c r="B4" s="8" t="s">
        <v>1702</v>
      </c>
      <c r="C4" s="8" t="s">
        <v>1703</v>
      </c>
      <c r="D4" s="8" t="s">
        <v>1704</v>
      </c>
      <c r="E4" s="8" t="s">
        <v>1698</v>
      </c>
      <c r="F4" s="8">
        <v>1</v>
      </c>
      <c r="G4" s="15">
        <v>44781</v>
      </c>
      <c r="H4" s="8" t="s">
        <v>1705</v>
      </c>
      <c r="I4" s="8" t="s">
        <v>1700</v>
      </c>
      <c r="L4" s="8" t="s">
        <v>1706</v>
      </c>
    </row>
    <row r="5" spans="2:12" s="8" customFormat="1" x14ac:dyDescent="0.25">
      <c r="B5" s="8">
        <v>4015</v>
      </c>
      <c r="C5" s="8" t="s">
        <v>1707</v>
      </c>
      <c r="D5" s="8" t="s">
        <v>1708</v>
      </c>
      <c r="E5" s="8" t="s">
        <v>1709</v>
      </c>
      <c r="F5" s="8">
        <v>1</v>
      </c>
      <c r="G5" s="15">
        <v>44813</v>
      </c>
      <c r="H5" s="8" t="s">
        <v>1710</v>
      </c>
      <c r="I5" s="8" t="s">
        <v>1711</v>
      </c>
      <c r="L5" s="8" t="s">
        <v>1712</v>
      </c>
    </row>
    <row r="6" spans="2:12" s="8" customFormat="1" x14ac:dyDescent="0.25">
      <c r="B6" s="8" t="s">
        <v>104</v>
      </c>
      <c r="C6" s="8" t="s">
        <v>1713</v>
      </c>
      <c r="D6" s="8" t="s">
        <v>1714</v>
      </c>
      <c r="E6" s="8" t="s">
        <v>1698</v>
      </c>
      <c r="F6" s="8">
        <v>2</v>
      </c>
      <c r="G6" s="15">
        <v>44796</v>
      </c>
      <c r="H6" s="8" t="s">
        <v>1715</v>
      </c>
      <c r="I6" s="8" t="s">
        <v>1700</v>
      </c>
    </row>
    <row r="7" spans="2:12" s="8" customFormat="1" x14ac:dyDescent="0.25">
      <c r="B7" s="8" t="s">
        <v>1716</v>
      </c>
      <c r="C7" s="8" t="s">
        <v>1717</v>
      </c>
      <c r="D7" s="8" t="s">
        <v>1718</v>
      </c>
      <c r="E7" s="8" t="s">
        <v>1719</v>
      </c>
      <c r="F7" s="8">
        <v>1</v>
      </c>
      <c r="G7" s="15">
        <v>44774</v>
      </c>
      <c r="H7" s="8" t="s">
        <v>1720</v>
      </c>
      <c r="I7" s="8" t="s">
        <v>1711</v>
      </c>
      <c r="L7" s="12" t="s">
        <v>1721</v>
      </c>
    </row>
    <row r="8" spans="2:12" s="8" customFormat="1" x14ac:dyDescent="0.25">
      <c r="B8" s="8" t="s">
        <v>47</v>
      </c>
      <c r="C8" s="8" t="s">
        <v>1722</v>
      </c>
      <c r="D8" s="8" t="s">
        <v>1718</v>
      </c>
      <c r="E8" s="8" t="s">
        <v>1698</v>
      </c>
      <c r="F8" s="8">
        <v>1</v>
      </c>
      <c r="G8" s="15">
        <v>44788</v>
      </c>
      <c r="H8" s="8" t="s">
        <v>1723</v>
      </c>
      <c r="I8" s="8" t="s">
        <v>1700</v>
      </c>
      <c r="L8" s="8" t="s">
        <v>1724</v>
      </c>
    </row>
    <row r="9" spans="2:12" s="8" customFormat="1" x14ac:dyDescent="0.25">
      <c r="B9" s="8" t="s">
        <v>32</v>
      </c>
      <c r="C9" s="8" t="s">
        <v>1725</v>
      </c>
      <c r="D9" s="8" t="s">
        <v>1708</v>
      </c>
      <c r="E9" s="8" t="s">
        <v>1698</v>
      </c>
      <c r="F9" s="8">
        <v>1</v>
      </c>
      <c r="G9" s="15">
        <v>44797</v>
      </c>
      <c r="H9" s="8" t="s">
        <v>1726</v>
      </c>
      <c r="I9" s="8" t="s">
        <v>1700</v>
      </c>
    </row>
    <row r="10" spans="2:12" s="8" customFormat="1" x14ac:dyDescent="0.25">
      <c r="B10" s="8" t="s">
        <v>104</v>
      </c>
      <c r="C10" s="8" t="s">
        <v>1727</v>
      </c>
      <c r="D10" s="8" t="s">
        <v>1728</v>
      </c>
      <c r="E10" s="8" t="s">
        <v>1698</v>
      </c>
      <c r="F10" s="8">
        <v>1</v>
      </c>
      <c r="G10" s="15">
        <v>44812</v>
      </c>
      <c r="H10" s="8" t="s">
        <v>1729</v>
      </c>
      <c r="I10" s="8" t="s">
        <v>1711</v>
      </c>
    </row>
    <row r="11" spans="2:12" s="8" customFormat="1" x14ac:dyDescent="0.25">
      <c r="B11" s="8" t="s">
        <v>247</v>
      </c>
      <c r="C11" s="8" t="s">
        <v>1730</v>
      </c>
      <c r="D11" s="8" t="s">
        <v>1697</v>
      </c>
      <c r="E11" s="8" t="s">
        <v>1698</v>
      </c>
      <c r="G11" s="15">
        <v>44768</v>
      </c>
      <c r="H11" s="8" t="s">
        <v>1731</v>
      </c>
      <c r="I11" s="8" t="s">
        <v>1700</v>
      </c>
    </row>
    <row r="12" spans="2:12" s="8" customFormat="1" x14ac:dyDescent="0.25">
      <c r="B12" s="8" t="s">
        <v>136</v>
      </c>
      <c r="C12" s="8" t="s">
        <v>1732</v>
      </c>
      <c r="D12" s="8" t="s">
        <v>1714</v>
      </c>
      <c r="E12" s="8" t="s">
        <v>1733</v>
      </c>
      <c r="F12" s="8">
        <v>2</v>
      </c>
      <c r="G12" s="15">
        <v>44809</v>
      </c>
      <c r="H12" s="8" t="s">
        <v>1734</v>
      </c>
      <c r="I12" s="8" t="s">
        <v>1700</v>
      </c>
      <c r="L12" s="8" t="s">
        <v>1735</v>
      </c>
    </row>
    <row r="13" spans="2:12" s="8" customFormat="1" x14ac:dyDescent="0.25">
      <c r="B13" s="8" t="s">
        <v>247</v>
      </c>
      <c r="C13" s="8" t="s">
        <v>1730</v>
      </c>
      <c r="D13" s="8" t="s">
        <v>1697</v>
      </c>
      <c r="E13" s="8" t="s">
        <v>1698</v>
      </c>
      <c r="G13" s="15">
        <v>44769</v>
      </c>
      <c r="H13" s="8" t="s">
        <v>1699</v>
      </c>
      <c r="I13" s="8" t="s">
        <v>1700</v>
      </c>
    </row>
    <row r="14" spans="2:12" s="8" customFormat="1" x14ac:dyDescent="0.25">
      <c r="B14" s="8" t="s">
        <v>1736</v>
      </c>
      <c r="C14" s="8">
        <v>3494</v>
      </c>
      <c r="D14" s="8" t="s">
        <v>1697</v>
      </c>
      <c r="E14" s="8" t="s">
        <v>1733</v>
      </c>
      <c r="G14" s="15">
        <v>44781</v>
      </c>
      <c r="H14" s="8" t="s">
        <v>1699</v>
      </c>
      <c r="I14" s="8" t="s">
        <v>1700</v>
      </c>
      <c r="L14" s="8" t="s">
        <v>1737</v>
      </c>
    </row>
    <row r="15" spans="2:12" s="8" customFormat="1" x14ac:dyDescent="0.25">
      <c r="B15" s="8" t="s">
        <v>55</v>
      </c>
      <c r="C15" s="8" t="s">
        <v>1738</v>
      </c>
      <c r="D15" s="8" t="s">
        <v>1718</v>
      </c>
      <c r="E15" s="8" t="s">
        <v>1698</v>
      </c>
      <c r="F15" s="8">
        <v>1</v>
      </c>
      <c r="G15" s="15">
        <v>44790</v>
      </c>
      <c r="H15" s="8" t="s">
        <v>1739</v>
      </c>
      <c r="I15" s="8" t="s">
        <v>1700</v>
      </c>
      <c r="L15" s="8" t="s">
        <v>1740</v>
      </c>
    </row>
    <row r="16" spans="2:12" s="8" customFormat="1" x14ac:dyDescent="0.25">
      <c r="B16" s="8" t="s">
        <v>163</v>
      </c>
      <c r="C16" s="8" t="s">
        <v>1741</v>
      </c>
      <c r="D16" s="8" t="s">
        <v>1708</v>
      </c>
      <c r="E16" s="8" t="s">
        <v>1733</v>
      </c>
      <c r="F16" s="8">
        <v>1</v>
      </c>
      <c r="G16" s="15">
        <v>44788</v>
      </c>
      <c r="H16" s="8" t="s">
        <v>1742</v>
      </c>
      <c r="I16" s="8" t="s">
        <v>1700</v>
      </c>
    </row>
    <row r="17" spans="2:12" s="8" customFormat="1" x14ac:dyDescent="0.25">
      <c r="B17" s="8" t="s">
        <v>32</v>
      </c>
      <c r="C17" s="8" t="s">
        <v>1743</v>
      </c>
      <c r="D17" s="8" t="s">
        <v>1708</v>
      </c>
      <c r="E17" s="8" t="s">
        <v>1744</v>
      </c>
      <c r="F17" s="8">
        <v>1</v>
      </c>
      <c r="G17" s="15">
        <v>44788</v>
      </c>
      <c r="H17" s="8" t="s">
        <v>1745</v>
      </c>
      <c r="I17" s="8" t="s">
        <v>1700</v>
      </c>
    </row>
    <row r="18" spans="2:12" s="8" customFormat="1" x14ac:dyDescent="0.25">
      <c r="B18" s="8" t="s">
        <v>32</v>
      </c>
      <c r="C18" s="8" t="s">
        <v>1746</v>
      </c>
      <c r="D18" s="8" t="s">
        <v>1718</v>
      </c>
      <c r="E18" s="8" t="s">
        <v>1747</v>
      </c>
      <c r="F18" s="8">
        <v>1</v>
      </c>
      <c r="G18" s="15">
        <v>44789</v>
      </c>
      <c r="H18" s="8" t="s">
        <v>1705</v>
      </c>
      <c r="I18" s="8" t="s">
        <v>1711</v>
      </c>
      <c r="L18" s="12" t="s">
        <v>1748</v>
      </c>
    </row>
    <row r="19" spans="2:12" s="8" customFormat="1" x14ac:dyDescent="0.25">
      <c r="B19" s="8" t="s">
        <v>1749</v>
      </c>
      <c r="C19" s="8" t="s">
        <v>1705</v>
      </c>
      <c r="D19" s="8" t="s">
        <v>1718</v>
      </c>
      <c r="E19" s="8" t="s">
        <v>1698</v>
      </c>
      <c r="F19" s="8">
        <v>1</v>
      </c>
      <c r="G19" s="15">
        <v>44817</v>
      </c>
      <c r="H19" s="8" t="s">
        <v>1750</v>
      </c>
      <c r="I19" s="8" t="s">
        <v>1711</v>
      </c>
      <c r="L19" s="12" t="s">
        <v>1751</v>
      </c>
    </row>
    <row r="20" spans="2:12" s="8" customFormat="1" x14ac:dyDescent="0.25">
      <c r="B20" s="8" t="s">
        <v>104</v>
      </c>
      <c r="C20" s="8" t="s">
        <v>1752</v>
      </c>
      <c r="D20" s="8" t="s">
        <v>1714</v>
      </c>
      <c r="E20" s="8" t="s">
        <v>1698</v>
      </c>
      <c r="F20" s="8">
        <v>2</v>
      </c>
      <c r="G20" s="15">
        <v>44799</v>
      </c>
      <c r="H20" s="8" t="s">
        <v>1753</v>
      </c>
      <c r="I20" s="8" t="s">
        <v>1711</v>
      </c>
      <c r="L20" s="8" t="s">
        <v>1754</v>
      </c>
    </row>
    <row r="21" spans="2:12" s="8" customFormat="1" x14ac:dyDescent="0.25">
      <c r="B21" s="8" t="s">
        <v>104</v>
      </c>
      <c r="C21" s="8" t="s">
        <v>1727</v>
      </c>
      <c r="D21" s="8" t="s">
        <v>1718</v>
      </c>
      <c r="E21" s="8" t="s">
        <v>1698</v>
      </c>
      <c r="F21" s="8">
        <v>2</v>
      </c>
      <c r="G21" s="15">
        <v>44813</v>
      </c>
      <c r="H21" s="8" t="s">
        <v>1755</v>
      </c>
      <c r="I21" s="8" t="s">
        <v>1700</v>
      </c>
      <c r="J21" s="8" t="s">
        <v>105</v>
      </c>
      <c r="L21" s="12" t="s">
        <v>1756</v>
      </c>
    </row>
    <row r="22" spans="2:12" s="8" customFormat="1" x14ac:dyDescent="0.25">
      <c r="B22" s="8" t="s">
        <v>1757</v>
      </c>
      <c r="C22" s="8" t="s">
        <v>1758</v>
      </c>
      <c r="D22" s="8" t="s">
        <v>1714</v>
      </c>
      <c r="E22" s="8" t="s">
        <v>1698</v>
      </c>
      <c r="F22" s="8">
        <v>1</v>
      </c>
      <c r="G22" s="15">
        <v>44789</v>
      </c>
      <c r="H22" s="8" t="s">
        <v>1759</v>
      </c>
      <c r="I22" s="8" t="s">
        <v>1700</v>
      </c>
    </row>
    <row r="23" spans="2:12" s="8" customFormat="1" x14ac:dyDescent="0.25">
      <c r="B23" s="8" t="s">
        <v>126</v>
      </c>
      <c r="C23" s="8" t="s">
        <v>1760</v>
      </c>
      <c r="D23" s="8" t="s">
        <v>1714</v>
      </c>
      <c r="E23" s="8" t="s">
        <v>1761</v>
      </c>
      <c r="F23" s="8">
        <v>1</v>
      </c>
      <c r="G23" s="15">
        <v>44806</v>
      </c>
      <c r="H23" s="8" t="s">
        <v>1762</v>
      </c>
      <c r="I23" s="8" t="s">
        <v>1711</v>
      </c>
      <c r="J23" s="8" t="s">
        <v>232</v>
      </c>
    </row>
    <row r="24" spans="2:12" s="8" customFormat="1" x14ac:dyDescent="0.25">
      <c r="B24" s="8" t="s">
        <v>126</v>
      </c>
      <c r="C24" s="8" t="s">
        <v>1763</v>
      </c>
      <c r="D24" s="8" t="s">
        <v>1714</v>
      </c>
      <c r="E24" s="8" t="s">
        <v>1764</v>
      </c>
      <c r="F24" s="8">
        <v>2</v>
      </c>
      <c r="G24" s="15">
        <v>44841</v>
      </c>
      <c r="H24" s="8" t="s">
        <v>1765</v>
      </c>
      <c r="I24" s="8" t="s">
        <v>1711</v>
      </c>
      <c r="L24" s="12"/>
    </row>
    <row r="25" spans="2:12" s="8" customFormat="1" x14ac:dyDescent="0.25">
      <c r="B25" s="8" t="s">
        <v>104</v>
      </c>
      <c r="C25" s="8" t="s">
        <v>1766</v>
      </c>
      <c r="D25" s="8" t="s">
        <v>1718</v>
      </c>
      <c r="E25" s="8" t="s">
        <v>1698</v>
      </c>
      <c r="F25" s="8">
        <v>1</v>
      </c>
      <c r="G25" s="15">
        <v>44791</v>
      </c>
      <c r="H25" s="8" t="s">
        <v>1766</v>
      </c>
      <c r="I25" s="8" t="s">
        <v>1700</v>
      </c>
      <c r="L25" s="8" t="s">
        <v>1767</v>
      </c>
    </row>
    <row r="26" spans="2:12" s="8" customFormat="1" x14ac:dyDescent="0.25">
      <c r="B26" s="8" t="s">
        <v>32</v>
      </c>
      <c r="C26" s="8" t="s">
        <v>1743</v>
      </c>
      <c r="D26" s="8" t="s">
        <v>1768</v>
      </c>
      <c r="E26" s="8" t="s">
        <v>645</v>
      </c>
      <c r="F26" s="8">
        <v>2</v>
      </c>
      <c r="G26" s="15">
        <v>44769</v>
      </c>
      <c r="H26" s="8" t="s">
        <v>1769</v>
      </c>
      <c r="I26" s="8" t="s">
        <v>1700</v>
      </c>
      <c r="L26" s="8" t="s">
        <v>1770</v>
      </c>
    </row>
    <row r="27" spans="2:12" s="8" customFormat="1" x14ac:dyDescent="0.25">
      <c r="B27" s="8" t="s">
        <v>126</v>
      </c>
      <c r="C27" s="8" t="s">
        <v>1771</v>
      </c>
      <c r="D27" s="8" t="s">
        <v>1714</v>
      </c>
      <c r="E27" s="8" t="s">
        <v>1764</v>
      </c>
      <c r="F27" s="8">
        <v>1</v>
      </c>
      <c r="G27" s="15">
        <v>44823</v>
      </c>
      <c r="H27" s="8" t="s">
        <v>1772</v>
      </c>
      <c r="I27" s="8" t="s">
        <v>1711</v>
      </c>
      <c r="L27" s="8" t="s">
        <v>1773</v>
      </c>
    </row>
    <row r="28" spans="2:12" s="8" customFormat="1" x14ac:dyDescent="0.25">
      <c r="B28" s="8" t="s">
        <v>126</v>
      </c>
      <c r="C28" s="8" t="s">
        <v>1774</v>
      </c>
      <c r="D28" s="8" t="s">
        <v>1714</v>
      </c>
      <c r="E28" s="8" t="s">
        <v>1764</v>
      </c>
      <c r="F28" s="8">
        <v>4</v>
      </c>
      <c r="G28" s="15">
        <v>44876</v>
      </c>
      <c r="H28" s="8" t="s">
        <v>1775</v>
      </c>
      <c r="I28" s="8" t="s">
        <v>1711</v>
      </c>
      <c r="L28" s="12" t="s">
        <v>1776</v>
      </c>
    </row>
    <row r="29" spans="2:12" s="8" customFormat="1" x14ac:dyDescent="0.25">
      <c r="B29" s="8" t="s">
        <v>1777</v>
      </c>
      <c r="C29" s="8" t="s">
        <v>1778</v>
      </c>
      <c r="D29" s="8" t="s">
        <v>1708</v>
      </c>
      <c r="E29" s="8" t="s">
        <v>1744</v>
      </c>
      <c r="F29" s="8">
        <v>1</v>
      </c>
      <c r="G29" s="15">
        <v>44788</v>
      </c>
      <c r="H29" s="8" t="s">
        <v>1779</v>
      </c>
      <c r="I29" s="8" t="s">
        <v>1700</v>
      </c>
      <c r="L29" s="8" t="s">
        <v>1780</v>
      </c>
    </row>
    <row r="30" spans="2:12" s="8" customFormat="1" x14ac:dyDescent="0.25">
      <c r="B30" s="8" t="s">
        <v>126</v>
      </c>
      <c r="C30" s="8" t="s">
        <v>1781</v>
      </c>
      <c r="D30" s="8" t="s">
        <v>1714</v>
      </c>
      <c r="E30" s="8" t="s">
        <v>1764</v>
      </c>
      <c r="F30" s="8">
        <v>2</v>
      </c>
      <c r="G30" s="15">
        <v>44844</v>
      </c>
      <c r="H30" s="8" t="s">
        <v>1782</v>
      </c>
      <c r="I30" s="8" t="s">
        <v>1711</v>
      </c>
      <c r="L30" s="12"/>
    </row>
    <row r="31" spans="2:12" s="8" customFormat="1" x14ac:dyDescent="0.25">
      <c r="B31" s="8" t="s">
        <v>1783</v>
      </c>
      <c r="C31" s="8" t="s">
        <v>1784</v>
      </c>
      <c r="D31" s="8" t="s">
        <v>1708</v>
      </c>
      <c r="E31" s="8" t="s">
        <v>1698</v>
      </c>
      <c r="F31" s="8">
        <v>1</v>
      </c>
      <c r="G31" s="15">
        <v>44813</v>
      </c>
      <c r="H31" s="8" t="s">
        <v>1731</v>
      </c>
      <c r="I31" s="8" t="s">
        <v>1711</v>
      </c>
      <c r="L31" s="8" t="s">
        <v>1785</v>
      </c>
    </row>
    <row r="32" spans="2:12" s="8" customFormat="1" x14ac:dyDescent="0.25">
      <c r="B32" s="8" t="s">
        <v>32</v>
      </c>
      <c r="C32" s="8" t="s">
        <v>1786</v>
      </c>
      <c r="D32" s="8" t="s">
        <v>1708</v>
      </c>
      <c r="E32" s="8" t="s">
        <v>1744</v>
      </c>
      <c r="F32" s="8">
        <v>1</v>
      </c>
      <c r="G32" s="15">
        <v>44789</v>
      </c>
      <c r="H32" s="8" t="s">
        <v>1787</v>
      </c>
      <c r="I32" s="8" t="s">
        <v>1700</v>
      </c>
    </row>
    <row r="33" spans="2:12" s="8" customFormat="1" x14ac:dyDescent="0.25">
      <c r="B33" s="8" t="s">
        <v>1777</v>
      </c>
      <c r="C33" s="8" t="s">
        <v>1788</v>
      </c>
      <c r="D33" s="8" t="s">
        <v>1708</v>
      </c>
      <c r="E33" s="8" t="s">
        <v>1744</v>
      </c>
      <c r="F33" s="8">
        <v>1</v>
      </c>
      <c r="G33" s="15">
        <v>44795</v>
      </c>
      <c r="H33" s="8" t="s">
        <v>1789</v>
      </c>
      <c r="I33" s="8" t="s">
        <v>1700</v>
      </c>
      <c r="L33" s="8" t="s">
        <v>1790</v>
      </c>
    </row>
    <row r="34" spans="2:12" s="8" customFormat="1" x14ac:dyDescent="0.25">
      <c r="B34" s="8" t="s">
        <v>1791</v>
      </c>
      <c r="C34" s="8" t="s">
        <v>1792</v>
      </c>
      <c r="D34" s="8" t="s">
        <v>1793</v>
      </c>
      <c r="E34" s="8" t="s">
        <v>1698</v>
      </c>
      <c r="F34" s="8">
        <v>2</v>
      </c>
      <c r="G34" s="15">
        <v>44788</v>
      </c>
      <c r="H34" s="8" t="s">
        <v>1792</v>
      </c>
      <c r="I34" s="8" t="s">
        <v>1700</v>
      </c>
    </row>
    <row r="35" spans="2:12" s="8" customFormat="1" x14ac:dyDescent="0.25">
      <c r="B35" s="8" t="s">
        <v>32</v>
      </c>
      <c r="C35" s="8" t="s">
        <v>1794</v>
      </c>
      <c r="D35" s="8" t="s">
        <v>1697</v>
      </c>
      <c r="E35" s="8" t="s">
        <v>1744</v>
      </c>
      <c r="F35" s="8">
        <v>2</v>
      </c>
      <c r="G35" s="15">
        <v>44792</v>
      </c>
      <c r="H35" s="8" t="s">
        <v>1795</v>
      </c>
      <c r="I35" s="8" t="s">
        <v>1700</v>
      </c>
    </row>
    <row r="36" spans="2:12" s="8" customFormat="1" x14ac:dyDescent="0.25">
      <c r="B36" s="8" t="s">
        <v>43</v>
      </c>
      <c r="C36" s="8" t="s">
        <v>1796</v>
      </c>
      <c r="D36" s="8" t="s">
        <v>1718</v>
      </c>
      <c r="E36" s="8" t="s">
        <v>1698</v>
      </c>
      <c r="F36" s="8">
        <v>1</v>
      </c>
      <c r="G36" s="15">
        <v>44797</v>
      </c>
      <c r="H36" s="8" t="s">
        <v>1797</v>
      </c>
      <c r="I36" s="8" t="s">
        <v>1711</v>
      </c>
      <c r="L36" s="12" t="s">
        <v>1798</v>
      </c>
    </row>
    <row r="37" spans="2:12" s="8" customFormat="1" x14ac:dyDescent="0.25">
      <c r="B37" s="8" t="s">
        <v>32</v>
      </c>
      <c r="C37" s="8" t="s">
        <v>1799</v>
      </c>
      <c r="D37" s="8" t="s">
        <v>1708</v>
      </c>
      <c r="E37" s="8" t="s">
        <v>1744</v>
      </c>
      <c r="F37" s="8">
        <v>2</v>
      </c>
      <c r="G37" s="15">
        <v>44792</v>
      </c>
      <c r="H37" s="8" t="s">
        <v>1800</v>
      </c>
      <c r="I37" s="8" t="s">
        <v>1700</v>
      </c>
      <c r="L37" s="8" t="s">
        <v>1801</v>
      </c>
    </row>
    <row r="38" spans="2:12" s="8" customFormat="1" x14ac:dyDescent="0.25">
      <c r="B38" s="8" t="s">
        <v>32</v>
      </c>
      <c r="C38" s="8" t="s">
        <v>1743</v>
      </c>
      <c r="D38" s="8" t="s">
        <v>1708</v>
      </c>
      <c r="E38" s="8" t="s">
        <v>1802</v>
      </c>
      <c r="F38" s="8">
        <v>1</v>
      </c>
      <c r="G38" s="15">
        <v>44790</v>
      </c>
      <c r="H38" s="8" t="s">
        <v>1803</v>
      </c>
      <c r="I38" s="8" t="s">
        <v>1700</v>
      </c>
      <c r="L38" s="8" t="s">
        <v>1804</v>
      </c>
    </row>
    <row r="39" spans="2:12" s="8" customFormat="1" x14ac:dyDescent="0.25">
      <c r="B39" s="8" t="s">
        <v>32</v>
      </c>
      <c r="C39" s="8" t="s">
        <v>1805</v>
      </c>
      <c r="D39" s="8" t="s">
        <v>1708</v>
      </c>
      <c r="E39" s="8" t="s">
        <v>1744</v>
      </c>
      <c r="F39" s="8">
        <v>2</v>
      </c>
      <c r="G39" s="15">
        <v>44792</v>
      </c>
      <c r="H39" s="8" t="s">
        <v>1806</v>
      </c>
      <c r="I39" s="8" t="s">
        <v>1700</v>
      </c>
      <c r="L39" s="8" t="s">
        <v>1807</v>
      </c>
    </row>
    <row r="40" spans="2:12" s="8" customFormat="1" x14ac:dyDescent="0.25">
      <c r="B40" s="8" t="s">
        <v>32</v>
      </c>
      <c r="C40" s="8" t="s">
        <v>1805</v>
      </c>
      <c r="D40" s="8" t="s">
        <v>1808</v>
      </c>
      <c r="E40" s="8" t="s">
        <v>1809</v>
      </c>
      <c r="F40" s="8">
        <v>3</v>
      </c>
      <c r="G40" s="15">
        <v>44785</v>
      </c>
      <c r="H40" s="8" t="s">
        <v>1810</v>
      </c>
      <c r="I40" s="8" t="s">
        <v>1700</v>
      </c>
      <c r="L40" s="8" t="s">
        <v>1807</v>
      </c>
    </row>
    <row r="41" spans="2:12" s="8" customFormat="1" x14ac:dyDescent="0.25">
      <c r="B41" s="8" t="s">
        <v>32</v>
      </c>
      <c r="C41" s="8" t="s">
        <v>1743</v>
      </c>
      <c r="D41" s="8" t="s">
        <v>1718</v>
      </c>
      <c r="E41" s="8" t="s">
        <v>1733</v>
      </c>
      <c r="F41" s="8">
        <v>1</v>
      </c>
      <c r="G41" s="15">
        <v>44802</v>
      </c>
      <c r="H41" s="8" t="s">
        <v>1811</v>
      </c>
      <c r="I41" s="8" t="s">
        <v>1700</v>
      </c>
      <c r="L41" s="8" t="s">
        <v>1812</v>
      </c>
    </row>
    <row r="42" spans="2:12" s="8" customFormat="1" x14ac:dyDescent="0.25">
      <c r="B42" s="8" t="s">
        <v>243</v>
      </c>
      <c r="C42" s="8">
        <v>3417</v>
      </c>
      <c r="D42" s="8" t="s">
        <v>1718</v>
      </c>
      <c r="E42" s="8" t="s">
        <v>1698</v>
      </c>
      <c r="G42" s="15">
        <v>44783</v>
      </c>
      <c r="H42" s="8" t="s">
        <v>1797</v>
      </c>
      <c r="I42" s="8" t="s">
        <v>1700</v>
      </c>
    </row>
    <row r="43" spans="2:12" s="8" customFormat="1" x14ac:dyDescent="0.25">
      <c r="B43" s="8" t="s">
        <v>243</v>
      </c>
      <c r="C43" s="8">
        <v>3417</v>
      </c>
      <c r="D43" s="8" t="s">
        <v>1718</v>
      </c>
      <c r="E43" s="8" t="s">
        <v>1698</v>
      </c>
      <c r="G43" s="15">
        <v>44783</v>
      </c>
      <c r="H43" s="8" t="s">
        <v>1813</v>
      </c>
      <c r="I43" s="8" t="s">
        <v>1700</v>
      </c>
    </row>
    <row r="44" spans="2:12" s="8" customFormat="1" x14ac:dyDescent="0.25">
      <c r="B44" s="8" t="s">
        <v>32</v>
      </c>
      <c r="C44" s="8" t="s">
        <v>1814</v>
      </c>
      <c r="D44" s="8" t="s">
        <v>1708</v>
      </c>
      <c r="E44" s="8" t="s">
        <v>1802</v>
      </c>
      <c r="F44" s="8">
        <v>1</v>
      </c>
      <c r="G44" s="15">
        <v>44795</v>
      </c>
      <c r="H44" s="8" t="s">
        <v>1815</v>
      </c>
      <c r="I44" s="8" t="s">
        <v>1700</v>
      </c>
      <c r="L44" s="8" t="s">
        <v>1816</v>
      </c>
    </row>
    <row r="45" spans="2:12" s="8" customFormat="1" x14ac:dyDescent="0.25">
      <c r="B45" s="8" t="s">
        <v>168</v>
      </c>
      <c r="C45" s="8" t="s">
        <v>1817</v>
      </c>
      <c r="D45" s="8" t="s">
        <v>1818</v>
      </c>
      <c r="E45" s="8" t="s">
        <v>1733</v>
      </c>
      <c r="F45" s="8">
        <v>1</v>
      </c>
      <c r="G45" s="15">
        <v>44795</v>
      </c>
      <c r="H45" s="8" t="s">
        <v>1819</v>
      </c>
      <c r="I45" s="8" t="s">
        <v>1700</v>
      </c>
      <c r="L45" s="8" t="s">
        <v>1820</v>
      </c>
    </row>
    <row r="46" spans="2:12" s="8" customFormat="1" x14ac:dyDescent="0.25">
      <c r="B46" s="8" t="s">
        <v>1821</v>
      </c>
      <c r="C46" s="8" t="s">
        <v>1822</v>
      </c>
      <c r="D46" s="8" t="s">
        <v>1768</v>
      </c>
      <c r="E46" s="8" t="s">
        <v>645</v>
      </c>
      <c r="F46" s="8">
        <v>1</v>
      </c>
      <c r="G46" s="15">
        <v>44795</v>
      </c>
      <c r="H46" s="8" t="s">
        <v>1823</v>
      </c>
      <c r="I46" s="8" t="s">
        <v>1711</v>
      </c>
      <c r="L46" s="12" t="s">
        <v>1824</v>
      </c>
    </row>
    <row r="47" spans="2:12" s="8" customFormat="1" x14ac:dyDescent="0.25">
      <c r="B47" s="8" t="s">
        <v>32</v>
      </c>
      <c r="C47" s="8" t="s">
        <v>1825</v>
      </c>
      <c r="D47" s="8" t="s">
        <v>1714</v>
      </c>
      <c r="E47" s="8" t="s">
        <v>1698</v>
      </c>
      <c r="F47" s="8">
        <v>1</v>
      </c>
      <c r="G47" s="15">
        <v>44805</v>
      </c>
      <c r="H47" s="8" t="s">
        <v>1826</v>
      </c>
      <c r="I47" s="8" t="s">
        <v>1700</v>
      </c>
      <c r="L47" s="8" t="s">
        <v>1827</v>
      </c>
    </row>
    <row r="48" spans="2:12" s="8" customFormat="1" x14ac:dyDescent="0.25">
      <c r="B48" s="8" t="s">
        <v>163</v>
      </c>
      <c r="C48" s="8" t="s">
        <v>1741</v>
      </c>
      <c r="D48" s="8" t="s">
        <v>1714</v>
      </c>
      <c r="E48" s="8" t="s">
        <v>1698</v>
      </c>
      <c r="F48" s="8">
        <v>1</v>
      </c>
      <c r="G48" s="15">
        <v>44795</v>
      </c>
      <c r="H48" s="8" t="s">
        <v>1828</v>
      </c>
      <c r="I48" s="8" t="s">
        <v>1700</v>
      </c>
      <c r="L48" s="8" t="s">
        <v>1829</v>
      </c>
    </row>
    <row r="49" spans="2:12" s="8" customFormat="1" x14ac:dyDescent="0.25">
      <c r="B49" s="8" t="s">
        <v>243</v>
      </c>
      <c r="C49" s="8" t="s">
        <v>1830</v>
      </c>
      <c r="D49" s="8" t="s">
        <v>1714</v>
      </c>
      <c r="E49" s="8" t="s">
        <v>1698</v>
      </c>
      <c r="F49" s="8">
        <v>1</v>
      </c>
      <c r="G49" s="15">
        <v>44788</v>
      </c>
      <c r="H49" s="8" t="s">
        <v>1831</v>
      </c>
      <c r="I49" s="8" t="s">
        <v>1700</v>
      </c>
      <c r="L49" s="8" t="s">
        <v>1832</v>
      </c>
    </row>
    <row r="50" spans="2:12" s="8" customFormat="1" x14ac:dyDescent="0.25">
      <c r="B50" s="8" t="s">
        <v>104</v>
      </c>
      <c r="C50" s="8" t="s">
        <v>1833</v>
      </c>
      <c r="D50" s="8" t="s">
        <v>1718</v>
      </c>
      <c r="E50" s="8" t="s">
        <v>1698</v>
      </c>
      <c r="F50" s="8">
        <v>3</v>
      </c>
      <c r="G50" s="15">
        <v>44816</v>
      </c>
      <c r="H50" s="8" t="s">
        <v>1833</v>
      </c>
      <c r="I50" s="8" t="s">
        <v>1700</v>
      </c>
      <c r="L50" s="12" t="s">
        <v>1834</v>
      </c>
    </row>
    <row r="51" spans="2:12" s="8" customFormat="1" x14ac:dyDescent="0.25">
      <c r="B51" s="8" t="s">
        <v>411</v>
      </c>
      <c r="C51" s="8" t="s">
        <v>1835</v>
      </c>
      <c r="D51" s="8" t="s">
        <v>1714</v>
      </c>
      <c r="E51" s="8" t="s">
        <v>1698</v>
      </c>
      <c r="F51" s="8">
        <v>1</v>
      </c>
      <c r="G51" s="15">
        <v>44797</v>
      </c>
      <c r="H51" s="8" t="s">
        <v>1836</v>
      </c>
      <c r="I51" s="8" t="s">
        <v>1700</v>
      </c>
    </row>
    <row r="52" spans="2:12" s="8" customFormat="1" x14ac:dyDescent="0.25">
      <c r="B52" s="8" t="s">
        <v>32</v>
      </c>
      <c r="C52" s="8" t="s">
        <v>1837</v>
      </c>
      <c r="D52" s="8" t="s">
        <v>1708</v>
      </c>
      <c r="E52" s="8" t="s">
        <v>1802</v>
      </c>
      <c r="F52" s="8">
        <v>1</v>
      </c>
      <c r="G52" s="15">
        <v>44796</v>
      </c>
      <c r="H52" s="8" t="s">
        <v>1838</v>
      </c>
      <c r="I52" s="8" t="s">
        <v>1700</v>
      </c>
      <c r="L52" s="8" t="s">
        <v>1839</v>
      </c>
    </row>
    <row r="53" spans="2:12" s="8" customFormat="1" x14ac:dyDescent="0.25">
      <c r="B53" s="8" t="s">
        <v>1695</v>
      </c>
      <c r="C53" s="8" t="s">
        <v>1840</v>
      </c>
      <c r="D53" s="8" t="s">
        <v>1714</v>
      </c>
      <c r="E53" s="8" t="s">
        <v>1698</v>
      </c>
      <c r="F53" s="8">
        <v>1</v>
      </c>
      <c r="G53" s="15">
        <v>44775</v>
      </c>
      <c r="H53" s="8" t="s">
        <v>1841</v>
      </c>
      <c r="I53" s="8" t="s">
        <v>1700</v>
      </c>
    </row>
    <row r="54" spans="2:12" s="8" customFormat="1" x14ac:dyDescent="0.25">
      <c r="B54" s="8" t="s">
        <v>742</v>
      </c>
      <c r="C54" s="8" t="s">
        <v>1842</v>
      </c>
      <c r="D54" s="8" t="s">
        <v>1718</v>
      </c>
      <c r="E54" s="8" t="s">
        <v>1764</v>
      </c>
      <c r="F54" s="8">
        <v>1</v>
      </c>
      <c r="G54" s="15">
        <v>44788</v>
      </c>
      <c r="H54" s="8" t="s">
        <v>1843</v>
      </c>
      <c r="I54" s="8" t="s">
        <v>1700</v>
      </c>
    </row>
    <row r="55" spans="2:12" s="8" customFormat="1" x14ac:dyDescent="0.25">
      <c r="B55" s="8" t="s">
        <v>1783</v>
      </c>
      <c r="C55" s="8" t="s">
        <v>1784</v>
      </c>
      <c r="D55" s="8" t="s">
        <v>1708</v>
      </c>
      <c r="E55" s="8" t="s">
        <v>1698</v>
      </c>
      <c r="G55" s="15">
        <v>44781</v>
      </c>
      <c r="H55" s="8" t="s">
        <v>1844</v>
      </c>
      <c r="I55" s="8" t="s">
        <v>1700</v>
      </c>
    </row>
    <row r="56" spans="2:12" s="8" customFormat="1" x14ac:dyDescent="0.25">
      <c r="B56" s="8" t="s">
        <v>329</v>
      </c>
      <c r="C56" s="8" t="s">
        <v>1845</v>
      </c>
      <c r="D56" s="8" t="s">
        <v>1708</v>
      </c>
      <c r="E56" s="8" t="s">
        <v>1698</v>
      </c>
      <c r="F56" s="8">
        <v>1</v>
      </c>
      <c r="G56" s="15">
        <v>44795</v>
      </c>
      <c r="H56" s="8" t="s">
        <v>1846</v>
      </c>
      <c r="I56" s="8" t="s">
        <v>1700</v>
      </c>
    </row>
    <row r="57" spans="2:12" s="8" customFormat="1" x14ac:dyDescent="0.25">
      <c r="B57" s="8" t="s">
        <v>168</v>
      </c>
      <c r="C57" s="8" t="s">
        <v>1817</v>
      </c>
      <c r="D57" s="8" t="s">
        <v>1708</v>
      </c>
      <c r="E57" s="8" t="s">
        <v>1744</v>
      </c>
      <c r="F57" s="8">
        <v>1</v>
      </c>
      <c r="G57" s="15">
        <v>44795</v>
      </c>
      <c r="H57" s="8" t="s">
        <v>1847</v>
      </c>
      <c r="I57" s="8" t="s">
        <v>1700</v>
      </c>
    </row>
    <row r="58" spans="2:12" s="8" customFormat="1" x14ac:dyDescent="0.25">
      <c r="B58" s="8" t="s">
        <v>32</v>
      </c>
      <c r="C58" s="8" t="s">
        <v>1799</v>
      </c>
      <c r="D58" s="8" t="s">
        <v>1708</v>
      </c>
      <c r="E58" s="8" t="s">
        <v>1802</v>
      </c>
      <c r="F58" s="8">
        <v>1</v>
      </c>
      <c r="G58" s="15">
        <v>44788</v>
      </c>
      <c r="H58" s="8" t="s">
        <v>1848</v>
      </c>
      <c r="I58" s="8" t="s">
        <v>1700</v>
      </c>
      <c r="L58" s="8" t="s">
        <v>1849</v>
      </c>
    </row>
    <row r="59" spans="2:12" s="8" customFormat="1" x14ac:dyDescent="0.25">
      <c r="B59" s="8" t="s">
        <v>14</v>
      </c>
      <c r="C59" s="8" t="s">
        <v>1850</v>
      </c>
      <c r="D59" s="8" t="s">
        <v>1708</v>
      </c>
      <c r="E59" s="8" t="s">
        <v>1851</v>
      </c>
      <c r="F59" s="8">
        <v>1</v>
      </c>
      <c r="G59" s="15">
        <v>45001</v>
      </c>
      <c r="H59" s="8" t="s">
        <v>1852</v>
      </c>
      <c r="I59" s="8" t="s">
        <v>1711</v>
      </c>
    </row>
    <row r="60" spans="2:12" s="8" customFormat="1" x14ac:dyDescent="0.25">
      <c r="B60" s="8" t="s">
        <v>1777</v>
      </c>
      <c r="C60" s="8" t="s">
        <v>1853</v>
      </c>
      <c r="D60" s="8" t="s">
        <v>1708</v>
      </c>
      <c r="E60" s="8" t="s">
        <v>1698</v>
      </c>
      <c r="F60" s="8">
        <v>1</v>
      </c>
      <c r="G60" s="15">
        <v>44820</v>
      </c>
      <c r="H60" s="8" t="s">
        <v>1854</v>
      </c>
      <c r="I60" s="8" t="s">
        <v>1711</v>
      </c>
      <c r="L60" s="12" t="s">
        <v>1855</v>
      </c>
    </row>
    <row r="61" spans="2:12" s="8" customFormat="1" x14ac:dyDescent="0.25">
      <c r="B61" s="8" t="s">
        <v>1777</v>
      </c>
      <c r="C61" s="8" t="s">
        <v>1778</v>
      </c>
      <c r="D61" s="8" t="s">
        <v>1708</v>
      </c>
      <c r="E61" s="8" t="s">
        <v>1802</v>
      </c>
      <c r="F61" s="8">
        <v>1</v>
      </c>
      <c r="G61" s="15">
        <v>44802</v>
      </c>
      <c r="H61" s="8" t="s">
        <v>1856</v>
      </c>
      <c r="I61" s="8" t="s">
        <v>1711</v>
      </c>
      <c r="L61" s="12" t="s">
        <v>1857</v>
      </c>
    </row>
    <row r="62" spans="2:12" s="8" customFormat="1" x14ac:dyDescent="0.25">
      <c r="B62" s="8" t="s">
        <v>1783</v>
      </c>
      <c r="C62" s="8" t="s">
        <v>1784</v>
      </c>
      <c r="D62" s="8" t="s">
        <v>1708</v>
      </c>
      <c r="E62" s="8" t="s">
        <v>1744</v>
      </c>
      <c r="F62" s="8">
        <v>1</v>
      </c>
      <c r="G62" s="15">
        <v>44788</v>
      </c>
      <c r="H62" s="8" t="s">
        <v>1858</v>
      </c>
      <c r="I62" s="8" t="s">
        <v>1700</v>
      </c>
      <c r="L62" s="8" t="s">
        <v>1859</v>
      </c>
    </row>
    <row r="63" spans="2:12" s="8" customFormat="1" x14ac:dyDescent="0.25">
      <c r="B63" s="8" t="s">
        <v>168</v>
      </c>
      <c r="C63" s="8" t="s">
        <v>1860</v>
      </c>
      <c r="D63" s="8" t="s">
        <v>1718</v>
      </c>
      <c r="E63" s="8" t="s">
        <v>1698</v>
      </c>
      <c r="F63" s="8">
        <v>1</v>
      </c>
      <c r="G63" s="15">
        <v>45002</v>
      </c>
      <c r="H63" s="8" t="s">
        <v>1861</v>
      </c>
      <c r="I63" s="8" t="s">
        <v>1711</v>
      </c>
      <c r="L63" s="8" t="s">
        <v>1862</v>
      </c>
    </row>
    <row r="64" spans="2:12" s="8" customFormat="1" x14ac:dyDescent="0.25">
      <c r="B64" s="8" t="s">
        <v>104</v>
      </c>
      <c r="C64" s="8" t="s">
        <v>1727</v>
      </c>
      <c r="D64" s="8" t="s">
        <v>1818</v>
      </c>
      <c r="E64" s="8" t="s">
        <v>1698</v>
      </c>
      <c r="F64" s="8">
        <v>2</v>
      </c>
      <c r="G64" s="15">
        <v>44816</v>
      </c>
      <c r="H64" s="8" t="s">
        <v>1863</v>
      </c>
      <c r="I64" s="8" t="s">
        <v>1700</v>
      </c>
      <c r="L64" s="12" t="s">
        <v>1756</v>
      </c>
    </row>
    <row r="65" spans="2:12" s="8" customFormat="1" x14ac:dyDescent="0.25">
      <c r="B65" s="8" t="s">
        <v>55</v>
      </c>
      <c r="C65" s="8" t="s">
        <v>1864</v>
      </c>
      <c r="D65" s="8" t="s">
        <v>1714</v>
      </c>
      <c r="E65" s="8" t="s">
        <v>1865</v>
      </c>
      <c r="F65" s="8">
        <v>1</v>
      </c>
      <c r="G65" s="15">
        <v>44804</v>
      </c>
      <c r="H65" s="8" t="s">
        <v>1866</v>
      </c>
      <c r="I65" s="8" t="s">
        <v>1711</v>
      </c>
      <c r="J65" s="8" t="s">
        <v>56</v>
      </c>
      <c r="L65" s="12"/>
    </row>
    <row r="66" spans="2:12" s="8" customFormat="1" x14ac:dyDescent="0.25">
      <c r="B66" s="8" t="s">
        <v>20</v>
      </c>
      <c r="C66" s="8" t="s">
        <v>1867</v>
      </c>
      <c r="D66" s="8" t="s">
        <v>1714</v>
      </c>
      <c r="E66" s="8" t="s">
        <v>1698</v>
      </c>
      <c r="F66" s="8">
        <v>1</v>
      </c>
      <c r="G66" s="15">
        <v>44839</v>
      </c>
      <c r="H66" s="8" t="s">
        <v>1868</v>
      </c>
      <c r="I66" s="8" t="s">
        <v>1711</v>
      </c>
      <c r="J66" s="8" t="s">
        <v>21</v>
      </c>
    </row>
    <row r="67" spans="2:12" s="8" customFormat="1" x14ac:dyDescent="0.25">
      <c r="B67" s="8" t="s">
        <v>329</v>
      </c>
      <c r="C67" s="8" t="s">
        <v>1845</v>
      </c>
      <c r="D67" s="8" t="s">
        <v>1869</v>
      </c>
      <c r="E67" s="8" t="s">
        <v>1698</v>
      </c>
      <c r="F67" s="8">
        <v>1</v>
      </c>
      <c r="G67" s="15">
        <v>44775</v>
      </c>
      <c r="H67" s="8" t="s">
        <v>1845</v>
      </c>
      <c r="I67" s="8" t="s">
        <v>1700</v>
      </c>
    </row>
    <row r="68" spans="2:12" s="8" customFormat="1" x14ac:dyDescent="0.25">
      <c r="B68" s="8" t="s">
        <v>1870</v>
      </c>
      <c r="C68" s="8" t="s">
        <v>1871</v>
      </c>
      <c r="D68" s="8" t="s">
        <v>1872</v>
      </c>
      <c r="E68" s="8" t="s">
        <v>1698</v>
      </c>
      <c r="F68" s="8">
        <v>1</v>
      </c>
      <c r="G68" s="15">
        <v>44788</v>
      </c>
      <c r="H68" s="15" t="s">
        <v>1873</v>
      </c>
      <c r="I68" s="8" t="s">
        <v>1700</v>
      </c>
    </row>
    <row r="69" spans="2:12" s="8" customFormat="1" x14ac:dyDescent="0.25">
      <c r="B69" s="8" t="s">
        <v>168</v>
      </c>
      <c r="C69" s="8" t="s">
        <v>1817</v>
      </c>
      <c r="D69" s="8" t="s">
        <v>1708</v>
      </c>
      <c r="E69" s="8" t="s">
        <v>1744</v>
      </c>
      <c r="F69" s="8">
        <v>1</v>
      </c>
      <c r="G69" s="15">
        <v>44796</v>
      </c>
      <c r="H69" s="8" t="s">
        <v>1874</v>
      </c>
      <c r="I69" s="8" t="s">
        <v>1700</v>
      </c>
    </row>
    <row r="70" spans="2:12" s="8" customFormat="1" x14ac:dyDescent="0.25">
      <c r="B70" s="8" t="s">
        <v>32</v>
      </c>
      <c r="C70" s="8" t="s">
        <v>1743</v>
      </c>
      <c r="D70" s="8" t="s">
        <v>1718</v>
      </c>
      <c r="E70" s="8" t="s">
        <v>1698</v>
      </c>
      <c r="F70" s="8">
        <v>2</v>
      </c>
      <c r="G70" s="15">
        <v>44805</v>
      </c>
      <c r="H70" s="8" t="s">
        <v>1875</v>
      </c>
      <c r="I70" s="8" t="s">
        <v>1700</v>
      </c>
    </row>
    <row r="71" spans="2:12" s="8" customFormat="1" x14ac:dyDescent="0.25">
      <c r="B71" s="8" t="s">
        <v>1777</v>
      </c>
      <c r="C71" s="8" t="s">
        <v>1853</v>
      </c>
      <c r="D71" s="8" t="s">
        <v>1708</v>
      </c>
      <c r="E71" s="8" t="s">
        <v>1809</v>
      </c>
      <c r="F71" s="8">
        <v>1</v>
      </c>
      <c r="G71" s="15">
        <v>44813</v>
      </c>
      <c r="H71" s="8" t="s">
        <v>1876</v>
      </c>
      <c r="I71" s="8" t="s">
        <v>1711</v>
      </c>
      <c r="L71" s="12" t="s">
        <v>1877</v>
      </c>
    </row>
    <row r="72" spans="2:12" s="8" customFormat="1" x14ac:dyDescent="0.25">
      <c r="B72" s="8" t="s">
        <v>32</v>
      </c>
      <c r="C72" s="8" t="s">
        <v>1743</v>
      </c>
      <c r="D72" s="8" t="s">
        <v>1768</v>
      </c>
      <c r="E72" s="8" t="s">
        <v>645</v>
      </c>
      <c r="F72" s="8">
        <v>2</v>
      </c>
      <c r="G72" s="15">
        <v>44803</v>
      </c>
      <c r="H72" s="8" t="s">
        <v>1878</v>
      </c>
      <c r="I72" s="8" t="s">
        <v>1700</v>
      </c>
      <c r="L72" s="8" t="s">
        <v>1879</v>
      </c>
    </row>
    <row r="73" spans="2:12" s="8" customFormat="1" x14ac:dyDescent="0.25">
      <c r="B73" s="8" t="s">
        <v>32</v>
      </c>
      <c r="C73" s="8" t="s">
        <v>1743</v>
      </c>
      <c r="D73" s="8" t="s">
        <v>1718</v>
      </c>
      <c r="E73" s="8" t="s">
        <v>645</v>
      </c>
      <c r="F73" s="8">
        <v>2</v>
      </c>
      <c r="G73" s="15">
        <v>44803</v>
      </c>
      <c r="H73" s="8" t="s">
        <v>1880</v>
      </c>
      <c r="I73" s="8" t="s">
        <v>1700</v>
      </c>
    </row>
    <row r="74" spans="2:12" s="8" customFormat="1" x14ac:dyDescent="0.25">
      <c r="B74" s="8" t="s">
        <v>1783</v>
      </c>
      <c r="C74" s="8" t="s">
        <v>1881</v>
      </c>
      <c r="D74" s="8" t="s">
        <v>1708</v>
      </c>
      <c r="E74" s="8" t="s">
        <v>1802</v>
      </c>
      <c r="F74" s="8">
        <v>1</v>
      </c>
      <c r="G74" s="15">
        <v>44802</v>
      </c>
      <c r="H74" s="8" t="s">
        <v>1882</v>
      </c>
      <c r="I74" s="8" t="s">
        <v>1700</v>
      </c>
      <c r="L74" s="8" t="s">
        <v>1883</v>
      </c>
    </row>
    <row r="75" spans="2:12" s="8" customFormat="1" x14ac:dyDescent="0.25">
      <c r="B75" s="8" t="s">
        <v>20</v>
      </c>
      <c r="C75" s="8" t="s">
        <v>1884</v>
      </c>
      <c r="D75" s="8" t="s">
        <v>1714</v>
      </c>
      <c r="E75" s="8" t="s">
        <v>1885</v>
      </c>
      <c r="F75" s="8">
        <v>1</v>
      </c>
      <c r="G75" s="15">
        <v>44839</v>
      </c>
      <c r="H75" s="8" t="s">
        <v>1886</v>
      </c>
      <c r="I75" s="8" t="s">
        <v>1711</v>
      </c>
      <c r="J75" s="8" t="s">
        <v>21</v>
      </c>
    </row>
    <row r="76" spans="2:12" s="8" customFormat="1" x14ac:dyDescent="0.25">
      <c r="B76" s="8" t="s">
        <v>32</v>
      </c>
      <c r="C76" s="8" t="s">
        <v>1746</v>
      </c>
      <c r="D76" s="8" t="s">
        <v>1708</v>
      </c>
      <c r="E76" s="8" t="s">
        <v>1744</v>
      </c>
      <c r="F76" s="8">
        <v>1</v>
      </c>
      <c r="G76" s="15">
        <v>44803</v>
      </c>
      <c r="H76" s="8" t="s">
        <v>1887</v>
      </c>
      <c r="I76" s="8" t="s">
        <v>1700</v>
      </c>
    </row>
    <row r="77" spans="2:12" s="8" customFormat="1" x14ac:dyDescent="0.25">
      <c r="B77" s="8" t="s">
        <v>1870</v>
      </c>
      <c r="C77" s="8" t="s">
        <v>1871</v>
      </c>
      <c r="D77" s="8" t="s">
        <v>1872</v>
      </c>
      <c r="E77" s="8" t="s">
        <v>1698</v>
      </c>
      <c r="F77" s="8">
        <v>1</v>
      </c>
      <c r="G77" s="15">
        <v>44797</v>
      </c>
      <c r="H77" s="15" t="s">
        <v>1888</v>
      </c>
      <c r="I77" s="8" t="s">
        <v>1700</v>
      </c>
      <c r="L77" s="8" t="s">
        <v>1889</v>
      </c>
    </row>
    <row r="78" spans="2:12" s="8" customFormat="1" x14ac:dyDescent="0.25">
      <c r="B78" s="8" t="s">
        <v>32</v>
      </c>
      <c r="C78" s="8" t="s">
        <v>1743</v>
      </c>
      <c r="D78" s="8" t="s">
        <v>1869</v>
      </c>
      <c r="E78" s="8" t="s">
        <v>1890</v>
      </c>
      <c r="F78" s="8">
        <v>1</v>
      </c>
      <c r="G78" s="15">
        <v>44798</v>
      </c>
      <c r="H78" s="8" t="s">
        <v>1891</v>
      </c>
      <c r="I78" s="8" t="s">
        <v>1711</v>
      </c>
    </row>
    <row r="79" spans="2:12" s="8" customFormat="1" x14ac:dyDescent="0.25">
      <c r="B79" s="8" t="s">
        <v>1777</v>
      </c>
      <c r="C79" s="8" t="s">
        <v>1778</v>
      </c>
      <c r="D79" s="8" t="s">
        <v>1708</v>
      </c>
      <c r="E79" s="8" t="s">
        <v>1733</v>
      </c>
      <c r="G79" s="15">
        <v>44775</v>
      </c>
      <c r="H79" s="8" t="s">
        <v>1892</v>
      </c>
      <c r="I79" s="8" t="s">
        <v>1700</v>
      </c>
      <c r="L79" s="8" t="s">
        <v>1893</v>
      </c>
    </row>
    <row r="80" spans="2:12" s="8" customFormat="1" x14ac:dyDescent="0.25">
      <c r="B80" s="8" t="s">
        <v>1777</v>
      </c>
      <c r="C80" s="8" t="s">
        <v>1778</v>
      </c>
      <c r="D80" s="8" t="s">
        <v>1708</v>
      </c>
      <c r="E80" s="8" t="s">
        <v>1733</v>
      </c>
      <c r="G80" s="15">
        <v>44781</v>
      </c>
      <c r="H80" s="8" t="s">
        <v>1894</v>
      </c>
      <c r="I80" s="8" t="s">
        <v>1700</v>
      </c>
    </row>
    <row r="81" spans="2:12" s="8" customFormat="1" x14ac:dyDescent="0.25">
      <c r="B81" s="8" t="s">
        <v>1783</v>
      </c>
      <c r="C81" s="8" t="s">
        <v>1784</v>
      </c>
      <c r="D81" s="8" t="s">
        <v>1708</v>
      </c>
      <c r="E81" s="8" t="s">
        <v>1744</v>
      </c>
      <c r="F81" s="8">
        <v>1</v>
      </c>
      <c r="G81" s="15">
        <v>44804</v>
      </c>
      <c r="H81" s="8" t="s">
        <v>1895</v>
      </c>
      <c r="I81" s="8" t="s">
        <v>1700</v>
      </c>
      <c r="L81" s="8" t="s">
        <v>1896</v>
      </c>
    </row>
    <row r="82" spans="2:12" s="8" customFormat="1" x14ac:dyDescent="0.25">
      <c r="B82" s="8" t="s">
        <v>1777</v>
      </c>
      <c r="C82" s="8" t="s">
        <v>1853</v>
      </c>
      <c r="D82" s="8" t="s">
        <v>1708</v>
      </c>
      <c r="E82" s="8" t="s">
        <v>1744</v>
      </c>
      <c r="F82" s="8">
        <v>1</v>
      </c>
      <c r="G82" s="15">
        <v>44804</v>
      </c>
      <c r="H82" s="8" t="s">
        <v>1897</v>
      </c>
      <c r="I82" s="8" t="s">
        <v>1700</v>
      </c>
    </row>
    <row r="83" spans="2:12" s="8" customFormat="1" x14ac:dyDescent="0.25">
      <c r="B83" s="8" t="s">
        <v>32</v>
      </c>
      <c r="C83" s="8" t="s">
        <v>1786</v>
      </c>
      <c r="D83" s="8" t="s">
        <v>1708</v>
      </c>
      <c r="E83" s="8" t="s">
        <v>1802</v>
      </c>
      <c r="F83" s="8">
        <v>1</v>
      </c>
      <c r="G83" s="15">
        <v>44806</v>
      </c>
      <c r="H83" s="8" t="s">
        <v>1898</v>
      </c>
      <c r="I83" s="8" t="s">
        <v>1700</v>
      </c>
    </row>
    <row r="84" spans="2:12" s="8" customFormat="1" x14ac:dyDescent="0.25">
      <c r="B84" s="8" t="s">
        <v>1777</v>
      </c>
      <c r="C84" s="8" t="s">
        <v>1778</v>
      </c>
      <c r="D84" s="8" t="s">
        <v>1708</v>
      </c>
      <c r="E84" s="8" t="s">
        <v>1698</v>
      </c>
      <c r="F84" s="8">
        <v>1</v>
      </c>
      <c r="G84" s="15">
        <v>44785</v>
      </c>
      <c r="H84" s="8" t="s">
        <v>1899</v>
      </c>
      <c r="I84" s="8" t="s">
        <v>1700</v>
      </c>
    </row>
    <row r="85" spans="2:12" s="8" customFormat="1" x14ac:dyDescent="0.25">
      <c r="B85" s="8" t="s">
        <v>32</v>
      </c>
      <c r="C85" s="8" t="s">
        <v>1743</v>
      </c>
      <c r="D85" s="8" t="s">
        <v>1718</v>
      </c>
      <c r="E85" s="8" t="s">
        <v>1744</v>
      </c>
      <c r="F85" s="8">
        <v>2</v>
      </c>
      <c r="G85" s="15">
        <v>44865</v>
      </c>
      <c r="H85" s="8" t="s">
        <v>1900</v>
      </c>
      <c r="I85" s="8" t="s">
        <v>1700</v>
      </c>
      <c r="L85" s="12" t="s">
        <v>1901</v>
      </c>
    </row>
    <row r="86" spans="2:12" s="8" customFormat="1" x14ac:dyDescent="0.25">
      <c r="B86" s="8" t="s">
        <v>1777</v>
      </c>
      <c r="C86" s="8" t="s">
        <v>1778</v>
      </c>
      <c r="D86" s="8" t="s">
        <v>1708</v>
      </c>
      <c r="E86" s="8" t="s">
        <v>1733</v>
      </c>
      <c r="F86" s="8">
        <v>1</v>
      </c>
      <c r="G86" s="15">
        <v>44791</v>
      </c>
      <c r="H86" s="8" t="s">
        <v>1902</v>
      </c>
      <c r="I86" s="8" t="s">
        <v>1700</v>
      </c>
    </row>
    <row r="87" spans="2:12" s="8" customFormat="1" x14ac:dyDescent="0.25">
      <c r="B87" s="8" t="s">
        <v>32</v>
      </c>
      <c r="C87" s="8" t="s">
        <v>1743</v>
      </c>
      <c r="D87" s="8" t="s">
        <v>1708</v>
      </c>
      <c r="E87" s="8" t="s">
        <v>1744</v>
      </c>
      <c r="F87" s="8">
        <v>2</v>
      </c>
      <c r="G87" s="15">
        <v>44802</v>
      </c>
      <c r="H87" s="8" t="s">
        <v>1903</v>
      </c>
      <c r="I87" s="8" t="s">
        <v>1711</v>
      </c>
      <c r="L87" s="8" t="s">
        <v>1904</v>
      </c>
    </row>
    <row r="88" spans="2:12" s="8" customFormat="1" x14ac:dyDescent="0.25">
      <c r="B88" s="8" t="s">
        <v>1783</v>
      </c>
      <c r="C88" s="8" t="s">
        <v>1784</v>
      </c>
      <c r="D88" s="8" t="s">
        <v>1708</v>
      </c>
      <c r="E88" s="8" t="s">
        <v>1744</v>
      </c>
      <c r="F88" s="8">
        <v>1</v>
      </c>
      <c r="G88" s="15">
        <v>44791</v>
      </c>
      <c r="H88" s="8" t="s">
        <v>1905</v>
      </c>
      <c r="I88" s="8" t="s">
        <v>1700</v>
      </c>
    </row>
    <row r="89" spans="2:12" s="8" customFormat="1" x14ac:dyDescent="0.25">
      <c r="B89" s="8" t="s">
        <v>1777</v>
      </c>
      <c r="C89" s="8" t="s">
        <v>1778</v>
      </c>
      <c r="D89" s="8" t="s">
        <v>1708</v>
      </c>
      <c r="E89" s="8" t="s">
        <v>1698</v>
      </c>
      <c r="F89" s="8">
        <v>3</v>
      </c>
      <c r="G89" s="15">
        <v>44781</v>
      </c>
      <c r="H89" s="8" t="s">
        <v>1906</v>
      </c>
      <c r="I89" s="8" t="s">
        <v>1700</v>
      </c>
    </row>
    <row r="90" spans="2:12" s="8" customFormat="1" x14ac:dyDescent="0.25">
      <c r="B90" s="8" t="s">
        <v>1777</v>
      </c>
      <c r="C90" s="8" t="s">
        <v>1778</v>
      </c>
      <c r="D90" s="8" t="s">
        <v>1708</v>
      </c>
      <c r="E90" s="8" t="s">
        <v>1733</v>
      </c>
      <c r="F90" s="8">
        <v>3</v>
      </c>
      <c r="G90" s="15">
        <v>44792</v>
      </c>
      <c r="H90" s="8" t="s">
        <v>1907</v>
      </c>
      <c r="I90" s="8" t="s">
        <v>1700</v>
      </c>
    </row>
    <row r="91" spans="2:12" s="8" customFormat="1" x14ac:dyDescent="0.25">
      <c r="B91" s="8" t="s">
        <v>1908</v>
      </c>
      <c r="C91" s="8" t="s">
        <v>1909</v>
      </c>
      <c r="D91" s="8" t="s">
        <v>1708</v>
      </c>
      <c r="E91" s="8" t="s">
        <v>1733</v>
      </c>
      <c r="F91" s="8">
        <v>1</v>
      </c>
      <c r="G91" s="15">
        <v>44803</v>
      </c>
      <c r="H91" s="8" t="s">
        <v>1910</v>
      </c>
      <c r="I91" s="8" t="s">
        <v>1700</v>
      </c>
      <c r="L91" s="8" t="s">
        <v>1820</v>
      </c>
    </row>
    <row r="92" spans="2:12" s="8" customFormat="1" x14ac:dyDescent="0.25">
      <c r="B92" s="8" t="s">
        <v>1777</v>
      </c>
      <c r="C92" s="8" t="s">
        <v>1911</v>
      </c>
      <c r="D92" s="8" t="s">
        <v>1708</v>
      </c>
      <c r="E92" s="8" t="s">
        <v>1764</v>
      </c>
      <c r="F92" s="8">
        <v>1</v>
      </c>
      <c r="G92" s="15">
        <v>44788</v>
      </c>
      <c r="H92" s="8" t="s">
        <v>1912</v>
      </c>
      <c r="I92" s="8" t="s">
        <v>1700</v>
      </c>
      <c r="L92" s="8" t="s">
        <v>1913</v>
      </c>
    </row>
    <row r="93" spans="2:12" s="8" customFormat="1" x14ac:dyDescent="0.25">
      <c r="B93" s="8" t="s">
        <v>55</v>
      </c>
      <c r="C93" s="8" t="s">
        <v>1914</v>
      </c>
      <c r="D93" s="8" t="s">
        <v>1714</v>
      </c>
      <c r="E93" s="8" t="s">
        <v>1698</v>
      </c>
      <c r="F93" s="8">
        <v>3</v>
      </c>
      <c r="G93" s="15">
        <v>44809</v>
      </c>
      <c r="H93" s="8" t="s">
        <v>1826</v>
      </c>
      <c r="I93" s="8" t="s">
        <v>1700</v>
      </c>
    </row>
    <row r="94" spans="2:12" s="8" customFormat="1" x14ac:dyDescent="0.25">
      <c r="B94" s="8" t="s">
        <v>1821</v>
      </c>
      <c r="C94" s="8" t="s">
        <v>1822</v>
      </c>
      <c r="D94" s="8" t="s">
        <v>1768</v>
      </c>
      <c r="E94" s="8" t="s">
        <v>1915</v>
      </c>
      <c r="F94" s="8">
        <v>3</v>
      </c>
      <c r="G94" s="15">
        <v>44904</v>
      </c>
      <c r="H94" s="8" t="s">
        <v>1916</v>
      </c>
      <c r="I94" s="8" t="s">
        <v>1700</v>
      </c>
      <c r="L94" s="12"/>
    </row>
    <row r="95" spans="2:12" s="8" customFormat="1" x14ac:dyDescent="0.25">
      <c r="B95" s="8" t="s">
        <v>247</v>
      </c>
      <c r="C95" s="8" t="s">
        <v>1730</v>
      </c>
      <c r="D95" s="8" t="s">
        <v>1697</v>
      </c>
      <c r="E95" s="8" t="s">
        <v>1744</v>
      </c>
      <c r="G95" s="15">
        <v>44771</v>
      </c>
      <c r="H95" s="8" t="s">
        <v>1917</v>
      </c>
      <c r="I95" s="8" t="s">
        <v>1700</v>
      </c>
    </row>
    <row r="96" spans="2:12" s="8" customFormat="1" x14ac:dyDescent="0.25">
      <c r="B96" s="8" t="s">
        <v>1783</v>
      </c>
      <c r="C96" s="8" t="s">
        <v>1881</v>
      </c>
      <c r="D96" s="8" t="s">
        <v>1708</v>
      </c>
      <c r="E96" s="8" t="s">
        <v>1744</v>
      </c>
      <c r="F96" s="8">
        <v>1</v>
      </c>
      <c r="G96" s="15">
        <v>44811</v>
      </c>
      <c r="H96" s="8" t="s">
        <v>1918</v>
      </c>
      <c r="I96" s="8" t="s">
        <v>1700</v>
      </c>
    </row>
    <row r="97" spans="2:12" s="8" customFormat="1" x14ac:dyDescent="0.25">
      <c r="B97" s="8" t="s">
        <v>32</v>
      </c>
      <c r="C97" s="8" t="s">
        <v>1919</v>
      </c>
      <c r="D97" s="8" t="s">
        <v>1768</v>
      </c>
      <c r="E97" s="8" t="s">
        <v>1920</v>
      </c>
      <c r="F97" s="8">
        <v>1</v>
      </c>
      <c r="G97" s="15">
        <v>44820</v>
      </c>
      <c r="H97" s="8" t="s">
        <v>1921</v>
      </c>
      <c r="I97" s="8" t="s">
        <v>1700</v>
      </c>
    </row>
    <row r="98" spans="2:12" s="8" customFormat="1" x14ac:dyDescent="0.25">
      <c r="B98" s="8" t="s">
        <v>1922</v>
      </c>
      <c r="C98" s="8" t="s">
        <v>1923</v>
      </c>
      <c r="D98" s="8" t="s">
        <v>1708</v>
      </c>
      <c r="E98" s="8" t="s">
        <v>1698</v>
      </c>
      <c r="F98" s="8">
        <v>2</v>
      </c>
      <c r="G98" s="15">
        <v>44798</v>
      </c>
      <c r="H98" s="8" t="s">
        <v>1924</v>
      </c>
      <c r="I98" s="8" t="s">
        <v>1700</v>
      </c>
      <c r="L98" s="8" t="s">
        <v>1925</v>
      </c>
    </row>
    <row r="99" spans="2:12" s="8" customFormat="1" x14ac:dyDescent="0.25">
      <c r="B99" s="8" t="s">
        <v>32</v>
      </c>
      <c r="C99" s="8" t="s">
        <v>1743</v>
      </c>
      <c r="D99" s="8" t="s">
        <v>1869</v>
      </c>
      <c r="E99" s="8" t="s">
        <v>1733</v>
      </c>
      <c r="F99" s="8">
        <v>1</v>
      </c>
      <c r="G99" s="15">
        <v>44820</v>
      </c>
      <c r="H99" s="8" t="s">
        <v>1926</v>
      </c>
      <c r="I99" s="8" t="s">
        <v>1700</v>
      </c>
    </row>
    <row r="100" spans="2:12" s="8" customFormat="1" x14ac:dyDescent="0.25">
      <c r="B100" s="8" t="s">
        <v>32</v>
      </c>
      <c r="C100" s="8" t="s">
        <v>1743</v>
      </c>
      <c r="D100" s="8" t="s">
        <v>1718</v>
      </c>
      <c r="E100" s="8" t="s">
        <v>1744</v>
      </c>
      <c r="F100" s="8">
        <v>2</v>
      </c>
      <c r="G100" s="15">
        <v>44805</v>
      </c>
      <c r="H100" s="8" t="s">
        <v>1927</v>
      </c>
      <c r="I100" s="8" t="s">
        <v>1711</v>
      </c>
    </row>
    <row r="101" spans="2:12" s="8" customFormat="1" x14ac:dyDescent="0.25">
      <c r="B101" s="8" t="s">
        <v>55</v>
      </c>
      <c r="C101" s="8" t="s">
        <v>1928</v>
      </c>
      <c r="D101" s="8" t="s">
        <v>1714</v>
      </c>
      <c r="E101" s="8" t="s">
        <v>1698</v>
      </c>
      <c r="F101" s="8">
        <v>2</v>
      </c>
      <c r="G101" s="15">
        <v>44792</v>
      </c>
      <c r="H101" s="8" t="s">
        <v>1929</v>
      </c>
      <c r="I101" s="8" t="s">
        <v>1700</v>
      </c>
    </row>
    <row r="102" spans="2:12" s="8" customFormat="1" x14ac:dyDescent="0.25">
      <c r="B102" s="8" t="s">
        <v>168</v>
      </c>
      <c r="C102" s="8" t="s">
        <v>1817</v>
      </c>
      <c r="D102" s="8" t="s">
        <v>1708</v>
      </c>
      <c r="E102" s="8" t="s">
        <v>1698</v>
      </c>
      <c r="G102" s="15">
        <v>44783</v>
      </c>
      <c r="H102" s="8" t="s">
        <v>1930</v>
      </c>
      <c r="I102" s="8" t="s">
        <v>1700</v>
      </c>
    </row>
    <row r="103" spans="2:12" s="8" customFormat="1" x14ac:dyDescent="0.25">
      <c r="B103" s="8" t="s">
        <v>32</v>
      </c>
      <c r="C103" s="8" t="s">
        <v>1746</v>
      </c>
      <c r="D103" s="8" t="s">
        <v>1708</v>
      </c>
      <c r="E103" s="8" t="s">
        <v>1744</v>
      </c>
      <c r="G103" s="15">
        <v>44782</v>
      </c>
      <c r="H103" s="8" t="s">
        <v>1931</v>
      </c>
      <c r="I103" s="8" t="s">
        <v>1700</v>
      </c>
    </row>
    <row r="104" spans="2:12" s="8" customFormat="1" x14ac:dyDescent="0.25">
      <c r="B104" s="8" t="s">
        <v>1783</v>
      </c>
      <c r="C104" s="8" t="s">
        <v>1881</v>
      </c>
      <c r="D104" s="8" t="s">
        <v>1708</v>
      </c>
      <c r="E104" s="8" t="s">
        <v>1744</v>
      </c>
      <c r="F104" s="8">
        <v>1</v>
      </c>
      <c r="G104" s="15">
        <v>44811</v>
      </c>
      <c r="H104" s="8" t="s">
        <v>1932</v>
      </c>
      <c r="I104" s="8" t="s">
        <v>1700</v>
      </c>
    </row>
    <row r="105" spans="2:12" s="8" customFormat="1" x14ac:dyDescent="0.25">
      <c r="B105" s="8" t="s">
        <v>32</v>
      </c>
      <c r="C105" s="8" t="s">
        <v>1746</v>
      </c>
      <c r="D105" s="8" t="s">
        <v>1718</v>
      </c>
      <c r="E105" s="8" t="s">
        <v>1890</v>
      </c>
      <c r="F105" s="8">
        <v>2</v>
      </c>
      <c r="G105" s="15">
        <v>44813</v>
      </c>
      <c r="H105" s="8" t="s">
        <v>1933</v>
      </c>
      <c r="I105" s="8" t="s">
        <v>1711</v>
      </c>
    </row>
    <row r="106" spans="2:12" s="8" customFormat="1" x14ac:dyDescent="0.25">
      <c r="B106" s="8" t="s">
        <v>1777</v>
      </c>
      <c r="C106" s="8" t="s">
        <v>1853</v>
      </c>
      <c r="D106" s="8" t="s">
        <v>1708</v>
      </c>
      <c r="E106" s="8" t="s">
        <v>1744</v>
      </c>
      <c r="F106" s="8">
        <v>1</v>
      </c>
      <c r="G106" s="15">
        <v>44811</v>
      </c>
      <c r="H106" s="8" t="s">
        <v>1934</v>
      </c>
      <c r="I106" s="8" t="s">
        <v>1700</v>
      </c>
    </row>
    <row r="107" spans="2:12" s="8" customFormat="1" x14ac:dyDescent="0.25">
      <c r="B107" s="8" t="s">
        <v>1821</v>
      </c>
      <c r="C107" s="8" t="s">
        <v>1935</v>
      </c>
      <c r="D107" s="8" t="s">
        <v>1869</v>
      </c>
      <c r="E107" s="8" t="s">
        <v>1698</v>
      </c>
      <c r="F107" s="8">
        <v>3</v>
      </c>
      <c r="G107" s="15">
        <v>44862</v>
      </c>
      <c r="H107" s="8" t="s">
        <v>1936</v>
      </c>
      <c r="I107" s="8" t="s">
        <v>1700</v>
      </c>
      <c r="L107" s="12" t="s">
        <v>1937</v>
      </c>
    </row>
    <row r="108" spans="2:12" s="8" customFormat="1" x14ac:dyDescent="0.25">
      <c r="B108" s="8" t="s">
        <v>43</v>
      </c>
      <c r="C108" s="8" t="s">
        <v>1938</v>
      </c>
      <c r="D108" s="8" t="s">
        <v>1708</v>
      </c>
      <c r="E108" s="8" t="s">
        <v>1744</v>
      </c>
      <c r="F108" s="8">
        <v>1</v>
      </c>
      <c r="G108" s="15">
        <v>44811</v>
      </c>
      <c r="H108" s="8" t="s">
        <v>1939</v>
      </c>
      <c r="I108" s="8" t="s">
        <v>1700</v>
      </c>
    </row>
    <row r="109" spans="2:12" s="8" customFormat="1" x14ac:dyDescent="0.25">
      <c r="B109" s="8" t="s">
        <v>1821</v>
      </c>
      <c r="C109" s="8" t="s">
        <v>1822</v>
      </c>
      <c r="D109" s="8" t="s">
        <v>1768</v>
      </c>
      <c r="E109" s="8" t="s">
        <v>1915</v>
      </c>
      <c r="F109" s="8">
        <v>2</v>
      </c>
      <c r="G109" s="15">
        <v>44902</v>
      </c>
      <c r="H109" s="8" t="s">
        <v>1940</v>
      </c>
      <c r="I109" s="8" t="s">
        <v>1700</v>
      </c>
      <c r="L109" s="12" t="s">
        <v>1941</v>
      </c>
    </row>
    <row r="110" spans="2:12" s="8" customFormat="1" x14ac:dyDescent="0.25">
      <c r="B110" s="8" t="s">
        <v>32</v>
      </c>
      <c r="C110" s="8" t="s">
        <v>1942</v>
      </c>
      <c r="D110" s="8" t="s">
        <v>1718</v>
      </c>
      <c r="E110" s="8" t="s">
        <v>1733</v>
      </c>
      <c r="F110" s="8">
        <v>2</v>
      </c>
      <c r="G110" s="15">
        <v>44834</v>
      </c>
      <c r="H110" s="8" t="s">
        <v>1943</v>
      </c>
      <c r="I110" s="8" t="s">
        <v>1700</v>
      </c>
      <c r="L110" s="8" t="s">
        <v>1944</v>
      </c>
    </row>
    <row r="111" spans="2:12" s="8" customFormat="1" x14ac:dyDescent="0.25">
      <c r="B111" s="8" t="s">
        <v>32</v>
      </c>
      <c r="C111" s="8" t="s">
        <v>1942</v>
      </c>
      <c r="D111" s="8" t="s">
        <v>1708</v>
      </c>
      <c r="E111" s="8" t="s">
        <v>1802</v>
      </c>
      <c r="F111" s="8">
        <v>3</v>
      </c>
      <c r="G111" s="15">
        <v>44834</v>
      </c>
      <c r="H111" s="8" t="s">
        <v>1945</v>
      </c>
      <c r="I111" s="8" t="s">
        <v>1700</v>
      </c>
      <c r="L111" s="8" t="s">
        <v>1946</v>
      </c>
    </row>
    <row r="112" spans="2:12" s="8" customFormat="1" x14ac:dyDescent="0.25">
      <c r="B112" s="8" t="s">
        <v>411</v>
      </c>
      <c r="C112" s="8" t="s">
        <v>1835</v>
      </c>
      <c r="D112" s="8" t="s">
        <v>1714</v>
      </c>
      <c r="E112" s="8" t="s">
        <v>1698</v>
      </c>
      <c r="F112" s="8">
        <v>2</v>
      </c>
      <c r="G112" s="15">
        <v>44813</v>
      </c>
      <c r="H112" s="8" t="s">
        <v>1715</v>
      </c>
      <c r="I112" s="8" t="s">
        <v>1700</v>
      </c>
      <c r="L112" s="8" t="s">
        <v>1947</v>
      </c>
    </row>
    <row r="113" spans="1:12" s="8" customFormat="1" x14ac:dyDescent="0.25">
      <c r="B113" s="8" t="s">
        <v>1777</v>
      </c>
      <c r="C113" s="8" t="s">
        <v>1853</v>
      </c>
      <c r="D113" s="8" t="s">
        <v>1708</v>
      </c>
      <c r="E113" s="8" t="s">
        <v>1744</v>
      </c>
      <c r="F113" s="8">
        <v>1</v>
      </c>
      <c r="G113" s="15">
        <v>44812</v>
      </c>
      <c r="H113" s="8" t="s">
        <v>1948</v>
      </c>
      <c r="I113" s="8" t="s">
        <v>1700</v>
      </c>
      <c r="L113" s="8" t="s">
        <v>1949</v>
      </c>
    </row>
    <row r="114" spans="1:12" s="8" customFormat="1" x14ac:dyDescent="0.25">
      <c r="B114" s="8" t="s">
        <v>1821</v>
      </c>
      <c r="C114" s="8" t="s">
        <v>1950</v>
      </c>
      <c r="D114" s="8" t="s">
        <v>1718</v>
      </c>
      <c r="E114" s="8" t="s">
        <v>1951</v>
      </c>
      <c r="F114" s="8">
        <v>1</v>
      </c>
      <c r="G114" s="15">
        <v>44904</v>
      </c>
      <c r="H114" s="8" t="s">
        <v>1952</v>
      </c>
      <c r="I114" s="8" t="s">
        <v>1700</v>
      </c>
      <c r="L114" s="8" t="s">
        <v>1953</v>
      </c>
    </row>
    <row r="115" spans="1:12" s="8" customFormat="1" x14ac:dyDescent="0.25">
      <c r="B115" s="8" t="s">
        <v>32</v>
      </c>
      <c r="C115" s="8" t="s">
        <v>1954</v>
      </c>
      <c r="D115" s="8" t="s">
        <v>1708</v>
      </c>
      <c r="E115" s="8" t="s">
        <v>1719</v>
      </c>
      <c r="F115" s="8">
        <v>1</v>
      </c>
      <c r="G115" s="15">
        <v>44818</v>
      </c>
      <c r="H115" s="8" t="s">
        <v>1955</v>
      </c>
      <c r="I115" s="8" t="s">
        <v>1700</v>
      </c>
    </row>
    <row r="116" spans="1:12" s="8" customFormat="1" x14ac:dyDescent="0.25">
      <c r="B116" s="8" t="s">
        <v>14</v>
      </c>
      <c r="C116" s="8" t="s">
        <v>1956</v>
      </c>
      <c r="D116" s="8" t="s">
        <v>1718</v>
      </c>
      <c r="E116" s="8" t="s">
        <v>1865</v>
      </c>
      <c r="F116" s="8">
        <v>1</v>
      </c>
      <c r="G116" s="15">
        <v>44817</v>
      </c>
      <c r="H116" s="8" t="s">
        <v>1957</v>
      </c>
      <c r="I116" s="8" t="s">
        <v>1700</v>
      </c>
      <c r="L116" s="12"/>
    </row>
    <row r="117" spans="1:12" s="8" customFormat="1" x14ac:dyDescent="0.25">
      <c r="B117" s="8" t="s">
        <v>243</v>
      </c>
      <c r="C117" s="8">
        <v>3417</v>
      </c>
      <c r="D117" s="8" t="s">
        <v>1708</v>
      </c>
      <c r="E117" s="8" t="s">
        <v>1744</v>
      </c>
      <c r="G117" s="15">
        <v>44782</v>
      </c>
      <c r="H117" s="8" t="s">
        <v>1958</v>
      </c>
      <c r="I117" s="8" t="s">
        <v>1700</v>
      </c>
    </row>
    <row r="118" spans="1:12" s="8" customFormat="1" x14ac:dyDescent="0.25">
      <c r="B118" s="8" t="s">
        <v>168</v>
      </c>
      <c r="C118" s="8" t="s">
        <v>1817</v>
      </c>
      <c r="D118" s="8" t="s">
        <v>1718</v>
      </c>
      <c r="E118" s="8" t="s">
        <v>645</v>
      </c>
      <c r="F118" s="8">
        <v>1</v>
      </c>
      <c r="G118" s="15">
        <v>44788</v>
      </c>
      <c r="H118" s="8" t="s">
        <v>1959</v>
      </c>
      <c r="I118" s="8" t="s">
        <v>1700</v>
      </c>
    </row>
    <row r="119" spans="1:12" s="8" customFormat="1" x14ac:dyDescent="0.25">
      <c r="B119" s="8" t="s">
        <v>1777</v>
      </c>
      <c r="C119" s="8" t="s">
        <v>1778</v>
      </c>
      <c r="D119" s="8" t="s">
        <v>1708</v>
      </c>
      <c r="E119" s="8" t="s">
        <v>1764</v>
      </c>
      <c r="F119" s="8">
        <v>1</v>
      </c>
      <c r="G119" s="15">
        <v>44804</v>
      </c>
      <c r="H119" s="8" t="s">
        <v>1960</v>
      </c>
      <c r="I119" s="8" t="s">
        <v>1700</v>
      </c>
      <c r="L119" s="8" t="s">
        <v>1961</v>
      </c>
    </row>
    <row r="120" spans="1:12" s="8" customFormat="1" x14ac:dyDescent="0.25">
      <c r="B120" s="8" t="s">
        <v>1821</v>
      </c>
      <c r="C120" s="8" t="s">
        <v>1950</v>
      </c>
      <c r="D120" s="8" t="s">
        <v>1768</v>
      </c>
      <c r="E120" s="8" t="s">
        <v>1915</v>
      </c>
      <c r="F120" s="8">
        <v>1</v>
      </c>
      <c r="G120" s="15">
        <v>44901</v>
      </c>
      <c r="H120" s="8" t="s">
        <v>1962</v>
      </c>
      <c r="I120" s="8" t="s">
        <v>1700</v>
      </c>
      <c r="L120" s="8" t="s">
        <v>1963</v>
      </c>
    </row>
    <row r="121" spans="1:12" s="8" customFormat="1" x14ac:dyDescent="0.25">
      <c r="B121" s="8" t="s">
        <v>247</v>
      </c>
      <c r="C121" s="8">
        <v>3493</v>
      </c>
      <c r="D121" s="8" t="s">
        <v>1818</v>
      </c>
      <c r="E121" s="8" t="s">
        <v>1964</v>
      </c>
      <c r="F121" s="8">
        <v>2</v>
      </c>
      <c r="G121" s="15">
        <v>44820</v>
      </c>
      <c r="H121" s="8" t="s">
        <v>1965</v>
      </c>
      <c r="I121" s="8" t="s">
        <v>1700</v>
      </c>
      <c r="L121" s="12" t="s">
        <v>1966</v>
      </c>
    </row>
    <row r="122" spans="1:12" s="8" customFormat="1" x14ac:dyDescent="0.25">
      <c r="B122" s="8" t="s">
        <v>32</v>
      </c>
      <c r="C122" s="8" t="s">
        <v>1954</v>
      </c>
      <c r="D122" s="8" t="s">
        <v>1714</v>
      </c>
      <c r="E122" s="8" t="s">
        <v>1698</v>
      </c>
      <c r="F122" s="8">
        <v>1</v>
      </c>
      <c r="G122" s="15">
        <v>44818</v>
      </c>
      <c r="H122" s="8" t="s">
        <v>1967</v>
      </c>
      <c r="I122" s="8" t="s">
        <v>1711</v>
      </c>
      <c r="L122" s="12"/>
    </row>
    <row r="123" spans="1:12" s="8" customFormat="1" x14ac:dyDescent="0.25">
      <c r="B123" s="8" t="s">
        <v>247</v>
      </c>
      <c r="C123" s="8" t="s">
        <v>1968</v>
      </c>
      <c r="D123" s="8" t="s">
        <v>1869</v>
      </c>
      <c r="E123" s="8" t="s">
        <v>1698</v>
      </c>
      <c r="F123" s="8">
        <v>1</v>
      </c>
      <c r="G123" s="15">
        <v>44907</v>
      </c>
      <c r="H123" s="8" t="s">
        <v>1969</v>
      </c>
      <c r="I123" s="8" t="s">
        <v>1700</v>
      </c>
    </row>
    <row r="124" spans="1:12" s="8" customFormat="1" x14ac:dyDescent="0.25">
      <c r="B124" s="8" t="s">
        <v>32</v>
      </c>
      <c r="C124" s="8" t="s">
        <v>1743</v>
      </c>
      <c r="D124" s="8" t="s">
        <v>1718</v>
      </c>
      <c r="E124" s="8" t="s">
        <v>1698</v>
      </c>
      <c r="F124" s="8">
        <v>1</v>
      </c>
      <c r="G124" s="15">
        <v>44820</v>
      </c>
      <c r="H124" s="8" t="s">
        <v>1970</v>
      </c>
      <c r="I124" s="8" t="s">
        <v>1700</v>
      </c>
      <c r="L124" s="12"/>
    </row>
    <row r="125" spans="1:12" s="8" customFormat="1" x14ac:dyDescent="0.25">
      <c r="B125" s="8" t="s">
        <v>168</v>
      </c>
      <c r="C125" s="8" t="s">
        <v>1817</v>
      </c>
      <c r="D125" s="8" t="s">
        <v>1697</v>
      </c>
      <c r="E125" s="8" t="s">
        <v>1744</v>
      </c>
      <c r="F125" s="8">
        <v>1</v>
      </c>
      <c r="G125" s="15">
        <v>44790</v>
      </c>
      <c r="H125" s="8" t="s">
        <v>1971</v>
      </c>
      <c r="I125" s="8" t="s">
        <v>1700</v>
      </c>
    </row>
    <row r="126" spans="1:12" s="8" customFormat="1" x14ac:dyDescent="0.25">
      <c r="A126" s="8">
        <v>2</v>
      </c>
      <c r="B126" s="8" t="s">
        <v>32</v>
      </c>
      <c r="C126" s="8" t="s">
        <v>1794</v>
      </c>
      <c r="D126" s="8" t="s">
        <v>1697</v>
      </c>
      <c r="E126" s="8" t="s">
        <v>1890</v>
      </c>
      <c r="F126" s="8">
        <v>1</v>
      </c>
      <c r="G126" s="15">
        <v>44903</v>
      </c>
      <c r="H126" s="8" t="s">
        <v>1797</v>
      </c>
      <c r="I126" s="8" t="s">
        <v>1700</v>
      </c>
      <c r="L126" s="12" t="s">
        <v>1972</v>
      </c>
    </row>
    <row r="127" spans="1:12" s="8" customFormat="1" x14ac:dyDescent="0.25">
      <c r="B127" s="8" t="s">
        <v>32</v>
      </c>
      <c r="C127" s="8" t="s">
        <v>1973</v>
      </c>
      <c r="D127" s="8" t="s">
        <v>1708</v>
      </c>
      <c r="E127" s="8" t="s">
        <v>1744</v>
      </c>
      <c r="F127" s="8">
        <v>1</v>
      </c>
      <c r="G127" s="15">
        <v>44823</v>
      </c>
      <c r="H127" s="8" t="s">
        <v>1974</v>
      </c>
      <c r="I127" s="8" t="s">
        <v>1711</v>
      </c>
    </row>
    <row r="128" spans="1:12" s="8" customFormat="1" x14ac:dyDescent="0.25">
      <c r="B128" s="8" t="s">
        <v>136</v>
      </c>
      <c r="C128" s="8">
        <v>3508</v>
      </c>
      <c r="D128" s="8" t="s">
        <v>1708</v>
      </c>
      <c r="E128" s="8" t="s">
        <v>1802</v>
      </c>
      <c r="F128" s="8">
        <v>2</v>
      </c>
      <c r="G128" s="15">
        <v>44795</v>
      </c>
      <c r="H128" s="8" t="s">
        <v>1975</v>
      </c>
      <c r="I128" s="8" t="s">
        <v>1700</v>
      </c>
    </row>
    <row r="129" spans="2:12" s="8" customFormat="1" x14ac:dyDescent="0.25">
      <c r="B129" s="8" t="s">
        <v>32</v>
      </c>
      <c r="C129" s="8" t="s">
        <v>1973</v>
      </c>
      <c r="D129" s="8" t="s">
        <v>1768</v>
      </c>
      <c r="E129" s="8" t="s">
        <v>645</v>
      </c>
      <c r="F129" s="8">
        <v>2</v>
      </c>
      <c r="G129" s="15">
        <v>44812</v>
      </c>
      <c r="H129" s="8" t="s">
        <v>1976</v>
      </c>
      <c r="I129" s="8" t="s">
        <v>1700</v>
      </c>
      <c r="J129" s="8" t="s">
        <v>1977</v>
      </c>
    </row>
    <row r="130" spans="2:12" s="8" customFormat="1" x14ac:dyDescent="0.25">
      <c r="B130" s="8" t="s">
        <v>1783</v>
      </c>
      <c r="C130" s="8" t="s">
        <v>1881</v>
      </c>
      <c r="D130" s="8" t="s">
        <v>1708</v>
      </c>
      <c r="E130" s="8" t="s">
        <v>1744</v>
      </c>
      <c r="F130" s="8">
        <v>1</v>
      </c>
      <c r="G130" s="15">
        <v>44804</v>
      </c>
      <c r="H130" s="8" t="s">
        <v>1978</v>
      </c>
      <c r="I130" s="8" t="s">
        <v>1700</v>
      </c>
    </row>
    <row r="131" spans="2:12" s="8" customFormat="1" x14ac:dyDescent="0.25">
      <c r="B131" s="8" t="s">
        <v>1777</v>
      </c>
      <c r="C131" s="8" t="s">
        <v>1853</v>
      </c>
      <c r="D131" s="8" t="s">
        <v>1708</v>
      </c>
      <c r="E131" s="8" t="s">
        <v>1802</v>
      </c>
      <c r="F131" s="8">
        <v>1</v>
      </c>
      <c r="G131" s="15">
        <v>44813</v>
      </c>
      <c r="H131" s="8" t="s">
        <v>1979</v>
      </c>
      <c r="I131" s="8" t="s">
        <v>1700</v>
      </c>
      <c r="L131" s="8" t="s">
        <v>1980</v>
      </c>
    </row>
    <row r="132" spans="2:12" s="8" customFormat="1" x14ac:dyDescent="0.25">
      <c r="B132" s="8" t="s">
        <v>1777</v>
      </c>
      <c r="C132" s="8" t="s">
        <v>1778</v>
      </c>
      <c r="D132" s="8" t="s">
        <v>1708</v>
      </c>
      <c r="E132" s="8" t="s">
        <v>1802</v>
      </c>
      <c r="F132" s="8">
        <v>1</v>
      </c>
      <c r="G132" s="15">
        <v>44813</v>
      </c>
      <c r="H132" s="8" t="s">
        <v>1981</v>
      </c>
      <c r="I132" s="8" t="s">
        <v>1700</v>
      </c>
    </row>
    <row r="133" spans="2:12" s="8" customFormat="1" x14ac:dyDescent="0.25">
      <c r="B133" s="8" t="s">
        <v>43</v>
      </c>
      <c r="C133" s="8" t="s">
        <v>1938</v>
      </c>
      <c r="D133" s="8" t="s">
        <v>1708</v>
      </c>
      <c r="E133" s="8" t="s">
        <v>1744</v>
      </c>
      <c r="F133" s="8">
        <v>1</v>
      </c>
      <c r="G133" s="15">
        <v>44813</v>
      </c>
      <c r="H133" s="8" t="s">
        <v>1982</v>
      </c>
      <c r="I133" s="8" t="s">
        <v>1700</v>
      </c>
    </row>
    <row r="134" spans="2:12" s="8" customFormat="1" x14ac:dyDescent="0.25">
      <c r="B134" s="8" t="s">
        <v>32</v>
      </c>
      <c r="C134" s="8" t="s">
        <v>1983</v>
      </c>
      <c r="D134" s="8" t="s">
        <v>1708</v>
      </c>
      <c r="E134" s="8" t="s">
        <v>1733</v>
      </c>
      <c r="F134" s="8">
        <v>1</v>
      </c>
      <c r="G134" s="15">
        <v>44820</v>
      </c>
      <c r="H134" s="8" t="s">
        <v>1984</v>
      </c>
      <c r="I134" s="8" t="s">
        <v>1700</v>
      </c>
    </row>
    <row r="135" spans="2:12" s="8" customFormat="1" x14ac:dyDescent="0.25">
      <c r="B135" s="8" t="s">
        <v>253</v>
      </c>
      <c r="C135" s="8" t="s">
        <v>1985</v>
      </c>
      <c r="D135" s="8" t="s">
        <v>1708</v>
      </c>
      <c r="E135" s="8" t="s">
        <v>1698</v>
      </c>
      <c r="F135" s="8">
        <v>1</v>
      </c>
      <c r="G135" s="15">
        <v>44784</v>
      </c>
      <c r="H135" s="8" t="s">
        <v>1986</v>
      </c>
      <c r="I135" s="8" t="s">
        <v>1700</v>
      </c>
      <c r="L135" s="8" t="s">
        <v>1987</v>
      </c>
    </row>
    <row r="136" spans="2:12" s="8" customFormat="1" x14ac:dyDescent="0.25">
      <c r="B136" s="8" t="s">
        <v>32</v>
      </c>
      <c r="C136" s="8" t="s">
        <v>1942</v>
      </c>
      <c r="D136" s="8" t="s">
        <v>1708</v>
      </c>
      <c r="E136" s="8" t="s">
        <v>1988</v>
      </c>
      <c r="F136" s="8">
        <v>2</v>
      </c>
      <c r="G136" s="15">
        <v>44834</v>
      </c>
      <c r="H136" s="8" t="s">
        <v>1989</v>
      </c>
      <c r="I136" s="8" t="s">
        <v>1711</v>
      </c>
      <c r="L136" s="12" t="s">
        <v>1737</v>
      </c>
    </row>
    <row r="137" spans="2:12" s="8" customFormat="1" x14ac:dyDescent="0.25">
      <c r="B137" s="8" t="s">
        <v>20</v>
      </c>
      <c r="C137" s="8" t="s">
        <v>1990</v>
      </c>
      <c r="D137" s="8" t="s">
        <v>1714</v>
      </c>
      <c r="E137" s="8" t="s">
        <v>1885</v>
      </c>
      <c r="F137" s="8">
        <v>1</v>
      </c>
      <c r="G137" s="15">
        <v>44839</v>
      </c>
      <c r="H137" s="8" t="s">
        <v>1991</v>
      </c>
      <c r="I137" s="8" t="s">
        <v>1711</v>
      </c>
      <c r="J137" s="8" t="s">
        <v>21</v>
      </c>
    </row>
    <row r="138" spans="2:12" s="8" customFormat="1" x14ac:dyDescent="0.25">
      <c r="B138" s="8" t="s">
        <v>1777</v>
      </c>
      <c r="C138" s="8" t="s">
        <v>1992</v>
      </c>
      <c r="D138" s="8" t="s">
        <v>1708</v>
      </c>
      <c r="E138" s="8" t="s">
        <v>1698</v>
      </c>
      <c r="F138" s="8">
        <v>1</v>
      </c>
      <c r="G138" s="15">
        <v>44879</v>
      </c>
      <c r="H138" s="8" t="s">
        <v>1993</v>
      </c>
      <c r="I138" s="8" t="s">
        <v>1711</v>
      </c>
      <c r="L138" s="12" t="s">
        <v>1994</v>
      </c>
    </row>
    <row r="139" spans="2:12" s="8" customFormat="1" x14ac:dyDescent="0.25">
      <c r="B139" s="8" t="s">
        <v>1821</v>
      </c>
      <c r="C139" s="8" t="s">
        <v>1936</v>
      </c>
      <c r="D139" s="8" t="s">
        <v>1718</v>
      </c>
      <c r="E139" s="8" t="s">
        <v>1698</v>
      </c>
      <c r="F139" s="8">
        <v>1</v>
      </c>
      <c r="G139" s="15">
        <v>44901</v>
      </c>
      <c r="H139" s="8" t="s">
        <v>1699</v>
      </c>
      <c r="I139" s="8" t="s">
        <v>1711</v>
      </c>
    </row>
    <row r="140" spans="2:12" s="8" customFormat="1" x14ac:dyDescent="0.25">
      <c r="B140" s="8" t="s">
        <v>32</v>
      </c>
      <c r="C140" s="8" t="s">
        <v>1794</v>
      </c>
      <c r="D140" s="8" t="s">
        <v>1718</v>
      </c>
      <c r="E140" s="8" t="s">
        <v>1698</v>
      </c>
      <c r="F140" s="8">
        <v>1</v>
      </c>
      <c r="G140" s="15">
        <v>44819</v>
      </c>
      <c r="H140" s="8" t="s">
        <v>1995</v>
      </c>
      <c r="I140" s="8" t="s">
        <v>1700</v>
      </c>
      <c r="L140" s="12"/>
    </row>
    <row r="141" spans="2:12" s="8" customFormat="1" x14ac:dyDescent="0.25">
      <c r="B141" s="8" t="s">
        <v>1908</v>
      </c>
      <c r="C141" s="8" t="s">
        <v>1909</v>
      </c>
      <c r="D141" s="8" t="s">
        <v>1708</v>
      </c>
      <c r="E141" s="8" t="s">
        <v>1733</v>
      </c>
      <c r="F141" s="8">
        <v>2</v>
      </c>
      <c r="G141" s="15">
        <v>44792</v>
      </c>
      <c r="H141" s="8" t="s">
        <v>1996</v>
      </c>
      <c r="I141" s="8" t="s">
        <v>1700</v>
      </c>
      <c r="L141" s="8" t="s">
        <v>1997</v>
      </c>
    </row>
    <row r="142" spans="2:12" s="8" customFormat="1" x14ac:dyDescent="0.25">
      <c r="B142" s="8" t="s">
        <v>1998</v>
      </c>
      <c r="C142" s="8" t="s">
        <v>1999</v>
      </c>
      <c r="D142" s="8" t="s">
        <v>2000</v>
      </c>
      <c r="E142" s="8" t="s">
        <v>1764</v>
      </c>
      <c r="F142" s="8">
        <v>2</v>
      </c>
      <c r="G142" s="15">
        <v>44778</v>
      </c>
      <c r="H142" s="8" t="s">
        <v>2001</v>
      </c>
      <c r="I142" s="8" t="s">
        <v>1700</v>
      </c>
    </row>
    <row r="143" spans="2:12" s="8" customFormat="1" x14ac:dyDescent="0.25">
      <c r="B143" s="8" t="s">
        <v>1783</v>
      </c>
      <c r="C143" s="8" t="s">
        <v>1784</v>
      </c>
      <c r="D143" s="8" t="s">
        <v>1697</v>
      </c>
      <c r="E143" s="8" t="s">
        <v>1733</v>
      </c>
      <c r="F143" s="8">
        <v>1</v>
      </c>
      <c r="G143" s="15">
        <v>44812</v>
      </c>
      <c r="H143" s="8" t="s">
        <v>2002</v>
      </c>
      <c r="I143" s="8" t="s">
        <v>1700</v>
      </c>
      <c r="L143" s="8" t="s">
        <v>2003</v>
      </c>
    </row>
    <row r="144" spans="2:12" s="8" customFormat="1" x14ac:dyDescent="0.25">
      <c r="B144" s="8" t="s">
        <v>1908</v>
      </c>
      <c r="C144" s="8" t="s">
        <v>1909</v>
      </c>
      <c r="D144" s="8" t="s">
        <v>1708</v>
      </c>
      <c r="E144" s="8" t="s">
        <v>1764</v>
      </c>
      <c r="F144" s="8">
        <v>2</v>
      </c>
      <c r="G144" s="15">
        <v>44790</v>
      </c>
      <c r="H144" s="8" t="s">
        <v>2004</v>
      </c>
      <c r="I144" s="8" t="s">
        <v>1700</v>
      </c>
    </row>
    <row r="145" spans="2:12" s="8" customFormat="1" x14ac:dyDescent="0.25">
      <c r="B145" s="8" t="s">
        <v>43</v>
      </c>
      <c r="C145" s="8" t="s">
        <v>1796</v>
      </c>
      <c r="D145" s="8" t="s">
        <v>1708</v>
      </c>
      <c r="E145" s="8" t="s">
        <v>1744</v>
      </c>
      <c r="G145" s="15">
        <v>44783</v>
      </c>
      <c r="H145" s="8" t="s">
        <v>2005</v>
      </c>
      <c r="I145" s="8" t="s">
        <v>1700</v>
      </c>
    </row>
    <row r="146" spans="2:12" s="8" customFormat="1" x14ac:dyDescent="0.25">
      <c r="B146" s="8" t="s">
        <v>32</v>
      </c>
      <c r="C146" s="8" t="s">
        <v>1794</v>
      </c>
      <c r="D146" s="8" t="s">
        <v>1708</v>
      </c>
      <c r="E146" s="8" t="s">
        <v>2006</v>
      </c>
      <c r="F146" s="8">
        <v>1</v>
      </c>
      <c r="G146" s="15">
        <v>44839</v>
      </c>
      <c r="H146" s="8" t="s">
        <v>2007</v>
      </c>
      <c r="I146" s="8" t="s">
        <v>1700</v>
      </c>
      <c r="L146" s="12"/>
    </row>
    <row r="147" spans="2:12" s="8" customFormat="1" x14ac:dyDescent="0.25">
      <c r="B147" s="8" t="s">
        <v>1695</v>
      </c>
      <c r="C147" s="8" t="s">
        <v>2008</v>
      </c>
      <c r="D147" s="8" t="s">
        <v>1697</v>
      </c>
      <c r="E147" s="8" t="s">
        <v>1698</v>
      </c>
      <c r="F147" s="8">
        <v>1</v>
      </c>
      <c r="G147" s="15">
        <v>44775</v>
      </c>
      <c r="H147" s="8" t="s">
        <v>1699</v>
      </c>
      <c r="I147" s="8" t="s">
        <v>1700</v>
      </c>
    </row>
    <row r="148" spans="2:12" s="8" customFormat="1" x14ac:dyDescent="0.25">
      <c r="B148" s="8" t="s">
        <v>32</v>
      </c>
      <c r="C148" s="8" t="s">
        <v>1954</v>
      </c>
      <c r="D148" s="8" t="s">
        <v>1708</v>
      </c>
      <c r="E148" s="8" t="s">
        <v>1698</v>
      </c>
      <c r="F148" s="8">
        <v>1</v>
      </c>
      <c r="G148" s="15">
        <v>44818</v>
      </c>
      <c r="H148" s="8" t="s">
        <v>2009</v>
      </c>
      <c r="I148" s="8" t="s">
        <v>1711</v>
      </c>
      <c r="L148" s="8" t="s">
        <v>2010</v>
      </c>
    </row>
    <row r="149" spans="2:12" s="8" customFormat="1" x14ac:dyDescent="0.25">
      <c r="B149" s="8" t="s">
        <v>1821</v>
      </c>
      <c r="C149" s="8" t="s">
        <v>2011</v>
      </c>
      <c r="D149" s="8" t="s">
        <v>1708</v>
      </c>
      <c r="E149" s="8" t="s">
        <v>1698</v>
      </c>
      <c r="F149" s="8">
        <v>2</v>
      </c>
      <c r="G149" s="15">
        <v>44796</v>
      </c>
      <c r="H149" s="8" t="s">
        <v>2012</v>
      </c>
      <c r="I149" s="8" t="s">
        <v>1700</v>
      </c>
    </row>
    <row r="150" spans="2:12" s="8" customFormat="1" x14ac:dyDescent="0.25">
      <c r="B150" s="8" t="s">
        <v>168</v>
      </c>
      <c r="C150" s="8" t="s">
        <v>2013</v>
      </c>
      <c r="D150" s="8" t="s">
        <v>1718</v>
      </c>
      <c r="E150" s="8" t="s">
        <v>1698</v>
      </c>
      <c r="F150" s="8">
        <v>1</v>
      </c>
      <c r="G150" s="15">
        <v>44834</v>
      </c>
      <c r="H150" s="8" t="s">
        <v>2014</v>
      </c>
      <c r="I150" s="8" t="s">
        <v>1711</v>
      </c>
    </row>
    <row r="151" spans="2:12" s="8" customFormat="1" x14ac:dyDescent="0.25">
      <c r="B151" s="8" t="s">
        <v>1821</v>
      </c>
      <c r="C151" s="8" t="s">
        <v>2015</v>
      </c>
      <c r="D151" s="8" t="s">
        <v>1714</v>
      </c>
      <c r="E151" s="8" t="s">
        <v>1988</v>
      </c>
      <c r="F151" s="8">
        <v>3</v>
      </c>
      <c r="G151" s="15">
        <v>44848</v>
      </c>
      <c r="H151" s="8" t="s">
        <v>2016</v>
      </c>
      <c r="I151" s="8" t="s">
        <v>1700</v>
      </c>
    </row>
    <row r="152" spans="2:12" s="8" customFormat="1" x14ac:dyDescent="0.25">
      <c r="B152" s="8" t="s">
        <v>32</v>
      </c>
      <c r="C152" s="8" t="s">
        <v>1954</v>
      </c>
      <c r="D152" s="8" t="s">
        <v>1708</v>
      </c>
      <c r="E152" s="8" t="s">
        <v>2017</v>
      </c>
      <c r="F152" s="8">
        <v>1</v>
      </c>
      <c r="G152" s="15">
        <v>44820</v>
      </c>
      <c r="H152" s="8" t="s">
        <v>2018</v>
      </c>
      <c r="I152" s="8" t="s">
        <v>1711</v>
      </c>
    </row>
    <row r="153" spans="2:12" s="8" customFormat="1" x14ac:dyDescent="0.25">
      <c r="B153" s="8" t="s">
        <v>32</v>
      </c>
      <c r="C153" s="8" t="s">
        <v>1983</v>
      </c>
      <c r="D153" s="8" t="s">
        <v>1708</v>
      </c>
      <c r="E153" s="8" t="s">
        <v>1744</v>
      </c>
      <c r="F153" s="8">
        <v>1</v>
      </c>
      <c r="G153" s="15">
        <v>44816</v>
      </c>
      <c r="H153" s="8" t="s">
        <v>2019</v>
      </c>
      <c r="I153" s="8" t="s">
        <v>1700</v>
      </c>
    </row>
    <row r="154" spans="2:12" s="8" customFormat="1" x14ac:dyDescent="0.25">
      <c r="B154" s="8" t="s">
        <v>32</v>
      </c>
      <c r="C154" s="8" t="s">
        <v>1983</v>
      </c>
      <c r="D154" s="8" t="s">
        <v>1708</v>
      </c>
      <c r="E154" s="8" t="s">
        <v>1744</v>
      </c>
      <c r="F154" s="8">
        <v>1</v>
      </c>
      <c r="G154" s="15">
        <v>44816</v>
      </c>
      <c r="H154" s="8" t="s">
        <v>1874</v>
      </c>
      <c r="I154" s="8" t="s">
        <v>1700</v>
      </c>
    </row>
    <row r="155" spans="2:12" s="8" customFormat="1" x14ac:dyDescent="0.25">
      <c r="B155" s="8" t="s">
        <v>1783</v>
      </c>
      <c r="C155" s="8" t="s">
        <v>1881</v>
      </c>
      <c r="D155" s="8" t="s">
        <v>1708</v>
      </c>
      <c r="E155" s="8" t="s">
        <v>1733</v>
      </c>
      <c r="F155" s="8">
        <v>1</v>
      </c>
      <c r="G155" s="15">
        <v>44803</v>
      </c>
      <c r="H155" s="8" t="s">
        <v>1910</v>
      </c>
      <c r="I155" s="8" t="s">
        <v>1700</v>
      </c>
      <c r="L155" s="8" t="s">
        <v>1820</v>
      </c>
    </row>
    <row r="156" spans="2:12" s="8" customFormat="1" x14ac:dyDescent="0.25">
      <c r="B156" s="8" t="s">
        <v>1777</v>
      </c>
      <c r="C156" s="8" t="s">
        <v>2020</v>
      </c>
      <c r="D156" s="8" t="s">
        <v>1708</v>
      </c>
      <c r="E156" s="8" t="s">
        <v>2021</v>
      </c>
      <c r="F156" s="8">
        <v>1</v>
      </c>
      <c r="G156" s="15">
        <v>44805</v>
      </c>
      <c r="H156" s="8" t="s">
        <v>2022</v>
      </c>
      <c r="I156" s="8" t="s">
        <v>1700</v>
      </c>
    </row>
    <row r="157" spans="2:12" s="8" customFormat="1" x14ac:dyDescent="0.25">
      <c r="B157" s="8" t="s">
        <v>14</v>
      </c>
      <c r="C157" s="8" t="s">
        <v>2023</v>
      </c>
      <c r="D157" s="8" t="s">
        <v>1708</v>
      </c>
      <c r="E157" s="8" t="s">
        <v>1802</v>
      </c>
      <c r="F157" s="8">
        <v>1</v>
      </c>
      <c r="G157" s="15">
        <v>44816</v>
      </c>
      <c r="H157" s="8" t="s">
        <v>2024</v>
      </c>
      <c r="I157" s="8" t="s">
        <v>1700</v>
      </c>
    </row>
    <row r="158" spans="2:12" s="8" customFormat="1" x14ac:dyDescent="0.25">
      <c r="B158" s="8" t="s">
        <v>1783</v>
      </c>
      <c r="C158" s="8" t="s">
        <v>1784</v>
      </c>
      <c r="D158" s="8" t="s">
        <v>1708</v>
      </c>
      <c r="E158" s="8" t="s">
        <v>1885</v>
      </c>
      <c r="F158" s="8">
        <v>1</v>
      </c>
      <c r="G158" s="15">
        <v>44817</v>
      </c>
      <c r="H158" s="8" t="s">
        <v>2025</v>
      </c>
      <c r="I158" s="8" t="s">
        <v>1700</v>
      </c>
    </row>
    <row r="159" spans="2:12" s="8" customFormat="1" x14ac:dyDescent="0.25">
      <c r="B159" s="8" t="s">
        <v>14</v>
      </c>
      <c r="C159" s="8" t="s">
        <v>2026</v>
      </c>
      <c r="D159" s="8" t="s">
        <v>1708</v>
      </c>
      <c r="E159" s="8" t="s">
        <v>1733</v>
      </c>
      <c r="F159" s="8">
        <v>2</v>
      </c>
      <c r="G159" s="15">
        <v>44789</v>
      </c>
      <c r="H159" s="8" t="s">
        <v>2027</v>
      </c>
      <c r="I159" s="8" t="s">
        <v>1700</v>
      </c>
      <c r="L159" s="8" t="s">
        <v>2028</v>
      </c>
    </row>
    <row r="160" spans="2:12" s="8" customFormat="1" x14ac:dyDescent="0.25">
      <c r="B160" s="8" t="s">
        <v>1783</v>
      </c>
      <c r="C160" s="8" t="s">
        <v>1784</v>
      </c>
      <c r="D160" s="8" t="s">
        <v>1708</v>
      </c>
      <c r="E160" s="8" t="s">
        <v>2029</v>
      </c>
      <c r="F160" s="8">
        <v>1</v>
      </c>
      <c r="G160" s="15">
        <v>44817</v>
      </c>
      <c r="H160" s="8" t="s">
        <v>2030</v>
      </c>
      <c r="I160" s="8" t="s">
        <v>1700</v>
      </c>
    </row>
    <row r="161" spans="2:12" s="8" customFormat="1" x14ac:dyDescent="0.25">
      <c r="B161" s="8" t="s">
        <v>32</v>
      </c>
      <c r="C161" s="8" t="s">
        <v>2031</v>
      </c>
      <c r="D161" s="8" t="s">
        <v>1708</v>
      </c>
      <c r="E161" s="8" t="s">
        <v>1747</v>
      </c>
      <c r="F161" s="8">
        <v>1</v>
      </c>
      <c r="G161" s="15">
        <v>44902</v>
      </c>
      <c r="H161" s="8" t="s">
        <v>2032</v>
      </c>
      <c r="I161" s="8" t="s">
        <v>1700</v>
      </c>
    </row>
    <row r="162" spans="2:12" s="8" customFormat="1" x14ac:dyDescent="0.25">
      <c r="B162" s="8" t="s">
        <v>1777</v>
      </c>
      <c r="C162" s="8" t="s">
        <v>1992</v>
      </c>
      <c r="D162" s="8" t="s">
        <v>1708</v>
      </c>
      <c r="E162" s="8" t="s">
        <v>2029</v>
      </c>
      <c r="F162" s="8">
        <v>1</v>
      </c>
      <c r="G162" s="15">
        <v>44817</v>
      </c>
      <c r="H162" s="8" t="s">
        <v>2033</v>
      </c>
      <c r="I162" s="8" t="s">
        <v>1700</v>
      </c>
      <c r="L162" s="8" t="s">
        <v>2034</v>
      </c>
    </row>
    <row r="163" spans="2:12" s="8" customFormat="1" x14ac:dyDescent="0.25">
      <c r="B163" s="8" t="s">
        <v>32</v>
      </c>
      <c r="C163" s="8" t="s">
        <v>1983</v>
      </c>
      <c r="D163" s="8" t="s">
        <v>1708</v>
      </c>
      <c r="E163" s="8" t="s">
        <v>1698</v>
      </c>
      <c r="F163" s="8">
        <v>1</v>
      </c>
      <c r="G163" s="15">
        <v>44825</v>
      </c>
      <c r="H163" s="8" t="s">
        <v>2035</v>
      </c>
      <c r="I163" s="8" t="s">
        <v>1711</v>
      </c>
    </row>
    <row r="164" spans="2:12" s="8" customFormat="1" x14ac:dyDescent="0.25">
      <c r="B164" s="8" t="s">
        <v>1783</v>
      </c>
      <c r="C164" s="8" t="s">
        <v>1881</v>
      </c>
      <c r="D164" s="8" t="s">
        <v>1708</v>
      </c>
      <c r="E164" s="8" t="s">
        <v>1698</v>
      </c>
      <c r="F164" s="8">
        <v>1</v>
      </c>
      <c r="G164" s="15">
        <v>44811</v>
      </c>
      <c r="H164" s="8" t="s">
        <v>2036</v>
      </c>
      <c r="I164" s="8" t="s">
        <v>1700</v>
      </c>
      <c r="L164" s="8" t="s">
        <v>2037</v>
      </c>
    </row>
    <row r="165" spans="2:12" s="8" customFormat="1" x14ac:dyDescent="0.25">
      <c r="B165" s="8" t="s">
        <v>32</v>
      </c>
      <c r="C165" s="8" t="s">
        <v>1983</v>
      </c>
      <c r="D165" s="8" t="s">
        <v>1869</v>
      </c>
      <c r="E165" s="8" t="s">
        <v>1698</v>
      </c>
      <c r="F165" s="8">
        <v>1</v>
      </c>
      <c r="G165" s="15">
        <v>44826</v>
      </c>
      <c r="H165" s="8" t="s">
        <v>2038</v>
      </c>
      <c r="I165" s="8" t="s">
        <v>1711</v>
      </c>
    </row>
    <row r="166" spans="2:12" s="8" customFormat="1" x14ac:dyDescent="0.25">
      <c r="B166" s="8" t="s">
        <v>1908</v>
      </c>
      <c r="C166" s="8" t="s">
        <v>1909</v>
      </c>
      <c r="D166" s="8" t="s">
        <v>1708</v>
      </c>
      <c r="E166" s="8" t="s">
        <v>1733</v>
      </c>
      <c r="F166" s="8">
        <v>1</v>
      </c>
      <c r="G166" s="15">
        <v>44839</v>
      </c>
      <c r="H166" s="8" t="s">
        <v>2039</v>
      </c>
      <c r="I166" s="8" t="s">
        <v>1700</v>
      </c>
      <c r="L166" s="8" t="s">
        <v>2040</v>
      </c>
    </row>
    <row r="167" spans="2:12" s="8" customFormat="1" x14ac:dyDescent="0.25">
      <c r="B167" s="8" t="s">
        <v>2041</v>
      </c>
      <c r="C167" s="8" t="s">
        <v>2042</v>
      </c>
      <c r="D167" s="8" t="s">
        <v>1714</v>
      </c>
      <c r="E167" s="8" t="s">
        <v>1764</v>
      </c>
      <c r="F167" s="8">
        <v>1</v>
      </c>
      <c r="G167" s="15">
        <v>44806</v>
      </c>
      <c r="H167" s="8" t="s">
        <v>2043</v>
      </c>
      <c r="I167" s="8" t="s">
        <v>1700</v>
      </c>
      <c r="L167" s="8" t="s">
        <v>2044</v>
      </c>
    </row>
    <row r="168" spans="2:12" s="8" customFormat="1" x14ac:dyDescent="0.25">
      <c r="B168" s="8" t="s">
        <v>243</v>
      </c>
      <c r="C168" s="8" t="s">
        <v>2045</v>
      </c>
      <c r="D168" s="8" t="s">
        <v>1708</v>
      </c>
      <c r="E168" s="8" t="s">
        <v>1809</v>
      </c>
      <c r="F168" s="8">
        <v>1</v>
      </c>
      <c r="G168" s="15">
        <v>44818</v>
      </c>
      <c r="H168" s="8" t="s">
        <v>2046</v>
      </c>
      <c r="I168" s="8" t="s">
        <v>1700</v>
      </c>
    </row>
    <row r="169" spans="2:12" s="8" customFormat="1" x14ac:dyDescent="0.25">
      <c r="B169" s="8" t="s">
        <v>104</v>
      </c>
      <c r="C169" s="8" t="s">
        <v>2047</v>
      </c>
      <c r="D169" s="8" t="s">
        <v>1718</v>
      </c>
      <c r="E169" s="8" t="s">
        <v>1698</v>
      </c>
      <c r="F169" s="8">
        <v>1</v>
      </c>
      <c r="G169" s="15">
        <v>44795</v>
      </c>
      <c r="H169" s="8" t="s">
        <v>2048</v>
      </c>
      <c r="I169" s="8" t="s">
        <v>1700</v>
      </c>
      <c r="L169" s="8" t="s">
        <v>2049</v>
      </c>
    </row>
    <row r="170" spans="2:12" s="8" customFormat="1" x14ac:dyDescent="0.25">
      <c r="B170" s="8" t="s">
        <v>14</v>
      </c>
      <c r="C170" s="8" t="s">
        <v>1911</v>
      </c>
      <c r="D170" s="8" t="s">
        <v>1818</v>
      </c>
      <c r="E170" s="8" t="s">
        <v>1764</v>
      </c>
      <c r="F170" s="8">
        <v>2</v>
      </c>
      <c r="G170" s="15">
        <v>44792</v>
      </c>
      <c r="H170" s="8" t="s">
        <v>2050</v>
      </c>
      <c r="I170" s="8" t="s">
        <v>1700</v>
      </c>
    </row>
    <row r="171" spans="2:12" s="8" customFormat="1" x14ac:dyDescent="0.25">
      <c r="B171" s="8" t="s">
        <v>168</v>
      </c>
      <c r="C171" s="8" t="s">
        <v>1817</v>
      </c>
      <c r="D171" s="8" t="s">
        <v>1718</v>
      </c>
      <c r="E171" s="8" t="s">
        <v>1698</v>
      </c>
      <c r="F171" s="8">
        <v>1</v>
      </c>
      <c r="G171" s="15">
        <v>44834</v>
      </c>
      <c r="H171" s="8" t="s">
        <v>2051</v>
      </c>
      <c r="I171" s="8" t="s">
        <v>1711</v>
      </c>
    </row>
    <row r="172" spans="2:12" s="8" customFormat="1" x14ac:dyDescent="0.25">
      <c r="B172" s="8" t="s">
        <v>1908</v>
      </c>
      <c r="C172" s="8" t="s">
        <v>1909</v>
      </c>
      <c r="D172" s="8" t="s">
        <v>1708</v>
      </c>
      <c r="E172" s="8" t="s">
        <v>1764</v>
      </c>
      <c r="F172" s="8">
        <v>1</v>
      </c>
      <c r="G172" s="15">
        <v>44818</v>
      </c>
      <c r="H172" s="8" t="s">
        <v>2052</v>
      </c>
      <c r="I172" s="8" t="s">
        <v>1711</v>
      </c>
      <c r="L172" s="12"/>
    </row>
    <row r="173" spans="2:12" s="8" customFormat="1" x14ac:dyDescent="0.25">
      <c r="B173" s="8" t="s">
        <v>1783</v>
      </c>
      <c r="C173" s="8" t="s">
        <v>380</v>
      </c>
      <c r="D173" s="8" t="s">
        <v>1714</v>
      </c>
      <c r="E173" s="8" t="s">
        <v>2053</v>
      </c>
      <c r="F173" s="8">
        <v>1</v>
      </c>
      <c r="G173" s="15">
        <v>44837</v>
      </c>
      <c r="H173" s="8" t="s">
        <v>2054</v>
      </c>
      <c r="I173" s="8" t="s">
        <v>1711</v>
      </c>
    </row>
    <row r="174" spans="2:12" s="8" customFormat="1" x14ac:dyDescent="0.25">
      <c r="B174" s="8" t="s">
        <v>2041</v>
      </c>
      <c r="C174" s="8" t="s">
        <v>2042</v>
      </c>
      <c r="D174" s="8" t="s">
        <v>1714</v>
      </c>
      <c r="E174" s="8" t="s">
        <v>2055</v>
      </c>
      <c r="F174" s="8">
        <v>2</v>
      </c>
      <c r="G174" s="15">
        <v>44825</v>
      </c>
      <c r="H174" s="8" t="s">
        <v>2056</v>
      </c>
      <c r="I174" s="8" t="s">
        <v>1700</v>
      </c>
    </row>
    <row r="175" spans="2:12" s="8" customFormat="1" x14ac:dyDescent="0.25">
      <c r="B175" s="8" t="s">
        <v>163</v>
      </c>
      <c r="C175" s="8" t="s">
        <v>1741</v>
      </c>
      <c r="D175" s="8" t="s">
        <v>1714</v>
      </c>
      <c r="E175" s="8" t="s">
        <v>1744</v>
      </c>
      <c r="F175" s="8">
        <v>1</v>
      </c>
      <c r="G175" s="15">
        <v>44790</v>
      </c>
      <c r="H175" s="8" t="s">
        <v>1715</v>
      </c>
      <c r="I175" s="8" t="s">
        <v>1700</v>
      </c>
      <c r="L175" s="8" t="s">
        <v>2057</v>
      </c>
    </row>
    <row r="176" spans="2:12" s="8" customFormat="1" x14ac:dyDescent="0.25">
      <c r="B176" s="8" t="s">
        <v>1821</v>
      </c>
      <c r="C176" s="8" t="s">
        <v>2058</v>
      </c>
      <c r="D176" s="8" t="s">
        <v>1714</v>
      </c>
      <c r="E176" s="8" t="s">
        <v>645</v>
      </c>
      <c r="F176" s="8">
        <v>2</v>
      </c>
      <c r="G176" s="15">
        <v>44855</v>
      </c>
      <c r="H176" s="15" t="s">
        <v>2059</v>
      </c>
      <c r="I176" s="8" t="s">
        <v>1700</v>
      </c>
    </row>
    <row r="177" spans="2:12" s="8" customFormat="1" x14ac:dyDescent="0.25">
      <c r="B177" s="8" t="s">
        <v>1777</v>
      </c>
      <c r="C177" s="8" t="s">
        <v>2060</v>
      </c>
      <c r="D177" s="8" t="s">
        <v>1714</v>
      </c>
      <c r="E177" s="8" t="s">
        <v>1744</v>
      </c>
      <c r="F177" s="8">
        <v>1</v>
      </c>
      <c r="G177" s="15">
        <v>44788</v>
      </c>
      <c r="H177" s="8" t="s">
        <v>2061</v>
      </c>
      <c r="I177" s="8" t="s">
        <v>1700</v>
      </c>
    </row>
    <row r="178" spans="2:12" s="8" customFormat="1" x14ac:dyDescent="0.25">
      <c r="B178" s="8" t="s">
        <v>32</v>
      </c>
      <c r="C178" s="8" t="s">
        <v>2062</v>
      </c>
      <c r="D178" s="8" t="s">
        <v>1708</v>
      </c>
      <c r="E178" s="8" t="s">
        <v>2063</v>
      </c>
      <c r="F178" s="8">
        <v>1</v>
      </c>
      <c r="G178" s="15">
        <v>44901</v>
      </c>
      <c r="H178" s="8" t="s">
        <v>2064</v>
      </c>
      <c r="I178" s="8" t="s">
        <v>1711</v>
      </c>
    </row>
    <row r="179" spans="2:12" s="8" customFormat="1" x14ac:dyDescent="0.25">
      <c r="B179" s="8" t="s">
        <v>1716</v>
      </c>
      <c r="C179" s="8" t="s">
        <v>2065</v>
      </c>
      <c r="D179" s="8" t="s">
        <v>1714</v>
      </c>
      <c r="E179" s="8" t="s">
        <v>2066</v>
      </c>
      <c r="F179" s="8">
        <v>3</v>
      </c>
      <c r="G179" s="15">
        <v>44841</v>
      </c>
      <c r="H179" s="8" t="s">
        <v>2067</v>
      </c>
      <c r="I179" s="8" t="s">
        <v>1711</v>
      </c>
      <c r="L179" s="8" t="s">
        <v>2068</v>
      </c>
    </row>
    <row r="180" spans="2:12" s="8" customFormat="1" x14ac:dyDescent="0.25">
      <c r="B180" s="8" t="s">
        <v>1777</v>
      </c>
      <c r="C180" s="8" t="s">
        <v>2060</v>
      </c>
      <c r="D180" s="8" t="s">
        <v>1714</v>
      </c>
      <c r="E180" s="8" t="s">
        <v>1744</v>
      </c>
      <c r="G180" s="15">
        <v>44776</v>
      </c>
      <c r="H180" s="8" t="s">
        <v>2069</v>
      </c>
      <c r="I180" s="8" t="s">
        <v>1700</v>
      </c>
    </row>
    <row r="181" spans="2:12" s="8" customFormat="1" x14ac:dyDescent="0.25">
      <c r="B181" s="8" t="s">
        <v>1908</v>
      </c>
      <c r="C181" s="8" t="s">
        <v>1909</v>
      </c>
      <c r="D181" s="8" t="s">
        <v>1708</v>
      </c>
      <c r="E181" s="8" t="s">
        <v>1733</v>
      </c>
      <c r="F181" s="8">
        <v>3</v>
      </c>
      <c r="G181" s="15">
        <v>44813</v>
      </c>
      <c r="H181" s="8" t="s">
        <v>2070</v>
      </c>
      <c r="I181" s="8" t="s">
        <v>1700</v>
      </c>
    </row>
    <row r="182" spans="2:12" s="8" customFormat="1" x14ac:dyDescent="0.25">
      <c r="B182" s="8" t="s">
        <v>168</v>
      </c>
      <c r="C182" s="8" t="s">
        <v>2071</v>
      </c>
      <c r="D182" s="8" t="s">
        <v>1714</v>
      </c>
      <c r="E182" s="8" t="s">
        <v>1744</v>
      </c>
      <c r="F182" s="8">
        <v>3</v>
      </c>
      <c r="G182" s="15">
        <v>44791</v>
      </c>
      <c r="H182" s="8" t="s">
        <v>2072</v>
      </c>
      <c r="I182" s="8" t="s">
        <v>1700</v>
      </c>
      <c r="L182" s="8" t="s">
        <v>2073</v>
      </c>
    </row>
    <row r="183" spans="2:12" s="8" customFormat="1" x14ac:dyDescent="0.25">
      <c r="B183" s="8" t="s">
        <v>1783</v>
      </c>
      <c r="C183" s="8" t="s">
        <v>1784</v>
      </c>
      <c r="D183" s="8" t="s">
        <v>1708</v>
      </c>
      <c r="E183" s="8" t="s">
        <v>1733</v>
      </c>
      <c r="F183" s="8">
        <v>1</v>
      </c>
      <c r="G183" s="15">
        <v>44797</v>
      </c>
      <c r="H183" s="8" t="s">
        <v>2074</v>
      </c>
      <c r="I183" s="8" t="s">
        <v>1700</v>
      </c>
      <c r="L183" s="8" t="s">
        <v>2075</v>
      </c>
    </row>
    <row r="184" spans="2:12" s="8" customFormat="1" x14ac:dyDescent="0.25">
      <c r="B184" s="8" t="s">
        <v>1908</v>
      </c>
      <c r="C184" s="8" t="s">
        <v>2065</v>
      </c>
      <c r="D184" s="8" t="s">
        <v>1714</v>
      </c>
      <c r="E184" s="8" t="s">
        <v>1809</v>
      </c>
      <c r="F184" s="8">
        <v>2</v>
      </c>
      <c r="G184" s="15">
        <v>44795</v>
      </c>
      <c r="H184" s="8" t="s">
        <v>2076</v>
      </c>
      <c r="I184" s="8" t="s">
        <v>1700</v>
      </c>
    </row>
    <row r="185" spans="2:12" s="8" customFormat="1" x14ac:dyDescent="0.25">
      <c r="B185" s="8" t="s">
        <v>1783</v>
      </c>
      <c r="C185" s="8" t="s">
        <v>1784</v>
      </c>
      <c r="D185" s="8" t="s">
        <v>1697</v>
      </c>
      <c r="E185" s="8" t="s">
        <v>1698</v>
      </c>
      <c r="F185" s="8">
        <v>1</v>
      </c>
      <c r="G185" s="15">
        <v>44817</v>
      </c>
      <c r="H185" s="8" t="s">
        <v>2077</v>
      </c>
      <c r="I185" s="8" t="s">
        <v>1700</v>
      </c>
    </row>
    <row r="186" spans="2:12" s="8" customFormat="1" x14ac:dyDescent="0.25">
      <c r="B186" s="8" t="s">
        <v>43</v>
      </c>
      <c r="C186" s="8" t="s">
        <v>1938</v>
      </c>
      <c r="D186" s="8" t="s">
        <v>1802</v>
      </c>
      <c r="E186" s="8" t="s">
        <v>1744</v>
      </c>
      <c r="F186" s="8">
        <v>1</v>
      </c>
      <c r="G186" s="15">
        <v>44796</v>
      </c>
      <c r="H186" s="8" t="s">
        <v>2078</v>
      </c>
      <c r="I186" s="8" t="s">
        <v>1700</v>
      </c>
    </row>
    <row r="187" spans="2:12" s="8" customFormat="1" x14ac:dyDescent="0.25">
      <c r="B187" s="8" t="s">
        <v>70</v>
      </c>
      <c r="C187" s="8" t="s">
        <v>2079</v>
      </c>
      <c r="D187" s="8" t="s">
        <v>1714</v>
      </c>
      <c r="E187" s="8" t="s">
        <v>1809</v>
      </c>
      <c r="F187" s="8">
        <v>1</v>
      </c>
      <c r="G187" s="15">
        <v>44818</v>
      </c>
      <c r="H187" s="8" t="s">
        <v>2080</v>
      </c>
      <c r="I187" s="8" t="s">
        <v>1700</v>
      </c>
    </row>
    <row r="188" spans="2:12" s="8" customFormat="1" x14ac:dyDescent="0.25">
      <c r="B188" s="8" t="s">
        <v>32</v>
      </c>
      <c r="C188" s="8" t="s">
        <v>1919</v>
      </c>
      <c r="D188" s="8" t="s">
        <v>1768</v>
      </c>
      <c r="E188" s="8" t="s">
        <v>1920</v>
      </c>
      <c r="F188" s="8">
        <v>1</v>
      </c>
      <c r="G188" s="15">
        <v>44907</v>
      </c>
      <c r="H188" s="8" t="s">
        <v>2081</v>
      </c>
      <c r="I188" s="8" t="s">
        <v>1700</v>
      </c>
      <c r="L188" s="8" t="s">
        <v>2082</v>
      </c>
    </row>
    <row r="189" spans="2:12" s="8" customFormat="1" x14ac:dyDescent="0.25">
      <c r="B189" s="8" t="s">
        <v>243</v>
      </c>
      <c r="C189" s="8" t="s">
        <v>1805</v>
      </c>
      <c r="D189" s="8" t="s">
        <v>1808</v>
      </c>
      <c r="E189" s="8" t="s">
        <v>932</v>
      </c>
      <c r="F189" s="8">
        <v>1</v>
      </c>
      <c r="G189" s="15">
        <v>44796</v>
      </c>
      <c r="H189" s="8" t="s">
        <v>2083</v>
      </c>
      <c r="I189" s="8" t="s">
        <v>1700</v>
      </c>
      <c r="L189" s="12" t="s">
        <v>2084</v>
      </c>
    </row>
    <row r="190" spans="2:12" s="8" customFormat="1" x14ac:dyDescent="0.25">
      <c r="B190" s="8" t="s">
        <v>243</v>
      </c>
      <c r="C190" s="8" t="s">
        <v>2045</v>
      </c>
      <c r="D190" s="8" t="s">
        <v>1708</v>
      </c>
      <c r="E190" s="8" t="s">
        <v>1698</v>
      </c>
      <c r="F190" s="8">
        <v>1</v>
      </c>
      <c r="G190" s="15">
        <v>44815</v>
      </c>
      <c r="H190" s="8" t="s">
        <v>1895</v>
      </c>
      <c r="I190" s="8" t="s">
        <v>1711</v>
      </c>
    </row>
    <row r="191" spans="2:12" s="8" customFormat="1" x14ac:dyDescent="0.25">
      <c r="B191" s="8" t="s">
        <v>1716</v>
      </c>
      <c r="C191" s="8" t="s">
        <v>2065</v>
      </c>
      <c r="D191" s="8" t="s">
        <v>1714</v>
      </c>
      <c r="E191" s="8" t="s">
        <v>1764</v>
      </c>
      <c r="F191" s="8">
        <v>3</v>
      </c>
      <c r="G191" s="15">
        <v>44841</v>
      </c>
      <c r="H191" s="8" t="s">
        <v>2085</v>
      </c>
      <c r="I191" s="8" t="s">
        <v>1711</v>
      </c>
    </row>
    <row r="192" spans="2:12" s="8" customFormat="1" x14ac:dyDescent="0.25">
      <c r="B192" s="8" t="s">
        <v>43</v>
      </c>
      <c r="C192" s="8" t="s">
        <v>1938</v>
      </c>
      <c r="D192" s="8" t="s">
        <v>1708</v>
      </c>
      <c r="E192" s="8" t="s">
        <v>1744</v>
      </c>
      <c r="F192" s="8">
        <v>1</v>
      </c>
      <c r="G192" s="15">
        <v>44805</v>
      </c>
      <c r="H192" s="8" t="s">
        <v>1895</v>
      </c>
      <c r="I192" s="8" t="s">
        <v>1700</v>
      </c>
    </row>
    <row r="193" spans="2:12" s="8" customFormat="1" x14ac:dyDescent="0.25">
      <c r="B193" s="8" t="s">
        <v>243</v>
      </c>
      <c r="C193" s="8" t="s">
        <v>2086</v>
      </c>
      <c r="D193" s="8" t="s">
        <v>1714</v>
      </c>
      <c r="E193" s="8" t="s">
        <v>2087</v>
      </c>
      <c r="F193" s="8">
        <v>1</v>
      </c>
      <c r="G193" s="15">
        <v>44839</v>
      </c>
      <c r="H193" s="8" t="s">
        <v>2088</v>
      </c>
      <c r="I193" s="8" t="s">
        <v>1700</v>
      </c>
      <c r="L193" s="12"/>
    </row>
    <row r="194" spans="2:12" s="8" customFormat="1" x14ac:dyDescent="0.25">
      <c r="B194" s="8" t="s">
        <v>32</v>
      </c>
      <c r="C194" s="8" t="s">
        <v>1919</v>
      </c>
      <c r="D194" s="8" t="s">
        <v>1718</v>
      </c>
      <c r="E194" s="8" t="s">
        <v>1698</v>
      </c>
      <c r="F194" s="8">
        <v>1</v>
      </c>
      <c r="G194" s="15">
        <v>44849</v>
      </c>
      <c r="H194" s="8" t="s">
        <v>2089</v>
      </c>
      <c r="I194" s="8" t="s">
        <v>1700</v>
      </c>
      <c r="L194" s="12"/>
    </row>
    <row r="195" spans="2:12" s="8" customFormat="1" x14ac:dyDescent="0.25">
      <c r="B195" s="8" t="s">
        <v>243</v>
      </c>
      <c r="C195" s="8" t="s">
        <v>2045</v>
      </c>
      <c r="D195" s="8" t="s">
        <v>1708</v>
      </c>
      <c r="E195" s="8" t="s">
        <v>2029</v>
      </c>
      <c r="F195" s="8">
        <v>1</v>
      </c>
      <c r="G195" s="15">
        <v>44820</v>
      </c>
      <c r="H195" s="8" t="s">
        <v>1895</v>
      </c>
      <c r="I195" s="8" t="s">
        <v>1700</v>
      </c>
    </row>
    <row r="196" spans="2:12" s="8" customFormat="1" x14ac:dyDescent="0.25">
      <c r="B196" s="8" t="s">
        <v>243</v>
      </c>
      <c r="C196" s="8">
        <v>3589</v>
      </c>
      <c r="D196" s="8" t="s">
        <v>1708</v>
      </c>
      <c r="E196" s="8" t="s">
        <v>1744</v>
      </c>
      <c r="F196" s="8">
        <v>1</v>
      </c>
      <c r="G196" s="15">
        <v>44837</v>
      </c>
      <c r="H196" s="8" t="s">
        <v>2090</v>
      </c>
      <c r="I196" s="8" t="s">
        <v>1700</v>
      </c>
    </row>
    <row r="197" spans="2:12" s="8" customFormat="1" x14ac:dyDescent="0.25">
      <c r="B197" s="8" t="s">
        <v>243</v>
      </c>
      <c r="C197" s="8" t="s">
        <v>2045</v>
      </c>
      <c r="D197" s="8" t="s">
        <v>1708</v>
      </c>
      <c r="E197" s="8" t="s">
        <v>1744</v>
      </c>
      <c r="F197" s="8">
        <v>3</v>
      </c>
      <c r="G197" s="15">
        <v>44834</v>
      </c>
      <c r="H197" s="8" t="s">
        <v>1874</v>
      </c>
      <c r="I197" s="8" t="s">
        <v>1711</v>
      </c>
      <c r="L197" s="8" t="s">
        <v>2091</v>
      </c>
    </row>
    <row r="198" spans="2:12" s="8" customFormat="1" x14ac:dyDescent="0.25">
      <c r="B198" s="8" t="s">
        <v>1870</v>
      </c>
      <c r="C198" s="8" t="s">
        <v>2092</v>
      </c>
      <c r="D198" s="8" t="s">
        <v>1802</v>
      </c>
      <c r="E198" s="8" t="s">
        <v>1698</v>
      </c>
      <c r="F198" s="8">
        <v>1</v>
      </c>
      <c r="G198" s="15">
        <v>44799</v>
      </c>
      <c r="H198" s="15" t="s">
        <v>2093</v>
      </c>
      <c r="I198" s="8" t="s">
        <v>1700</v>
      </c>
      <c r="L198" s="8" t="s">
        <v>2094</v>
      </c>
    </row>
    <row r="199" spans="2:12" s="8" customFormat="1" x14ac:dyDescent="0.25">
      <c r="B199" s="8" t="s">
        <v>168</v>
      </c>
      <c r="C199" s="8" t="s">
        <v>1817</v>
      </c>
      <c r="D199" s="8" t="s">
        <v>1718</v>
      </c>
      <c r="E199" s="8" t="s">
        <v>1733</v>
      </c>
      <c r="F199" s="8">
        <v>1</v>
      </c>
      <c r="G199" s="15">
        <v>44803</v>
      </c>
      <c r="H199" s="8" t="s">
        <v>2095</v>
      </c>
      <c r="I199" s="8" t="s">
        <v>1700</v>
      </c>
      <c r="L199" s="8" t="s">
        <v>1944</v>
      </c>
    </row>
    <row r="200" spans="2:12" s="8" customFormat="1" x14ac:dyDescent="0.25">
      <c r="B200" s="8" t="s">
        <v>243</v>
      </c>
      <c r="C200" s="8" t="s">
        <v>2045</v>
      </c>
      <c r="D200" s="8" t="s">
        <v>1708</v>
      </c>
      <c r="E200" s="8" t="s">
        <v>1809</v>
      </c>
      <c r="F200" s="8">
        <v>3</v>
      </c>
      <c r="G200" s="15">
        <v>44841</v>
      </c>
      <c r="H200" s="8" t="s">
        <v>2096</v>
      </c>
      <c r="I200" s="8" t="s">
        <v>1711</v>
      </c>
      <c r="L200" s="8" t="s">
        <v>2097</v>
      </c>
    </row>
    <row r="201" spans="2:12" s="8" customFormat="1" x14ac:dyDescent="0.25">
      <c r="B201" s="8" t="s">
        <v>168</v>
      </c>
      <c r="C201" s="8" t="s">
        <v>1817</v>
      </c>
      <c r="D201" s="8" t="s">
        <v>1768</v>
      </c>
      <c r="E201" s="8" t="s">
        <v>645</v>
      </c>
      <c r="F201" s="8">
        <v>1</v>
      </c>
      <c r="G201" s="15">
        <v>44804</v>
      </c>
      <c r="H201" s="8" t="s">
        <v>2098</v>
      </c>
      <c r="I201" s="8" t="s">
        <v>1700</v>
      </c>
    </row>
    <row r="202" spans="2:12" s="8" customFormat="1" x14ac:dyDescent="0.25">
      <c r="B202" s="8" t="s">
        <v>1870</v>
      </c>
      <c r="C202" s="8" t="s">
        <v>2092</v>
      </c>
      <c r="D202" s="8" t="s">
        <v>1802</v>
      </c>
      <c r="E202" s="8" t="s">
        <v>1698</v>
      </c>
      <c r="F202" s="8">
        <v>1</v>
      </c>
      <c r="G202" s="15">
        <v>44811</v>
      </c>
      <c r="H202" s="15" t="s">
        <v>2099</v>
      </c>
      <c r="I202" s="8" t="s">
        <v>1700</v>
      </c>
    </row>
    <row r="203" spans="2:12" s="8" customFormat="1" ht="15.75" customHeight="1" x14ac:dyDescent="0.25">
      <c r="B203" s="8" t="s">
        <v>47</v>
      </c>
      <c r="C203" s="8" t="s">
        <v>2100</v>
      </c>
      <c r="D203" s="8" t="s">
        <v>1708</v>
      </c>
      <c r="E203" s="8" t="s">
        <v>2101</v>
      </c>
      <c r="F203" s="8">
        <v>1</v>
      </c>
      <c r="G203" s="15">
        <v>44907</v>
      </c>
      <c r="H203" s="8" t="s">
        <v>2102</v>
      </c>
      <c r="I203" s="8" t="s">
        <v>1711</v>
      </c>
    </row>
    <row r="204" spans="2:12" s="8" customFormat="1" x14ac:dyDescent="0.25">
      <c r="B204" s="8" t="s">
        <v>168</v>
      </c>
      <c r="C204" s="8" t="s">
        <v>2013</v>
      </c>
      <c r="D204" s="8" t="s">
        <v>1768</v>
      </c>
      <c r="E204" s="8" t="s">
        <v>645</v>
      </c>
      <c r="F204" s="8">
        <v>1</v>
      </c>
      <c r="G204" s="15">
        <v>44795</v>
      </c>
      <c r="H204" s="8" t="s">
        <v>2103</v>
      </c>
      <c r="I204" s="8" t="s">
        <v>1700</v>
      </c>
    </row>
    <row r="205" spans="2:12" s="8" customFormat="1" x14ac:dyDescent="0.25">
      <c r="B205" s="8" t="s">
        <v>742</v>
      </c>
      <c r="C205" s="8" t="s">
        <v>2104</v>
      </c>
      <c r="D205" s="8" t="s">
        <v>1714</v>
      </c>
      <c r="E205" s="8" t="s">
        <v>1920</v>
      </c>
      <c r="F205" s="8">
        <v>1</v>
      </c>
      <c r="G205" s="15">
        <v>44844</v>
      </c>
      <c r="H205" s="8" t="s">
        <v>2105</v>
      </c>
      <c r="I205" s="8" t="s">
        <v>1700</v>
      </c>
      <c r="L205" s="8" t="s">
        <v>2106</v>
      </c>
    </row>
    <row r="206" spans="2:12" s="8" customFormat="1" x14ac:dyDescent="0.25">
      <c r="B206" s="8" t="s">
        <v>1783</v>
      </c>
      <c r="C206" s="8" t="s">
        <v>1881</v>
      </c>
      <c r="D206" s="8" t="s">
        <v>1708</v>
      </c>
      <c r="E206" s="8" t="s">
        <v>1733</v>
      </c>
      <c r="F206" s="8">
        <v>1</v>
      </c>
      <c r="G206" s="15">
        <v>44812</v>
      </c>
      <c r="H206" s="8" t="s">
        <v>2107</v>
      </c>
      <c r="I206" s="8" t="s">
        <v>1711</v>
      </c>
      <c r="L206" s="8" t="s">
        <v>2108</v>
      </c>
    </row>
    <row r="207" spans="2:12" s="8" customFormat="1" x14ac:dyDescent="0.25">
      <c r="B207" s="8" t="s">
        <v>253</v>
      </c>
      <c r="C207" s="8" t="s">
        <v>2109</v>
      </c>
      <c r="D207" s="8" t="s">
        <v>1708</v>
      </c>
      <c r="E207" s="8" t="s">
        <v>1802</v>
      </c>
      <c r="F207" s="8">
        <v>1</v>
      </c>
      <c r="G207" s="15">
        <v>44789</v>
      </c>
      <c r="H207" s="8" t="s">
        <v>2110</v>
      </c>
      <c r="I207" s="8" t="s">
        <v>1700</v>
      </c>
      <c r="L207" s="8" t="s">
        <v>2111</v>
      </c>
    </row>
    <row r="208" spans="2:12" s="8" customFormat="1" x14ac:dyDescent="0.25">
      <c r="B208" s="8" t="s">
        <v>253</v>
      </c>
      <c r="C208" s="8" t="s">
        <v>2109</v>
      </c>
      <c r="D208" s="8" t="s">
        <v>1708</v>
      </c>
      <c r="E208" s="8" t="s">
        <v>1698</v>
      </c>
      <c r="F208" s="8">
        <v>1</v>
      </c>
      <c r="G208" s="15">
        <v>44802</v>
      </c>
      <c r="H208" s="8" t="s">
        <v>2112</v>
      </c>
      <c r="I208" s="8" t="s">
        <v>1700</v>
      </c>
    </row>
    <row r="209" spans="2:12" s="8" customFormat="1" x14ac:dyDescent="0.25">
      <c r="B209" s="8" t="s">
        <v>1777</v>
      </c>
      <c r="C209" s="8" t="s">
        <v>2020</v>
      </c>
      <c r="D209" s="8" t="s">
        <v>1697</v>
      </c>
      <c r="E209" s="8" t="s">
        <v>1764</v>
      </c>
      <c r="F209" s="8">
        <v>2</v>
      </c>
      <c r="G209" s="15">
        <v>44790</v>
      </c>
      <c r="H209" s="8" t="s">
        <v>2113</v>
      </c>
      <c r="I209" s="8" t="s">
        <v>1700</v>
      </c>
    </row>
    <row r="210" spans="2:12" s="8" customFormat="1" x14ac:dyDescent="0.25">
      <c r="B210" s="8" t="s">
        <v>43</v>
      </c>
      <c r="C210" s="8" t="s">
        <v>1938</v>
      </c>
      <c r="D210" s="8" t="s">
        <v>1708</v>
      </c>
      <c r="E210" s="8" t="s">
        <v>1744</v>
      </c>
      <c r="F210" s="8">
        <v>1</v>
      </c>
      <c r="G210" s="15">
        <v>44820</v>
      </c>
      <c r="H210" s="8" t="s">
        <v>2114</v>
      </c>
      <c r="I210" s="8" t="s">
        <v>1700</v>
      </c>
    </row>
    <row r="211" spans="2:12" s="8" customFormat="1" x14ac:dyDescent="0.25">
      <c r="B211" s="8" t="s">
        <v>32</v>
      </c>
      <c r="C211" s="8" t="s">
        <v>1919</v>
      </c>
      <c r="D211" s="8" t="s">
        <v>1718</v>
      </c>
      <c r="E211" s="8" t="s">
        <v>1698</v>
      </c>
      <c r="F211" s="8">
        <v>1</v>
      </c>
      <c r="G211" s="15">
        <v>44903</v>
      </c>
      <c r="H211" s="8" t="s">
        <v>2115</v>
      </c>
      <c r="I211" s="8" t="s">
        <v>1700</v>
      </c>
      <c r="L211" s="12"/>
    </row>
    <row r="212" spans="2:12" s="8" customFormat="1" x14ac:dyDescent="0.25">
      <c r="B212" s="8" t="s">
        <v>32</v>
      </c>
      <c r="C212" s="8" t="s">
        <v>1786</v>
      </c>
      <c r="D212" s="8" t="s">
        <v>1718</v>
      </c>
      <c r="E212" s="8" t="s">
        <v>1698</v>
      </c>
      <c r="F212" s="8">
        <v>2</v>
      </c>
      <c r="G212" s="15">
        <v>44819</v>
      </c>
      <c r="H212" s="8" t="s">
        <v>2116</v>
      </c>
      <c r="I212" s="8" t="s">
        <v>1700</v>
      </c>
      <c r="L212" s="12"/>
    </row>
    <row r="213" spans="2:12" s="8" customFormat="1" x14ac:dyDescent="0.25">
      <c r="B213" s="8" t="s">
        <v>32</v>
      </c>
      <c r="C213" s="8" t="s">
        <v>1814</v>
      </c>
      <c r="D213" s="8" t="s">
        <v>1718</v>
      </c>
      <c r="E213" s="8" t="s">
        <v>2117</v>
      </c>
      <c r="F213" s="8">
        <v>1</v>
      </c>
      <c r="G213" s="15">
        <v>44903</v>
      </c>
      <c r="H213" s="8" t="s">
        <v>1797</v>
      </c>
      <c r="I213" s="8" t="s">
        <v>1700</v>
      </c>
      <c r="L213" s="12" t="s">
        <v>2118</v>
      </c>
    </row>
    <row r="214" spans="2:12" s="8" customFormat="1" x14ac:dyDescent="0.25">
      <c r="B214" s="8" t="s">
        <v>32</v>
      </c>
      <c r="C214" s="8" t="s">
        <v>1954</v>
      </c>
      <c r="D214" s="8" t="s">
        <v>1697</v>
      </c>
      <c r="E214" s="8" t="s">
        <v>1809</v>
      </c>
      <c r="F214" s="8">
        <v>1</v>
      </c>
      <c r="G214" s="15">
        <v>44795</v>
      </c>
      <c r="H214" s="8" t="s">
        <v>2119</v>
      </c>
      <c r="I214" s="8" t="s">
        <v>1700</v>
      </c>
      <c r="L214" s="12" t="s">
        <v>2120</v>
      </c>
    </row>
    <row r="215" spans="2:12" s="8" customFormat="1" x14ac:dyDescent="0.25">
      <c r="B215" s="8" t="s">
        <v>32</v>
      </c>
      <c r="C215" s="8" t="s">
        <v>1743</v>
      </c>
      <c r="D215" s="8" t="s">
        <v>1718</v>
      </c>
      <c r="E215" s="8" t="s">
        <v>2121</v>
      </c>
      <c r="F215" s="8">
        <v>1</v>
      </c>
      <c r="G215" s="15">
        <v>44903</v>
      </c>
      <c r="H215" s="8" t="s">
        <v>1705</v>
      </c>
      <c r="I215" s="8" t="s">
        <v>1711</v>
      </c>
      <c r="L215" s="12" t="s">
        <v>2122</v>
      </c>
    </row>
    <row r="216" spans="2:12" s="8" customFormat="1" x14ac:dyDescent="0.25">
      <c r="B216" s="8" t="s">
        <v>32</v>
      </c>
      <c r="C216" s="8" t="s">
        <v>1954</v>
      </c>
      <c r="D216" s="8" t="s">
        <v>1697</v>
      </c>
      <c r="E216" s="8" t="s">
        <v>2123</v>
      </c>
      <c r="F216" s="8">
        <v>1</v>
      </c>
      <c r="G216" s="15">
        <v>44902</v>
      </c>
      <c r="H216" s="8" t="s">
        <v>2124</v>
      </c>
      <c r="I216" s="8" t="s">
        <v>1700</v>
      </c>
    </row>
    <row r="217" spans="2:12" s="8" customFormat="1" x14ac:dyDescent="0.25">
      <c r="B217" s="8" t="s">
        <v>742</v>
      </c>
      <c r="C217" s="8" t="s">
        <v>2125</v>
      </c>
      <c r="D217" s="8" t="s">
        <v>1714</v>
      </c>
      <c r="E217" s="8" t="s">
        <v>1698</v>
      </c>
      <c r="F217" s="8">
        <v>1</v>
      </c>
      <c r="G217" s="15">
        <v>44806</v>
      </c>
      <c r="H217" s="8" t="s">
        <v>2126</v>
      </c>
      <c r="I217" s="8" t="s">
        <v>1700</v>
      </c>
      <c r="J217" s="8" t="s">
        <v>2127</v>
      </c>
      <c r="L217" s="8" t="s">
        <v>2128</v>
      </c>
    </row>
    <row r="218" spans="2:12" s="8" customFormat="1" x14ac:dyDescent="0.25">
      <c r="B218" s="8" t="s">
        <v>136</v>
      </c>
      <c r="C218" s="8" t="s">
        <v>1732</v>
      </c>
      <c r="D218" s="8" t="s">
        <v>1714</v>
      </c>
      <c r="E218" s="8" t="s">
        <v>1809</v>
      </c>
      <c r="F218" s="8">
        <v>2</v>
      </c>
      <c r="G218" s="15">
        <v>44813</v>
      </c>
      <c r="H218" s="8" t="s">
        <v>2129</v>
      </c>
      <c r="I218" s="8" t="s">
        <v>1700</v>
      </c>
    </row>
    <row r="219" spans="2:12" s="8" customFormat="1" x14ac:dyDescent="0.25">
      <c r="B219" s="8" t="s">
        <v>742</v>
      </c>
      <c r="C219" s="8" t="s">
        <v>2130</v>
      </c>
      <c r="D219" s="8" t="s">
        <v>1714</v>
      </c>
      <c r="E219" s="8" t="s">
        <v>1920</v>
      </c>
      <c r="F219" s="8">
        <v>2</v>
      </c>
      <c r="G219" s="15">
        <v>44839</v>
      </c>
      <c r="H219" s="8" t="s">
        <v>2131</v>
      </c>
      <c r="I219" s="8" t="s">
        <v>1700</v>
      </c>
      <c r="J219" s="8" t="s">
        <v>2127</v>
      </c>
      <c r="L219" s="8" t="s">
        <v>2132</v>
      </c>
    </row>
    <row r="220" spans="2:12" s="8" customFormat="1" x14ac:dyDescent="0.25">
      <c r="B220" s="8" t="s">
        <v>243</v>
      </c>
      <c r="C220" s="8" t="s">
        <v>2045</v>
      </c>
      <c r="D220" s="8" t="s">
        <v>1708</v>
      </c>
      <c r="E220" s="8" t="s">
        <v>1744</v>
      </c>
      <c r="F220" s="8">
        <v>1</v>
      </c>
      <c r="G220" s="15">
        <v>44825</v>
      </c>
      <c r="H220" s="8" t="s">
        <v>2133</v>
      </c>
      <c r="I220" s="8" t="s">
        <v>1700</v>
      </c>
    </row>
    <row r="221" spans="2:12" s="8" customFormat="1" x14ac:dyDescent="0.25">
      <c r="B221" s="8" t="s">
        <v>742</v>
      </c>
      <c r="C221" s="8" t="s">
        <v>2125</v>
      </c>
      <c r="D221" s="8" t="s">
        <v>1714</v>
      </c>
      <c r="E221" s="8" t="s">
        <v>1809</v>
      </c>
      <c r="F221" s="8">
        <v>2</v>
      </c>
      <c r="G221" s="15">
        <v>44825</v>
      </c>
      <c r="H221" s="8" t="s">
        <v>2134</v>
      </c>
      <c r="I221" s="8" t="s">
        <v>1700</v>
      </c>
    </row>
    <row r="222" spans="2:12" s="8" customFormat="1" x14ac:dyDescent="0.25">
      <c r="B222" s="8" t="s">
        <v>168</v>
      </c>
      <c r="C222" s="8" t="s">
        <v>1817</v>
      </c>
      <c r="D222" s="8" t="s">
        <v>1708</v>
      </c>
      <c r="E222" s="8" t="s">
        <v>1744</v>
      </c>
      <c r="F222" s="8">
        <v>1</v>
      </c>
      <c r="G222" s="15">
        <v>44827</v>
      </c>
      <c r="H222" s="8" t="s">
        <v>2135</v>
      </c>
      <c r="I222" s="8" t="s">
        <v>1700</v>
      </c>
      <c r="L222" s="8" t="s">
        <v>2136</v>
      </c>
    </row>
    <row r="223" spans="2:12" s="8" customFormat="1" x14ac:dyDescent="0.25">
      <c r="B223" s="8" t="s">
        <v>168</v>
      </c>
      <c r="C223" s="8" t="s">
        <v>1817</v>
      </c>
      <c r="D223" s="8" t="s">
        <v>1718</v>
      </c>
      <c r="E223" s="8" t="s">
        <v>2137</v>
      </c>
      <c r="F223" s="8">
        <v>1</v>
      </c>
      <c r="G223" s="15">
        <v>44846</v>
      </c>
      <c r="H223" s="8" t="s">
        <v>2138</v>
      </c>
      <c r="I223" s="8" t="s">
        <v>1711</v>
      </c>
    </row>
    <row r="224" spans="2:12" s="8" customFormat="1" x14ac:dyDescent="0.25">
      <c r="B224" s="8" t="s">
        <v>2139</v>
      </c>
      <c r="C224" s="8" t="s">
        <v>2140</v>
      </c>
      <c r="D224" s="8" t="s">
        <v>1714</v>
      </c>
      <c r="E224" s="8" t="s">
        <v>1698</v>
      </c>
      <c r="F224" s="8">
        <v>3</v>
      </c>
      <c r="G224" s="15">
        <v>44855</v>
      </c>
      <c r="H224" s="8" t="s">
        <v>2015</v>
      </c>
      <c r="I224" s="8" t="s">
        <v>1700</v>
      </c>
    </row>
    <row r="225" spans="2:12" s="8" customFormat="1" x14ac:dyDescent="0.25">
      <c r="B225" s="8" t="s">
        <v>32</v>
      </c>
      <c r="C225" s="8" t="s">
        <v>1954</v>
      </c>
      <c r="D225" s="8" t="s">
        <v>1708</v>
      </c>
      <c r="E225" s="8" t="s">
        <v>1885</v>
      </c>
      <c r="F225" s="8">
        <v>1</v>
      </c>
      <c r="G225" s="15">
        <v>44820</v>
      </c>
      <c r="H225" s="8" t="s">
        <v>2141</v>
      </c>
      <c r="I225" s="8" t="s">
        <v>1700</v>
      </c>
      <c r="L225" s="12" t="s">
        <v>2142</v>
      </c>
    </row>
    <row r="226" spans="2:12" s="8" customFormat="1" x14ac:dyDescent="0.25">
      <c r="B226" s="8" t="s">
        <v>329</v>
      </c>
      <c r="C226" s="8" t="s">
        <v>2143</v>
      </c>
      <c r="D226" s="8" t="s">
        <v>1718</v>
      </c>
      <c r="E226" s="8" t="s">
        <v>1719</v>
      </c>
      <c r="F226" s="8">
        <v>1</v>
      </c>
      <c r="G226" s="15">
        <v>44817</v>
      </c>
      <c r="H226" s="8" t="s">
        <v>1750</v>
      </c>
      <c r="I226" s="8" t="s">
        <v>1711</v>
      </c>
    </row>
    <row r="227" spans="2:12" s="8" customFormat="1" x14ac:dyDescent="0.25">
      <c r="B227" s="8" t="s">
        <v>1870</v>
      </c>
      <c r="C227" s="8" t="s">
        <v>2144</v>
      </c>
      <c r="D227" s="8" t="s">
        <v>1768</v>
      </c>
      <c r="E227" s="8" t="s">
        <v>645</v>
      </c>
      <c r="F227" s="8">
        <v>1</v>
      </c>
      <c r="G227" s="15">
        <v>44799</v>
      </c>
      <c r="H227" s="15" t="s">
        <v>2145</v>
      </c>
      <c r="I227" s="8" t="s">
        <v>1711</v>
      </c>
    </row>
    <row r="228" spans="2:12" s="8" customFormat="1" x14ac:dyDescent="0.25">
      <c r="B228" s="8" t="s">
        <v>32</v>
      </c>
      <c r="C228" s="8" t="s">
        <v>1786</v>
      </c>
      <c r="D228" s="8" t="s">
        <v>1718</v>
      </c>
      <c r="E228" s="8" t="s">
        <v>1747</v>
      </c>
      <c r="F228" s="8">
        <v>1</v>
      </c>
      <c r="G228" s="15">
        <v>44903</v>
      </c>
      <c r="H228" s="8" t="s">
        <v>1705</v>
      </c>
      <c r="I228" s="8" t="s">
        <v>1711</v>
      </c>
      <c r="L228" s="12"/>
    </row>
    <row r="229" spans="2:12" s="8" customFormat="1" x14ac:dyDescent="0.25">
      <c r="B229" s="8" t="s">
        <v>1908</v>
      </c>
      <c r="C229" s="8" t="s">
        <v>1909</v>
      </c>
      <c r="D229" s="8" t="s">
        <v>1708</v>
      </c>
      <c r="E229" s="8" t="s">
        <v>1698</v>
      </c>
      <c r="F229" s="8">
        <v>1</v>
      </c>
      <c r="G229" s="15">
        <v>44820</v>
      </c>
      <c r="H229" s="8" t="s">
        <v>2146</v>
      </c>
      <c r="I229" s="8" t="s">
        <v>1700</v>
      </c>
      <c r="L229" s="12"/>
    </row>
    <row r="230" spans="2:12" s="8" customFormat="1" x14ac:dyDescent="0.25">
      <c r="B230" s="8" t="s">
        <v>70</v>
      </c>
      <c r="C230" s="8" t="s">
        <v>2147</v>
      </c>
      <c r="D230" s="8" t="s">
        <v>1768</v>
      </c>
      <c r="E230" s="8" t="s">
        <v>645</v>
      </c>
      <c r="F230" s="8">
        <v>1</v>
      </c>
      <c r="G230" s="15">
        <v>44839</v>
      </c>
      <c r="H230" s="8" t="s">
        <v>2148</v>
      </c>
      <c r="I230" s="8" t="s">
        <v>1711</v>
      </c>
      <c r="L230" s="8" t="s">
        <v>2149</v>
      </c>
    </row>
    <row r="231" spans="2:12" s="8" customFormat="1" x14ac:dyDescent="0.25">
      <c r="B231" s="8" t="s">
        <v>70</v>
      </c>
      <c r="C231" s="8" t="s">
        <v>2147</v>
      </c>
      <c r="D231" s="8" t="s">
        <v>1768</v>
      </c>
      <c r="E231" s="8" t="s">
        <v>645</v>
      </c>
      <c r="F231" s="8">
        <v>1</v>
      </c>
      <c r="G231" s="15">
        <v>44838</v>
      </c>
      <c r="H231" s="8" t="s">
        <v>2150</v>
      </c>
      <c r="I231" s="8" t="s">
        <v>1700</v>
      </c>
    </row>
    <row r="232" spans="2:12" s="8" customFormat="1" x14ac:dyDescent="0.25">
      <c r="B232" s="8" t="s">
        <v>329</v>
      </c>
      <c r="C232" s="8" t="s">
        <v>1845</v>
      </c>
      <c r="D232" s="8" t="s">
        <v>1714</v>
      </c>
      <c r="E232" s="8" t="s">
        <v>1698</v>
      </c>
      <c r="F232" s="8">
        <v>1</v>
      </c>
      <c r="G232" s="15">
        <v>44795</v>
      </c>
      <c r="H232" s="8" t="s">
        <v>2151</v>
      </c>
      <c r="I232" s="8" t="s">
        <v>1700</v>
      </c>
    </row>
    <row r="233" spans="2:12" s="8" customFormat="1" x14ac:dyDescent="0.25">
      <c r="B233" s="8" t="s">
        <v>70</v>
      </c>
      <c r="C233" s="8" t="s">
        <v>2147</v>
      </c>
      <c r="D233" s="8" t="s">
        <v>1768</v>
      </c>
      <c r="E233" s="8" t="s">
        <v>1920</v>
      </c>
      <c r="F233" s="8">
        <v>1</v>
      </c>
      <c r="G233" s="15">
        <v>44875</v>
      </c>
      <c r="H233" s="8" t="s">
        <v>2152</v>
      </c>
      <c r="I233" s="8" t="s">
        <v>1711</v>
      </c>
      <c r="L233" s="12"/>
    </row>
    <row r="234" spans="2:12" s="8" customFormat="1" x14ac:dyDescent="0.25">
      <c r="B234" s="8" t="s">
        <v>70</v>
      </c>
      <c r="C234" s="8" t="s">
        <v>2147</v>
      </c>
      <c r="D234" s="8" t="s">
        <v>1768</v>
      </c>
      <c r="E234" s="8" t="s">
        <v>2153</v>
      </c>
      <c r="F234" s="8">
        <v>1</v>
      </c>
      <c r="G234" s="15">
        <v>44861</v>
      </c>
      <c r="H234" s="8" t="s">
        <v>2154</v>
      </c>
      <c r="I234" s="8" t="s">
        <v>1700</v>
      </c>
      <c r="L234" s="8" t="s">
        <v>2155</v>
      </c>
    </row>
    <row r="235" spans="2:12" s="8" customFormat="1" x14ac:dyDescent="0.25">
      <c r="B235" s="8" t="s">
        <v>1777</v>
      </c>
      <c r="C235" s="8" t="s">
        <v>2156</v>
      </c>
      <c r="D235" s="8" t="s">
        <v>1714</v>
      </c>
      <c r="E235" s="8" t="s">
        <v>1698</v>
      </c>
      <c r="F235" s="8">
        <v>1</v>
      </c>
      <c r="G235" s="15">
        <v>44817</v>
      </c>
      <c r="H235" s="8" t="s">
        <v>2157</v>
      </c>
      <c r="I235" s="8" t="s">
        <v>1700</v>
      </c>
      <c r="L235" s="8" t="s">
        <v>2158</v>
      </c>
    </row>
    <row r="236" spans="2:12" s="8" customFormat="1" x14ac:dyDescent="0.25">
      <c r="B236" s="8" t="s">
        <v>136</v>
      </c>
      <c r="C236" s="8">
        <v>3508</v>
      </c>
      <c r="D236" s="8" t="s">
        <v>1718</v>
      </c>
      <c r="E236" s="8" t="s">
        <v>1744</v>
      </c>
      <c r="F236" s="8">
        <v>2</v>
      </c>
      <c r="G236" s="15">
        <v>44797</v>
      </c>
      <c r="H236" s="8" t="s">
        <v>2159</v>
      </c>
      <c r="I236" s="8" t="s">
        <v>1700</v>
      </c>
      <c r="L236" s="8" t="s">
        <v>2160</v>
      </c>
    </row>
    <row r="237" spans="2:12" s="8" customFormat="1" x14ac:dyDescent="0.25">
      <c r="B237" s="8" t="s">
        <v>70</v>
      </c>
      <c r="C237" s="8" t="s">
        <v>2147</v>
      </c>
      <c r="D237" s="8" t="s">
        <v>1768</v>
      </c>
      <c r="E237" s="8" t="s">
        <v>2153</v>
      </c>
      <c r="F237" s="8">
        <v>1</v>
      </c>
      <c r="G237" s="15">
        <v>44875</v>
      </c>
      <c r="H237" s="8" t="s">
        <v>2161</v>
      </c>
      <c r="I237" s="8" t="s">
        <v>1700</v>
      </c>
      <c r="L237" s="12"/>
    </row>
    <row r="238" spans="2:12" s="8" customFormat="1" x14ac:dyDescent="0.25">
      <c r="B238" s="8" t="s">
        <v>1783</v>
      </c>
      <c r="C238" s="8" t="s">
        <v>1881</v>
      </c>
      <c r="D238" s="8" t="s">
        <v>1718</v>
      </c>
      <c r="E238" s="8" t="s">
        <v>1744</v>
      </c>
      <c r="F238" s="8">
        <v>3</v>
      </c>
      <c r="G238" s="15">
        <v>44820</v>
      </c>
      <c r="H238" s="8" t="s">
        <v>2162</v>
      </c>
      <c r="I238" s="8" t="s">
        <v>1711</v>
      </c>
      <c r="L238" s="8" t="s">
        <v>2163</v>
      </c>
    </row>
    <row r="239" spans="2:12" s="8" customFormat="1" x14ac:dyDescent="0.25">
      <c r="B239" s="8" t="s">
        <v>70</v>
      </c>
      <c r="C239" s="8" t="s">
        <v>2147</v>
      </c>
      <c r="D239" s="8" t="s">
        <v>2164</v>
      </c>
      <c r="E239" s="8" t="s">
        <v>2165</v>
      </c>
      <c r="F239" s="8">
        <v>1</v>
      </c>
      <c r="G239" s="15">
        <v>44838</v>
      </c>
      <c r="H239" s="8" t="s">
        <v>2166</v>
      </c>
      <c r="I239" s="8" t="s">
        <v>1711</v>
      </c>
    </row>
    <row r="240" spans="2:12" s="8" customFormat="1" x14ac:dyDescent="0.25">
      <c r="B240" s="8" t="s">
        <v>32</v>
      </c>
      <c r="C240" s="8" t="s">
        <v>2167</v>
      </c>
      <c r="D240" s="8" t="s">
        <v>1714</v>
      </c>
      <c r="E240" s="8" t="s">
        <v>2168</v>
      </c>
      <c r="F240" s="8">
        <v>2</v>
      </c>
      <c r="G240" s="15">
        <v>44841</v>
      </c>
      <c r="H240" s="8" t="s">
        <v>2169</v>
      </c>
      <c r="I240" s="8" t="s">
        <v>1700</v>
      </c>
      <c r="L240" s="12" t="s">
        <v>2170</v>
      </c>
    </row>
    <row r="241" spans="2:12" s="8" customFormat="1" x14ac:dyDescent="0.25">
      <c r="B241" s="8" t="s">
        <v>1821</v>
      </c>
      <c r="C241" s="8" t="s">
        <v>1950</v>
      </c>
      <c r="D241" s="8" t="s">
        <v>1768</v>
      </c>
      <c r="E241" s="8" t="s">
        <v>2171</v>
      </c>
      <c r="F241" s="8">
        <v>1</v>
      </c>
      <c r="G241" s="15">
        <v>44907</v>
      </c>
      <c r="H241" s="8" t="s">
        <v>2172</v>
      </c>
      <c r="I241" s="8" t="s">
        <v>1711</v>
      </c>
    </row>
    <row r="242" spans="2:12" s="8" customFormat="1" x14ac:dyDescent="0.25">
      <c r="B242" s="8" t="s">
        <v>1716</v>
      </c>
      <c r="C242" s="8" t="s">
        <v>1909</v>
      </c>
      <c r="D242" s="8" t="s">
        <v>1708</v>
      </c>
      <c r="E242" s="8" t="s">
        <v>1698</v>
      </c>
      <c r="F242" s="8">
        <v>1</v>
      </c>
      <c r="G242" s="15">
        <v>44903</v>
      </c>
      <c r="H242" s="8" t="s">
        <v>2173</v>
      </c>
      <c r="I242" s="8" t="s">
        <v>1700</v>
      </c>
      <c r="L242" s="8" t="s">
        <v>2174</v>
      </c>
    </row>
    <row r="243" spans="2:12" s="8" customFormat="1" x14ac:dyDescent="0.25">
      <c r="B243" s="8" t="s">
        <v>1777</v>
      </c>
      <c r="C243" s="8" t="s">
        <v>2175</v>
      </c>
      <c r="D243" s="8" t="s">
        <v>1708</v>
      </c>
      <c r="E243" s="8" t="s">
        <v>1744</v>
      </c>
      <c r="F243" s="8">
        <v>1</v>
      </c>
      <c r="G243" s="15">
        <v>44795</v>
      </c>
      <c r="H243" s="8" t="s">
        <v>2176</v>
      </c>
      <c r="I243" s="8" t="s">
        <v>1711</v>
      </c>
    </row>
    <row r="244" spans="2:12" s="8" customFormat="1" x14ac:dyDescent="0.25">
      <c r="B244" s="8" t="s">
        <v>1777</v>
      </c>
      <c r="C244" s="8" t="s">
        <v>1778</v>
      </c>
      <c r="D244" s="8" t="s">
        <v>1708</v>
      </c>
      <c r="E244" s="8" t="s">
        <v>1764</v>
      </c>
      <c r="F244" s="8">
        <v>1</v>
      </c>
      <c r="G244" s="15">
        <v>44790</v>
      </c>
      <c r="H244" s="8" t="s">
        <v>2177</v>
      </c>
      <c r="I244" s="8" t="s">
        <v>1700</v>
      </c>
    </row>
    <row r="245" spans="2:12" s="8" customFormat="1" x14ac:dyDescent="0.25">
      <c r="B245" s="8" t="s">
        <v>1777</v>
      </c>
      <c r="C245" s="8" t="s">
        <v>2156</v>
      </c>
      <c r="D245" s="8" t="s">
        <v>1714</v>
      </c>
      <c r="E245" s="8" t="s">
        <v>1733</v>
      </c>
      <c r="F245" s="8">
        <v>1</v>
      </c>
      <c r="G245" s="15">
        <v>44820</v>
      </c>
      <c r="H245" s="8" t="s">
        <v>2178</v>
      </c>
      <c r="I245" s="8" t="s">
        <v>1700</v>
      </c>
    </row>
    <row r="246" spans="2:12" s="8" customFormat="1" x14ac:dyDescent="0.25">
      <c r="B246" s="8" t="s">
        <v>1777</v>
      </c>
      <c r="C246" s="8" t="s">
        <v>2156</v>
      </c>
      <c r="D246" s="8" t="s">
        <v>1714</v>
      </c>
      <c r="E246" s="8" t="s">
        <v>1764</v>
      </c>
      <c r="F246" s="8">
        <v>1</v>
      </c>
      <c r="G246" s="15">
        <v>44817</v>
      </c>
      <c r="H246" s="8" t="s">
        <v>2179</v>
      </c>
      <c r="I246" s="8" t="s">
        <v>1700</v>
      </c>
    </row>
    <row r="247" spans="2:12" s="8" customFormat="1" x14ac:dyDescent="0.25">
      <c r="B247" s="8" t="s">
        <v>1777</v>
      </c>
      <c r="C247" s="8" t="s">
        <v>1778</v>
      </c>
      <c r="D247" s="8" t="s">
        <v>2180</v>
      </c>
      <c r="E247" s="8" t="s">
        <v>1764</v>
      </c>
      <c r="F247" s="8">
        <v>1</v>
      </c>
      <c r="G247" s="15">
        <v>44795</v>
      </c>
      <c r="H247" s="8" t="s">
        <v>2181</v>
      </c>
      <c r="I247" s="8" t="s">
        <v>1700</v>
      </c>
      <c r="L247" s="8" t="s">
        <v>2182</v>
      </c>
    </row>
    <row r="248" spans="2:12" s="8" customFormat="1" x14ac:dyDescent="0.25">
      <c r="B248" s="8" t="s">
        <v>1777</v>
      </c>
      <c r="C248" s="8" t="s">
        <v>2183</v>
      </c>
      <c r="D248" s="8" t="s">
        <v>1714</v>
      </c>
      <c r="E248" s="8" t="s">
        <v>1761</v>
      </c>
      <c r="F248" s="8">
        <v>1</v>
      </c>
      <c r="G248" s="15">
        <v>45001</v>
      </c>
      <c r="H248" s="8" t="s">
        <v>2061</v>
      </c>
      <c r="I248" s="8" t="s">
        <v>1711</v>
      </c>
    </row>
    <row r="249" spans="2:12" s="8" customFormat="1" x14ac:dyDescent="0.25">
      <c r="B249" s="8" t="s">
        <v>104</v>
      </c>
      <c r="C249" s="8" t="s">
        <v>2184</v>
      </c>
      <c r="D249" s="8" t="s">
        <v>1714</v>
      </c>
      <c r="E249" s="8" t="s">
        <v>1744</v>
      </c>
      <c r="F249" s="8">
        <v>2</v>
      </c>
      <c r="G249" s="15">
        <v>44806</v>
      </c>
      <c r="H249" s="8" t="s">
        <v>1715</v>
      </c>
      <c r="I249" s="8" t="s">
        <v>1700</v>
      </c>
      <c r="L249" s="8" t="s">
        <v>2185</v>
      </c>
    </row>
    <row r="250" spans="2:12" s="8" customFormat="1" x14ac:dyDescent="0.25">
      <c r="B250" s="8" t="s">
        <v>1783</v>
      </c>
      <c r="C250" s="8" t="s">
        <v>1881</v>
      </c>
      <c r="D250" s="8" t="s">
        <v>1708</v>
      </c>
      <c r="E250" s="8" t="s">
        <v>1744</v>
      </c>
      <c r="F250" s="8">
        <v>2</v>
      </c>
      <c r="G250" s="15">
        <v>44811</v>
      </c>
      <c r="H250" s="8" t="s">
        <v>2186</v>
      </c>
      <c r="I250" s="8" t="s">
        <v>1700</v>
      </c>
    </row>
    <row r="251" spans="2:12" s="8" customFormat="1" x14ac:dyDescent="0.25">
      <c r="B251" s="8" t="s">
        <v>136</v>
      </c>
      <c r="C251" s="8">
        <v>3508</v>
      </c>
      <c r="D251" s="8" t="s">
        <v>1718</v>
      </c>
      <c r="E251" s="8" t="s">
        <v>1698</v>
      </c>
      <c r="F251" s="8">
        <v>1</v>
      </c>
      <c r="G251" s="15">
        <v>44798</v>
      </c>
      <c r="H251" s="8" t="s">
        <v>2187</v>
      </c>
      <c r="I251" s="8" t="s">
        <v>1700</v>
      </c>
    </row>
    <row r="252" spans="2:12" s="8" customFormat="1" x14ac:dyDescent="0.25">
      <c r="B252" s="8" t="s">
        <v>104</v>
      </c>
      <c r="C252" s="8" t="s">
        <v>2188</v>
      </c>
      <c r="D252" s="8" t="s">
        <v>1714</v>
      </c>
      <c r="E252" s="8" t="s">
        <v>1988</v>
      </c>
      <c r="F252" s="8">
        <v>2</v>
      </c>
      <c r="G252" s="15">
        <v>44812</v>
      </c>
      <c r="H252" s="8" t="s">
        <v>2189</v>
      </c>
      <c r="I252" s="8" t="s">
        <v>1700</v>
      </c>
      <c r="J252" s="8" t="s">
        <v>105</v>
      </c>
    </row>
    <row r="253" spans="2:12" s="8" customFormat="1" x14ac:dyDescent="0.25">
      <c r="B253" s="8" t="s">
        <v>136</v>
      </c>
      <c r="C253" s="8">
        <v>3508</v>
      </c>
      <c r="D253" s="8" t="s">
        <v>1869</v>
      </c>
      <c r="E253" s="8" t="s">
        <v>1698</v>
      </c>
      <c r="F253" s="8">
        <v>1</v>
      </c>
      <c r="G253" s="15">
        <v>44791</v>
      </c>
      <c r="H253" s="8" t="s">
        <v>2190</v>
      </c>
      <c r="I253" s="8" t="s">
        <v>1700</v>
      </c>
    </row>
    <row r="254" spans="2:12" s="8" customFormat="1" x14ac:dyDescent="0.25">
      <c r="B254" s="8" t="s">
        <v>243</v>
      </c>
      <c r="C254" s="8" t="s">
        <v>2191</v>
      </c>
      <c r="D254" s="8" t="s">
        <v>1708</v>
      </c>
      <c r="E254" s="8" t="s">
        <v>1698</v>
      </c>
      <c r="F254" s="8">
        <v>1</v>
      </c>
      <c r="G254" s="15">
        <v>44865</v>
      </c>
      <c r="H254" s="8" t="s">
        <v>2192</v>
      </c>
      <c r="I254" s="8" t="s">
        <v>1700</v>
      </c>
      <c r="L254" s="12" t="s">
        <v>2193</v>
      </c>
    </row>
    <row r="255" spans="2:12" s="8" customFormat="1" x14ac:dyDescent="0.25">
      <c r="B255" s="8" t="s">
        <v>1777</v>
      </c>
      <c r="C255" s="8" t="s">
        <v>1992</v>
      </c>
      <c r="D255" s="8" t="s">
        <v>1708</v>
      </c>
      <c r="E255" s="8" t="s">
        <v>1802</v>
      </c>
      <c r="F255" s="8">
        <v>1</v>
      </c>
      <c r="G255" s="15">
        <v>44806</v>
      </c>
      <c r="H255" s="8" t="s">
        <v>2194</v>
      </c>
      <c r="I255" s="8" t="s">
        <v>1711</v>
      </c>
      <c r="L255" s="8" t="s">
        <v>2195</v>
      </c>
    </row>
    <row r="256" spans="2:12" s="8" customFormat="1" x14ac:dyDescent="0.25">
      <c r="B256" s="8" t="s">
        <v>136</v>
      </c>
      <c r="C256" s="8">
        <v>3508</v>
      </c>
      <c r="D256" s="8" t="s">
        <v>1718</v>
      </c>
      <c r="E256" s="8" t="s">
        <v>1698</v>
      </c>
      <c r="F256" s="8">
        <v>1</v>
      </c>
      <c r="G256" s="15">
        <v>44810</v>
      </c>
      <c r="H256" s="8" t="s">
        <v>2196</v>
      </c>
      <c r="I256" s="8" t="s">
        <v>1700</v>
      </c>
    </row>
    <row r="257" spans="2:165" s="8" customFormat="1" x14ac:dyDescent="0.25">
      <c r="B257" s="8" t="s">
        <v>70</v>
      </c>
      <c r="C257" s="8" t="s">
        <v>2197</v>
      </c>
      <c r="D257" s="8" t="s">
        <v>1714</v>
      </c>
      <c r="E257" s="8" t="s">
        <v>1809</v>
      </c>
      <c r="F257" s="8">
        <v>1</v>
      </c>
      <c r="G257" s="15">
        <v>44866</v>
      </c>
      <c r="H257" s="8" t="s">
        <v>2198</v>
      </c>
      <c r="I257" s="8" t="s">
        <v>1700</v>
      </c>
    </row>
    <row r="258" spans="2:165" s="8" customFormat="1" x14ac:dyDescent="0.25">
      <c r="B258" s="8" t="s">
        <v>283</v>
      </c>
      <c r="C258" s="8" t="s">
        <v>2199</v>
      </c>
      <c r="D258" s="8" t="s">
        <v>1714</v>
      </c>
      <c r="E258" s="8" t="s">
        <v>2200</v>
      </c>
      <c r="F258" s="8">
        <v>1</v>
      </c>
      <c r="G258" s="15">
        <v>45001</v>
      </c>
      <c r="H258" s="8" t="s">
        <v>2201</v>
      </c>
      <c r="I258" s="8" t="s">
        <v>1711</v>
      </c>
      <c r="L258" s="8" t="s">
        <v>2202</v>
      </c>
    </row>
    <row r="259" spans="2:165" s="8" customFormat="1" x14ac:dyDescent="0.25">
      <c r="B259" s="8" t="s">
        <v>243</v>
      </c>
      <c r="C259" s="8" t="s">
        <v>2203</v>
      </c>
      <c r="D259" s="8" t="s">
        <v>1708</v>
      </c>
      <c r="E259" s="8" t="s">
        <v>1698</v>
      </c>
      <c r="F259" s="8">
        <v>1</v>
      </c>
      <c r="G259" s="15">
        <v>44865</v>
      </c>
      <c r="H259" s="8" t="s">
        <v>2204</v>
      </c>
      <c r="I259" s="8" t="s">
        <v>1711</v>
      </c>
      <c r="L259" s="12"/>
    </row>
    <row r="260" spans="2:165" s="8" customFormat="1" x14ac:dyDescent="0.25">
      <c r="B260" s="8" t="s">
        <v>1777</v>
      </c>
      <c r="C260" s="8" t="s">
        <v>1853</v>
      </c>
      <c r="D260" s="8" t="s">
        <v>1708</v>
      </c>
      <c r="E260" s="8" t="s">
        <v>2087</v>
      </c>
      <c r="F260" s="8">
        <v>1</v>
      </c>
      <c r="G260" s="15">
        <v>44812</v>
      </c>
      <c r="H260" s="8" t="s">
        <v>2205</v>
      </c>
      <c r="I260" s="8" t="s">
        <v>1711</v>
      </c>
      <c r="L260" s="12" t="s">
        <v>2206</v>
      </c>
    </row>
    <row r="261" spans="2:165" s="8" customFormat="1" x14ac:dyDescent="0.25">
      <c r="B261" s="8" t="s">
        <v>253</v>
      </c>
      <c r="C261" s="8" t="s">
        <v>2207</v>
      </c>
      <c r="D261" s="8" t="s">
        <v>1768</v>
      </c>
      <c r="E261" s="8" t="s">
        <v>1809</v>
      </c>
      <c r="F261" s="8">
        <v>2</v>
      </c>
      <c r="G261" s="15">
        <v>44820</v>
      </c>
      <c r="H261" s="8" t="s">
        <v>2208</v>
      </c>
      <c r="I261" s="8" t="s">
        <v>1700</v>
      </c>
      <c r="L261" s="8" t="s">
        <v>2209</v>
      </c>
    </row>
    <row r="262" spans="2:165" s="8" customFormat="1" x14ac:dyDescent="0.25">
      <c r="B262" s="8" t="s">
        <v>32</v>
      </c>
      <c r="C262" s="8" t="s">
        <v>1786</v>
      </c>
      <c r="D262" s="8" t="s">
        <v>1708</v>
      </c>
      <c r="E262" s="8" t="s">
        <v>1744</v>
      </c>
      <c r="F262" s="8">
        <v>2</v>
      </c>
      <c r="G262" s="15">
        <v>44820</v>
      </c>
      <c r="H262" s="8" t="s">
        <v>2210</v>
      </c>
      <c r="I262" s="8" t="s">
        <v>1700</v>
      </c>
    </row>
    <row r="263" spans="2:165" s="8" customFormat="1" x14ac:dyDescent="0.25">
      <c r="B263" s="8" t="s">
        <v>1625</v>
      </c>
      <c r="C263" s="8" t="s">
        <v>2211</v>
      </c>
      <c r="D263" s="8" t="s">
        <v>1714</v>
      </c>
      <c r="E263" s="8" t="s">
        <v>2212</v>
      </c>
      <c r="F263" s="8">
        <v>2</v>
      </c>
      <c r="G263" s="15">
        <v>45048</v>
      </c>
      <c r="H263" s="8" t="s">
        <v>2213</v>
      </c>
      <c r="I263" s="8" t="s">
        <v>1700</v>
      </c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</row>
    <row r="264" spans="2:165" s="8" customFormat="1" x14ac:dyDescent="0.25">
      <c r="B264" s="8" t="s">
        <v>43</v>
      </c>
      <c r="C264" s="8" t="s">
        <v>1938</v>
      </c>
      <c r="D264" s="8" t="s">
        <v>1708</v>
      </c>
      <c r="E264" s="8" t="s">
        <v>1809</v>
      </c>
      <c r="F264" s="8">
        <v>2</v>
      </c>
      <c r="G264" s="15">
        <v>44823</v>
      </c>
      <c r="H264" s="8" t="s">
        <v>2214</v>
      </c>
      <c r="I264" s="8" t="s">
        <v>1700</v>
      </c>
    </row>
    <row r="265" spans="2:165" s="8" customFormat="1" x14ac:dyDescent="0.25">
      <c r="B265" s="8" t="s">
        <v>1777</v>
      </c>
      <c r="C265" s="8" t="s">
        <v>1853</v>
      </c>
      <c r="D265" s="8" t="s">
        <v>1708</v>
      </c>
      <c r="E265" s="8" t="s">
        <v>2087</v>
      </c>
      <c r="F265" s="8">
        <v>1</v>
      </c>
      <c r="G265" s="15">
        <v>44804</v>
      </c>
      <c r="H265" s="8" t="s">
        <v>2215</v>
      </c>
      <c r="I265" s="8" t="s">
        <v>1711</v>
      </c>
      <c r="L265" s="12"/>
    </row>
    <row r="266" spans="2:165" s="8" customFormat="1" x14ac:dyDescent="0.25">
      <c r="B266" s="8" t="s">
        <v>2216</v>
      </c>
      <c r="C266" s="8" t="s">
        <v>2217</v>
      </c>
      <c r="D266" s="8" t="s">
        <v>1714</v>
      </c>
      <c r="E266" s="8" t="s">
        <v>1764</v>
      </c>
      <c r="F266" s="8">
        <v>1</v>
      </c>
      <c r="G266" s="15">
        <v>44820</v>
      </c>
      <c r="H266" s="8" t="s">
        <v>2218</v>
      </c>
      <c r="I266" s="8" t="s">
        <v>1700</v>
      </c>
      <c r="J266" s="8" t="s">
        <v>2219</v>
      </c>
      <c r="L266" s="8" t="s">
        <v>2220</v>
      </c>
    </row>
    <row r="267" spans="2:165" s="8" customFormat="1" x14ac:dyDescent="0.25">
      <c r="B267" s="8" t="s">
        <v>1777</v>
      </c>
      <c r="C267" s="8" t="s">
        <v>1853</v>
      </c>
      <c r="D267" s="8" t="s">
        <v>1768</v>
      </c>
      <c r="E267" s="8" t="s">
        <v>1920</v>
      </c>
      <c r="F267" s="8">
        <v>1</v>
      </c>
      <c r="G267" s="15">
        <v>44812</v>
      </c>
      <c r="H267" s="8" t="s">
        <v>2221</v>
      </c>
      <c r="I267" s="8" t="s">
        <v>1711</v>
      </c>
      <c r="J267" s="8" t="s">
        <v>287</v>
      </c>
      <c r="L267" s="12" t="s">
        <v>2222</v>
      </c>
    </row>
    <row r="268" spans="2:165" s="8" customFormat="1" x14ac:dyDescent="0.25">
      <c r="B268" s="8" t="s">
        <v>1777</v>
      </c>
      <c r="C268" s="8" t="s">
        <v>1853</v>
      </c>
      <c r="D268" s="8" t="s">
        <v>1718</v>
      </c>
      <c r="E268" s="8" t="s">
        <v>1744</v>
      </c>
      <c r="F268" s="8">
        <v>1</v>
      </c>
      <c r="G268" s="15">
        <v>44818</v>
      </c>
      <c r="H268" s="8" t="s">
        <v>2223</v>
      </c>
      <c r="I268" s="8" t="s">
        <v>1711</v>
      </c>
    </row>
    <row r="269" spans="2:165" s="8" customFormat="1" x14ac:dyDescent="0.25">
      <c r="B269" s="8" t="s">
        <v>32</v>
      </c>
      <c r="C269" s="8" t="s">
        <v>1983</v>
      </c>
      <c r="D269" s="8" t="s">
        <v>1708</v>
      </c>
      <c r="E269" s="8" t="s">
        <v>1809</v>
      </c>
      <c r="F269" s="8">
        <v>2</v>
      </c>
      <c r="G269" s="15">
        <v>44826</v>
      </c>
      <c r="H269" s="8" t="s">
        <v>2224</v>
      </c>
      <c r="I269" s="8" t="s">
        <v>1700</v>
      </c>
      <c r="L269" s="8" t="s">
        <v>2225</v>
      </c>
    </row>
    <row r="270" spans="2:165" s="8" customFormat="1" x14ac:dyDescent="0.25">
      <c r="B270" s="8" t="s">
        <v>253</v>
      </c>
      <c r="C270" s="8" t="s">
        <v>1985</v>
      </c>
      <c r="D270" s="8" t="s">
        <v>1708</v>
      </c>
      <c r="E270" s="8" t="s">
        <v>1744</v>
      </c>
      <c r="F270" s="8">
        <v>2</v>
      </c>
      <c r="G270" s="15">
        <v>44810</v>
      </c>
      <c r="H270" s="8" t="s">
        <v>2226</v>
      </c>
      <c r="I270" s="8" t="s">
        <v>1700</v>
      </c>
    </row>
    <row r="271" spans="2:165" s="8" customFormat="1" x14ac:dyDescent="0.25">
      <c r="B271" s="8" t="s">
        <v>43</v>
      </c>
      <c r="C271" s="8" t="s">
        <v>1796</v>
      </c>
      <c r="D271" s="8" t="s">
        <v>1718</v>
      </c>
      <c r="E271" s="8" t="s">
        <v>645</v>
      </c>
      <c r="F271" s="8">
        <v>2</v>
      </c>
      <c r="G271" s="15">
        <v>44806</v>
      </c>
      <c r="H271" s="8" t="s">
        <v>2227</v>
      </c>
      <c r="I271" s="8" t="s">
        <v>1700</v>
      </c>
    </row>
    <row r="272" spans="2:165" s="8" customFormat="1" x14ac:dyDescent="0.25">
      <c r="B272" s="8" t="s">
        <v>43</v>
      </c>
      <c r="C272" s="8" t="s">
        <v>1938</v>
      </c>
      <c r="D272" s="8" t="s">
        <v>1869</v>
      </c>
      <c r="E272" s="8" t="s">
        <v>1698</v>
      </c>
      <c r="F272" s="8">
        <v>1</v>
      </c>
      <c r="G272" s="15">
        <v>44820</v>
      </c>
      <c r="H272" s="8" t="s">
        <v>2228</v>
      </c>
      <c r="I272" s="8" t="s">
        <v>1700</v>
      </c>
    </row>
    <row r="273" spans="2:12" s="8" customFormat="1" x14ac:dyDescent="0.25">
      <c r="B273" s="8" t="s">
        <v>32</v>
      </c>
      <c r="C273" s="8" t="s">
        <v>1983</v>
      </c>
      <c r="D273" s="8" t="s">
        <v>1708</v>
      </c>
      <c r="E273" s="8" t="s">
        <v>1802</v>
      </c>
      <c r="F273" s="8">
        <v>2</v>
      </c>
      <c r="G273" s="15">
        <v>44827</v>
      </c>
      <c r="H273" s="8" t="s">
        <v>2229</v>
      </c>
      <c r="I273" s="8" t="s">
        <v>1700</v>
      </c>
    </row>
    <row r="274" spans="2:12" s="8" customFormat="1" x14ac:dyDescent="0.25">
      <c r="B274" s="8" t="s">
        <v>104</v>
      </c>
      <c r="C274" s="8" t="s">
        <v>2230</v>
      </c>
      <c r="D274" s="8" t="s">
        <v>1708</v>
      </c>
      <c r="E274" s="8" t="s">
        <v>1698</v>
      </c>
      <c r="F274" s="8">
        <v>1</v>
      </c>
      <c r="G274" s="15">
        <v>44904</v>
      </c>
      <c r="H274" s="8" t="s">
        <v>2231</v>
      </c>
      <c r="I274" s="8" t="s">
        <v>1711</v>
      </c>
      <c r="L274" s="12"/>
    </row>
    <row r="275" spans="2:12" s="8" customFormat="1" x14ac:dyDescent="0.25">
      <c r="B275" s="8" t="s">
        <v>32</v>
      </c>
      <c r="C275" s="8" t="s">
        <v>1954</v>
      </c>
      <c r="D275" s="8" t="s">
        <v>1708</v>
      </c>
      <c r="E275" s="8" t="s">
        <v>1802</v>
      </c>
      <c r="F275" s="8">
        <v>1</v>
      </c>
      <c r="G275" s="15">
        <v>44907</v>
      </c>
      <c r="H275" s="8" t="s">
        <v>2232</v>
      </c>
      <c r="I275" s="8" t="s">
        <v>1711</v>
      </c>
    </row>
    <row r="276" spans="2:12" s="8" customFormat="1" x14ac:dyDescent="0.25">
      <c r="B276" s="8" t="s">
        <v>1783</v>
      </c>
      <c r="C276" s="8" t="s">
        <v>2233</v>
      </c>
      <c r="D276" s="8" t="s">
        <v>1714</v>
      </c>
      <c r="E276" s="8" t="s">
        <v>1698</v>
      </c>
      <c r="F276" s="8">
        <v>1</v>
      </c>
      <c r="G276" s="15">
        <v>44903</v>
      </c>
      <c r="H276" s="8" t="s">
        <v>1775</v>
      </c>
      <c r="I276" s="8" t="s">
        <v>1700</v>
      </c>
      <c r="L276" s="12"/>
    </row>
    <row r="277" spans="2:12" s="8" customFormat="1" x14ac:dyDescent="0.25">
      <c r="B277" s="8" t="s">
        <v>1777</v>
      </c>
      <c r="C277" s="8" t="s">
        <v>2156</v>
      </c>
      <c r="D277" s="8" t="s">
        <v>1714</v>
      </c>
      <c r="E277" s="8" t="s">
        <v>1764</v>
      </c>
      <c r="F277" s="8">
        <v>1</v>
      </c>
      <c r="G277" s="15">
        <v>44820</v>
      </c>
      <c r="H277" s="8" t="s">
        <v>2234</v>
      </c>
      <c r="I277" s="8" t="s">
        <v>1700</v>
      </c>
    </row>
    <row r="278" spans="2:12" s="8" customFormat="1" x14ac:dyDescent="0.25">
      <c r="B278" s="8" t="s">
        <v>43</v>
      </c>
      <c r="C278" s="8" t="s">
        <v>1938</v>
      </c>
      <c r="D278" s="8" t="s">
        <v>1768</v>
      </c>
      <c r="E278" s="8" t="s">
        <v>645</v>
      </c>
      <c r="F278" s="8">
        <v>1</v>
      </c>
      <c r="G278" s="15">
        <v>44806</v>
      </c>
      <c r="H278" s="8" t="s">
        <v>2235</v>
      </c>
      <c r="I278" s="8" t="s">
        <v>1700</v>
      </c>
    </row>
    <row r="279" spans="2:12" s="8" customFormat="1" x14ac:dyDescent="0.25">
      <c r="B279" s="8" t="s">
        <v>43</v>
      </c>
      <c r="C279" s="8" t="s">
        <v>1938</v>
      </c>
      <c r="D279" s="8" t="s">
        <v>1708</v>
      </c>
      <c r="E279" s="8" t="s">
        <v>2066</v>
      </c>
      <c r="F279" s="8">
        <v>1</v>
      </c>
      <c r="G279" s="15">
        <v>44820</v>
      </c>
      <c r="H279" s="8" t="s">
        <v>2236</v>
      </c>
      <c r="I279" s="8" t="s">
        <v>1700</v>
      </c>
    </row>
    <row r="280" spans="2:12" s="8" customFormat="1" x14ac:dyDescent="0.25">
      <c r="B280" s="8" t="s">
        <v>253</v>
      </c>
      <c r="C280" s="8" t="s">
        <v>1985</v>
      </c>
      <c r="D280" s="8" t="s">
        <v>1708</v>
      </c>
      <c r="E280" s="8" t="s">
        <v>1698</v>
      </c>
      <c r="F280" s="8">
        <v>2</v>
      </c>
      <c r="G280" s="15">
        <v>44816</v>
      </c>
      <c r="H280" s="8" t="s">
        <v>2237</v>
      </c>
      <c r="I280" s="8" t="s">
        <v>1700</v>
      </c>
    </row>
    <row r="281" spans="2:12" s="8" customFormat="1" x14ac:dyDescent="0.25">
      <c r="B281" s="8" t="s">
        <v>1777</v>
      </c>
      <c r="C281" s="8" t="s">
        <v>1778</v>
      </c>
      <c r="D281" s="8" t="s">
        <v>1708</v>
      </c>
      <c r="E281" s="8" t="s">
        <v>1802</v>
      </c>
      <c r="F281" s="8">
        <v>2</v>
      </c>
      <c r="G281" s="15">
        <v>44820</v>
      </c>
      <c r="H281" s="8" t="s">
        <v>2238</v>
      </c>
      <c r="I281" s="8" t="s">
        <v>1711</v>
      </c>
      <c r="L281" s="12" t="s">
        <v>2239</v>
      </c>
    </row>
    <row r="282" spans="2:12" s="8" customFormat="1" x14ac:dyDescent="0.25">
      <c r="B282" s="8" t="s">
        <v>47</v>
      </c>
      <c r="C282" s="8" t="s">
        <v>2240</v>
      </c>
      <c r="D282" s="8" t="s">
        <v>1708</v>
      </c>
      <c r="E282" s="8" t="s">
        <v>1698</v>
      </c>
      <c r="F282" s="8">
        <v>1</v>
      </c>
      <c r="G282" s="15">
        <v>45001</v>
      </c>
      <c r="H282" s="8" t="s">
        <v>2241</v>
      </c>
      <c r="I282" s="8" t="s">
        <v>1711</v>
      </c>
    </row>
    <row r="283" spans="2:12" s="8" customFormat="1" x14ac:dyDescent="0.25">
      <c r="B283" s="8" t="s">
        <v>2216</v>
      </c>
      <c r="C283" s="8" t="s">
        <v>2242</v>
      </c>
      <c r="D283" s="8" t="s">
        <v>1714</v>
      </c>
      <c r="E283" s="8" t="s">
        <v>1764</v>
      </c>
      <c r="F283" s="8">
        <v>1</v>
      </c>
      <c r="G283" s="15">
        <v>44839</v>
      </c>
      <c r="H283" s="15" t="s">
        <v>2243</v>
      </c>
      <c r="I283" s="8" t="s">
        <v>1700</v>
      </c>
      <c r="J283" s="8" t="s">
        <v>2244</v>
      </c>
      <c r="L283" s="12" t="s">
        <v>2245</v>
      </c>
    </row>
    <row r="284" spans="2:12" s="8" customFormat="1" x14ac:dyDescent="0.25">
      <c r="B284" s="8" t="s">
        <v>168</v>
      </c>
      <c r="C284" s="8" t="s">
        <v>2013</v>
      </c>
      <c r="D284" s="8" t="s">
        <v>1768</v>
      </c>
      <c r="E284" s="8" t="s">
        <v>645</v>
      </c>
      <c r="F284" s="8">
        <v>1</v>
      </c>
      <c r="G284" s="15">
        <v>44813</v>
      </c>
      <c r="H284" s="8" t="s">
        <v>2246</v>
      </c>
      <c r="I284" s="8" t="s">
        <v>1700</v>
      </c>
    </row>
    <row r="285" spans="2:12" s="8" customFormat="1" x14ac:dyDescent="0.25">
      <c r="B285" s="8" t="s">
        <v>168</v>
      </c>
      <c r="C285" s="8" t="s">
        <v>2013</v>
      </c>
      <c r="D285" s="8" t="s">
        <v>1768</v>
      </c>
      <c r="E285" s="8" t="s">
        <v>645</v>
      </c>
      <c r="F285" s="8">
        <v>2</v>
      </c>
      <c r="G285" s="15">
        <v>44810</v>
      </c>
      <c r="H285" s="8" t="s">
        <v>2247</v>
      </c>
      <c r="I285" s="8" t="s">
        <v>1700</v>
      </c>
    </row>
    <row r="286" spans="2:12" s="8" customFormat="1" x14ac:dyDescent="0.25">
      <c r="B286" s="8" t="s">
        <v>136</v>
      </c>
      <c r="C286" s="8">
        <v>3508</v>
      </c>
      <c r="D286" s="8" t="s">
        <v>1708</v>
      </c>
      <c r="E286" s="8" t="s">
        <v>1698</v>
      </c>
      <c r="F286" s="8">
        <v>1</v>
      </c>
      <c r="G286" s="15">
        <v>44825</v>
      </c>
      <c r="H286" s="8" t="s">
        <v>2248</v>
      </c>
      <c r="I286" s="8" t="s">
        <v>1711</v>
      </c>
    </row>
    <row r="287" spans="2:12" s="8" customFormat="1" x14ac:dyDescent="0.25">
      <c r="B287" s="8" t="s">
        <v>168</v>
      </c>
      <c r="C287" s="8" t="s">
        <v>1817</v>
      </c>
      <c r="D287" s="8" t="s">
        <v>1869</v>
      </c>
      <c r="E287" s="8" t="s">
        <v>1698</v>
      </c>
      <c r="F287" s="8">
        <v>1</v>
      </c>
      <c r="G287" s="15">
        <v>44813</v>
      </c>
      <c r="H287" s="8" t="s">
        <v>2249</v>
      </c>
      <c r="I287" s="8" t="s">
        <v>1700</v>
      </c>
    </row>
    <row r="288" spans="2:12" s="8" customFormat="1" x14ac:dyDescent="0.25">
      <c r="B288" s="8" t="s">
        <v>136</v>
      </c>
      <c r="C288" s="8">
        <v>3508</v>
      </c>
      <c r="D288" s="8" t="s">
        <v>1869</v>
      </c>
      <c r="E288" s="8" t="s">
        <v>1698</v>
      </c>
      <c r="F288" s="8">
        <v>2</v>
      </c>
      <c r="G288" s="15">
        <v>44820</v>
      </c>
      <c r="H288" s="8" t="s">
        <v>2250</v>
      </c>
      <c r="I288" s="8" t="s">
        <v>1711</v>
      </c>
    </row>
    <row r="289" spans="2:12" s="8" customFormat="1" x14ac:dyDescent="0.25">
      <c r="B289" s="8" t="s">
        <v>32</v>
      </c>
      <c r="C289" s="8" t="s">
        <v>1973</v>
      </c>
      <c r="D289" s="8" t="s">
        <v>1869</v>
      </c>
      <c r="E289" s="8" t="s">
        <v>1747</v>
      </c>
      <c r="F289" s="8">
        <v>2</v>
      </c>
      <c r="G289" s="15">
        <v>44809</v>
      </c>
      <c r="H289" s="8" t="s">
        <v>2251</v>
      </c>
      <c r="I289" s="8" t="s">
        <v>1711</v>
      </c>
      <c r="L289" s="12"/>
    </row>
    <row r="290" spans="2:12" s="8" customFormat="1" x14ac:dyDescent="0.25">
      <c r="B290" s="8" t="s">
        <v>168</v>
      </c>
      <c r="C290" s="8" t="s">
        <v>1817</v>
      </c>
      <c r="D290" s="8" t="s">
        <v>1768</v>
      </c>
      <c r="E290" s="8" t="s">
        <v>645</v>
      </c>
      <c r="F290" s="8">
        <v>1</v>
      </c>
      <c r="G290" s="15">
        <v>44804</v>
      </c>
      <c r="H290" s="8" t="s">
        <v>2252</v>
      </c>
      <c r="I290" s="8" t="s">
        <v>1700</v>
      </c>
    </row>
    <row r="291" spans="2:12" s="8" customFormat="1" x14ac:dyDescent="0.25">
      <c r="B291" s="8" t="s">
        <v>168</v>
      </c>
      <c r="C291" s="8" t="s">
        <v>2013</v>
      </c>
      <c r="D291" s="8" t="s">
        <v>1768</v>
      </c>
      <c r="E291" s="8" t="s">
        <v>1809</v>
      </c>
      <c r="F291" s="8">
        <v>2</v>
      </c>
      <c r="G291" s="15">
        <v>44827</v>
      </c>
      <c r="H291" s="8" t="s">
        <v>2253</v>
      </c>
      <c r="I291" s="8" t="s">
        <v>1700</v>
      </c>
      <c r="L291" s="8" t="s">
        <v>2254</v>
      </c>
    </row>
    <row r="292" spans="2:12" s="8" customFormat="1" x14ac:dyDescent="0.25">
      <c r="B292" s="8" t="s">
        <v>2216</v>
      </c>
      <c r="C292" s="8" t="s">
        <v>2255</v>
      </c>
      <c r="D292" s="8" t="s">
        <v>1714</v>
      </c>
      <c r="E292" s="8" t="s">
        <v>1809</v>
      </c>
      <c r="F292" s="8">
        <v>2</v>
      </c>
      <c r="G292" s="15">
        <v>44805</v>
      </c>
      <c r="H292" s="8" t="s">
        <v>2256</v>
      </c>
      <c r="I292" s="8" t="s">
        <v>1711</v>
      </c>
      <c r="L292" s="8" t="s">
        <v>2257</v>
      </c>
    </row>
    <row r="293" spans="2:12" s="8" customFormat="1" x14ac:dyDescent="0.25">
      <c r="B293" s="8" t="s">
        <v>168</v>
      </c>
      <c r="C293" s="8" t="s">
        <v>1817</v>
      </c>
      <c r="D293" s="8" t="s">
        <v>1708</v>
      </c>
      <c r="E293" s="8" t="s">
        <v>2066</v>
      </c>
      <c r="F293" s="8">
        <v>1</v>
      </c>
      <c r="G293" s="15">
        <v>44809</v>
      </c>
      <c r="H293" s="8" t="s">
        <v>2258</v>
      </c>
      <c r="I293" s="8" t="s">
        <v>1700</v>
      </c>
      <c r="L293" s="8" t="s">
        <v>2259</v>
      </c>
    </row>
    <row r="294" spans="2:12" s="8" customFormat="1" x14ac:dyDescent="0.25">
      <c r="B294" s="8" t="s">
        <v>168</v>
      </c>
      <c r="C294" s="8" t="s">
        <v>1817</v>
      </c>
      <c r="D294" s="8" t="s">
        <v>1718</v>
      </c>
      <c r="E294" s="8" t="s">
        <v>2260</v>
      </c>
      <c r="F294" s="8">
        <v>1</v>
      </c>
      <c r="G294" s="15">
        <v>44826</v>
      </c>
      <c r="H294" s="8" t="s">
        <v>2261</v>
      </c>
      <c r="I294" s="8" t="s">
        <v>1700</v>
      </c>
    </row>
    <row r="295" spans="2:12" s="8" customFormat="1" x14ac:dyDescent="0.25">
      <c r="B295" s="8" t="s">
        <v>168</v>
      </c>
      <c r="C295" s="8" t="s">
        <v>1817</v>
      </c>
      <c r="D295" s="8" t="s">
        <v>1708</v>
      </c>
      <c r="E295" s="8" t="s">
        <v>1698</v>
      </c>
      <c r="F295" s="8">
        <v>1</v>
      </c>
      <c r="G295" s="15">
        <v>44830</v>
      </c>
      <c r="H295" s="8" t="s">
        <v>2262</v>
      </c>
      <c r="I295" s="8" t="s">
        <v>1700</v>
      </c>
      <c r="L295" s="8" t="s">
        <v>2263</v>
      </c>
    </row>
    <row r="296" spans="2:12" s="8" customFormat="1" x14ac:dyDescent="0.25">
      <c r="B296" s="8" t="s">
        <v>70</v>
      </c>
      <c r="C296" s="8" t="s">
        <v>2147</v>
      </c>
      <c r="D296" s="8" t="s">
        <v>1768</v>
      </c>
      <c r="E296" s="8" t="s">
        <v>645</v>
      </c>
      <c r="F296" s="8">
        <v>2</v>
      </c>
      <c r="G296" s="15">
        <v>44911</v>
      </c>
      <c r="H296" s="8" t="s">
        <v>2264</v>
      </c>
      <c r="I296" s="8" t="s">
        <v>1700</v>
      </c>
    </row>
    <row r="297" spans="2:12" s="8" customFormat="1" x14ac:dyDescent="0.25">
      <c r="B297" s="8" t="s">
        <v>136</v>
      </c>
      <c r="C297" s="8">
        <v>3508</v>
      </c>
      <c r="D297" s="8" t="s">
        <v>1708</v>
      </c>
      <c r="E297" s="8" t="s">
        <v>1744</v>
      </c>
      <c r="F297" s="8">
        <v>1</v>
      </c>
      <c r="G297" s="15">
        <v>44820</v>
      </c>
      <c r="H297" s="8" t="s">
        <v>2265</v>
      </c>
      <c r="I297" s="8" t="s">
        <v>1700</v>
      </c>
      <c r="L297" s="12" t="s">
        <v>2266</v>
      </c>
    </row>
    <row r="298" spans="2:12" s="8" customFormat="1" x14ac:dyDescent="0.25">
      <c r="B298" s="8" t="s">
        <v>168</v>
      </c>
      <c r="C298" s="8" t="s">
        <v>1817</v>
      </c>
      <c r="D298" s="8" t="s">
        <v>1768</v>
      </c>
      <c r="E298" s="8" t="s">
        <v>645</v>
      </c>
      <c r="F298" s="8">
        <v>2</v>
      </c>
      <c r="G298" s="15">
        <v>44792</v>
      </c>
      <c r="H298" s="8" t="s">
        <v>2267</v>
      </c>
      <c r="I298" s="8" t="s">
        <v>1700</v>
      </c>
      <c r="L298" s="8" t="s">
        <v>2268</v>
      </c>
    </row>
    <row r="299" spans="2:12" s="8" customFormat="1" x14ac:dyDescent="0.25">
      <c r="B299" s="8" t="s">
        <v>243</v>
      </c>
      <c r="C299" s="8" t="s">
        <v>2269</v>
      </c>
      <c r="D299" s="8" t="s">
        <v>1714</v>
      </c>
      <c r="E299" s="8" t="s">
        <v>932</v>
      </c>
      <c r="F299" s="8">
        <v>4</v>
      </c>
      <c r="G299" s="15">
        <v>44827</v>
      </c>
      <c r="H299" s="8" t="s">
        <v>2270</v>
      </c>
      <c r="I299" s="8" t="s">
        <v>1700</v>
      </c>
      <c r="L299" s="12" t="s">
        <v>2271</v>
      </c>
    </row>
    <row r="300" spans="2:12" s="8" customFormat="1" x14ac:dyDescent="0.25">
      <c r="B300" s="8" t="s">
        <v>14</v>
      </c>
      <c r="C300" s="8" t="s">
        <v>2272</v>
      </c>
      <c r="D300" s="8" t="s">
        <v>1708</v>
      </c>
      <c r="E300" s="8" t="s">
        <v>1733</v>
      </c>
      <c r="F300" s="8">
        <v>2</v>
      </c>
      <c r="G300" s="15">
        <v>44825</v>
      </c>
      <c r="H300" s="8" t="s">
        <v>2273</v>
      </c>
      <c r="I300" s="8" t="s">
        <v>1700</v>
      </c>
    </row>
    <row r="301" spans="2:12" s="8" customFormat="1" x14ac:dyDescent="0.25">
      <c r="B301" s="8" t="s">
        <v>243</v>
      </c>
      <c r="C301" s="8" t="s">
        <v>1810</v>
      </c>
      <c r="D301" s="8" t="s">
        <v>1714</v>
      </c>
      <c r="E301" s="8" t="s">
        <v>2274</v>
      </c>
      <c r="F301" s="8">
        <v>2</v>
      </c>
      <c r="G301" s="15">
        <v>44904</v>
      </c>
      <c r="H301" s="8" t="s">
        <v>2270</v>
      </c>
      <c r="I301" s="8" t="s">
        <v>1700</v>
      </c>
    </row>
    <row r="302" spans="2:12" s="8" customFormat="1" x14ac:dyDescent="0.25">
      <c r="B302" s="8" t="s">
        <v>1777</v>
      </c>
      <c r="C302" s="8" t="s">
        <v>1778</v>
      </c>
      <c r="D302" s="8" t="s">
        <v>1708</v>
      </c>
      <c r="E302" s="8" t="s">
        <v>1802</v>
      </c>
      <c r="F302" s="8">
        <v>2</v>
      </c>
      <c r="G302" s="15">
        <v>44820</v>
      </c>
      <c r="H302" s="8" t="s">
        <v>2275</v>
      </c>
      <c r="I302" s="8" t="s">
        <v>1711</v>
      </c>
      <c r="L302" s="12" t="s">
        <v>2276</v>
      </c>
    </row>
    <row r="303" spans="2:12" s="8" customFormat="1" x14ac:dyDescent="0.25">
      <c r="B303" s="8" t="s">
        <v>32</v>
      </c>
      <c r="C303" s="8" t="s">
        <v>1954</v>
      </c>
      <c r="D303" s="8" t="s">
        <v>1708</v>
      </c>
      <c r="E303" s="8" t="s">
        <v>1744</v>
      </c>
      <c r="F303" s="8">
        <v>1</v>
      </c>
      <c r="G303" s="15">
        <v>44823</v>
      </c>
      <c r="H303" s="8" t="s">
        <v>2277</v>
      </c>
      <c r="I303" s="8" t="s">
        <v>1711</v>
      </c>
      <c r="L303" s="12" t="s">
        <v>2278</v>
      </c>
    </row>
    <row r="304" spans="2:12" s="8" customFormat="1" x14ac:dyDescent="0.25">
      <c r="B304" s="8" t="s">
        <v>253</v>
      </c>
      <c r="C304" s="8" t="s">
        <v>2279</v>
      </c>
      <c r="D304" s="8" t="s">
        <v>1768</v>
      </c>
      <c r="E304" s="8" t="s">
        <v>645</v>
      </c>
      <c r="F304" s="8">
        <v>1</v>
      </c>
      <c r="G304" s="15">
        <v>44813</v>
      </c>
      <c r="H304" s="8" t="s">
        <v>2280</v>
      </c>
      <c r="I304" s="8" t="s">
        <v>1700</v>
      </c>
      <c r="L304" s="8" t="s">
        <v>2281</v>
      </c>
    </row>
    <row r="305" spans="2:12" s="8" customFormat="1" x14ac:dyDescent="0.25">
      <c r="B305" s="8" t="s">
        <v>411</v>
      </c>
      <c r="C305" s="8" t="s">
        <v>1835</v>
      </c>
      <c r="D305" s="8" t="s">
        <v>1714</v>
      </c>
      <c r="E305" s="8" t="s">
        <v>1698</v>
      </c>
      <c r="F305" s="8">
        <v>1</v>
      </c>
      <c r="G305" s="15">
        <v>44813</v>
      </c>
      <c r="H305" s="8" t="s">
        <v>2282</v>
      </c>
      <c r="I305" s="8" t="s">
        <v>1711</v>
      </c>
    </row>
    <row r="306" spans="2:12" s="8" customFormat="1" x14ac:dyDescent="0.25">
      <c r="B306" s="8" t="s">
        <v>136</v>
      </c>
      <c r="C306" s="8" t="s">
        <v>2283</v>
      </c>
      <c r="D306" s="8" t="s">
        <v>1708</v>
      </c>
      <c r="E306" s="8" t="s">
        <v>1744</v>
      </c>
      <c r="F306" s="8">
        <v>3</v>
      </c>
      <c r="G306" s="15">
        <v>44795</v>
      </c>
      <c r="H306" s="8" t="s">
        <v>2283</v>
      </c>
      <c r="I306" s="8" t="s">
        <v>1700</v>
      </c>
    </row>
    <row r="307" spans="2:12" s="8" customFormat="1" x14ac:dyDescent="0.25">
      <c r="B307" s="8" t="s">
        <v>1783</v>
      </c>
      <c r="C307" s="8" t="s">
        <v>1881</v>
      </c>
      <c r="D307" s="8" t="s">
        <v>1718</v>
      </c>
      <c r="E307" s="8" t="s">
        <v>1698</v>
      </c>
      <c r="F307" s="8">
        <v>2</v>
      </c>
      <c r="G307" s="15">
        <v>44830</v>
      </c>
      <c r="H307" s="8" t="s">
        <v>1797</v>
      </c>
      <c r="I307" s="8" t="s">
        <v>1711</v>
      </c>
      <c r="L307" s="12"/>
    </row>
    <row r="308" spans="2:12" s="8" customFormat="1" x14ac:dyDescent="0.25">
      <c r="B308" s="8" t="s">
        <v>1783</v>
      </c>
      <c r="C308" s="8" t="s">
        <v>1784</v>
      </c>
      <c r="D308" s="8" t="s">
        <v>1869</v>
      </c>
      <c r="E308" s="8" t="s">
        <v>2284</v>
      </c>
      <c r="F308" s="8">
        <v>2</v>
      </c>
      <c r="G308" s="15">
        <v>44873</v>
      </c>
      <c r="H308" s="8" t="s">
        <v>2285</v>
      </c>
      <c r="I308" s="8" t="s">
        <v>1711</v>
      </c>
      <c r="L308" s="12"/>
    </row>
    <row r="309" spans="2:12" s="8" customFormat="1" x14ac:dyDescent="0.25">
      <c r="B309" s="8" t="s">
        <v>1783</v>
      </c>
      <c r="C309" s="8" t="s">
        <v>1784</v>
      </c>
      <c r="D309" s="8" t="s">
        <v>1708</v>
      </c>
      <c r="E309" s="8" t="s">
        <v>1698</v>
      </c>
      <c r="F309" s="8">
        <v>2</v>
      </c>
      <c r="G309" s="15">
        <v>44886</v>
      </c>
      <c r="H309" s="8" t="s">
        <v>2286</v>
      </c>
      <c r="I309" s="8" t="s">
        <v>1711</v>
      </c>
      <c r="L309" s="12"/>
    </row>
    <row r="310" spans="2:12" s="8" customFormat="1" x14ac:dyDescent="0.25">
      <c r="B310" s="8" t="s">
        <v>43</v>
      </c>
      <c r="C310" s="8" t="s">
        <v>2287</v>
      </c>
      <c r="D310" s="8" t="s">
        <v>1718</v>
      </c>
      <c r="E310" s="8" t="s">
        <v>1890</v>
      </c>
      <c r="F310" s="8">
        <v>1</v>
      </c>
      <c r="G310" s="15">
        <v>44796</v>
      </c>
      <c r="H310" s="8" t="s">
        <v>1705</v>
      </c>
      <c r="I310" s="8" t="s">
        <v>1700</v>
      </c>
      <c r="L310" s="12"/>
    </row>
    <row r="311" spans="2:12" s="8" customFormat="1" x14ac:dyDescent="0.25">
      <c r="B311" s="8" t="s">
        <v>70</v>
      </c>
      <c r="C311" s="8" t="s">
        <v>2147</v>
      </c>
      <c r="D311" s="8" t="s">
        <v>1768</v>
      </c>
      <c r="E311" s="8" t="s">
        <v>645</v>
      </c>
      <c r="F311" s="8">
        <v>2</v>
      </c>
      <c r="G311" s="15">
        <v>44911</v>
      </c>
      <c r="H311" s="8" t="s">
        <v>2288</v>
      </c>
      <c r="I311" s="8" t="s">
        <v>1700</v>
      </c>
    </row>
    <row r="312" spans="2:12" s="8" customFormat="1" x14ac:dyDescent="0.25">
      <c r="B312" s="8" t="s">
        <v>253</v>
      </c>
      <c r="C312" s="8" t="s">
        <v>2289</v>
      </c>
      <c r="D312" s="8" t="s">
        <v>1714</v>
      </c>
      <c r="E312" s="8" t="s">
        <v>932</v>
      </c>
      <c r="F312" s="8">
        <v>2</v>
      </c>
      <c r="G312" s="15">
        <v>44820</v>
      </c>
      <c r="H312" s="8" t="s">
        <v>2290</v>
      </c>
      <c r="I312" s="8" t="s">
        <v>1700</v>
      </c>
      <c r="J312" s="8" t="s">
        <v>254</v>
      </c>
    </row>
    <row r="313" spans="2:12" s="8" customFormat="1" x14ac:dyDescent="0.25">
      <c r="B313" s="8" t="s">
        <v>1783</v>
      </c>
      <c r="C313" s="8" t="s">
        <v>2291</v>
      </c>
      <c r="D313" s="8" t="s">
        <v>1714</v>
      </c>
      <c r="E313" s="8" t="s">
        <v>2292</v>
      </c>
      <c r="F313" s="8">
        <v>2</v>
      </c>
      <c r="G313" s="15">
        <v>44879</v>
      </c>
      <c r="H313" s="8" t="s">
        <v>1775</v>
      </c>
      <c r="I313" s="8" t="s">
        <v>1700</v>
      </c>
      <c r="L313" s="12" t="s">
        <v>2293</v>
      </c>
    </row>
    <row r="314" spans="2:12" s="8" customFormat="1" x14ac:dyDescent="0.25">
      <c r="B314" s="8" t="s">
        <v>1783</v>
      </c>
      <c r="C314" s="8" t="s">
        <v>2294</v>
      </c>
      <c r="D314" s="8" t="s">
        <v>1714</v>
      </c>
      <c r="E314" s="8" t="s">
        <v>1698</v>
      </c>
      <c r="F314" s="8">
        <v>1</v>
      </c>
      <c r="G314" s="15">
        <v>44873</v>
      </c>
      <c r="H314" s="8" t="s">
        <v>2295</v>
      </c>
      <c r="I314" s="8" t="s">
        <v>1700</v>
      </c>
      <c r="L314" s="12"/>
    </row>
    <row r="315" spans="2:12" s="8" customFormat="1" x14ac:dyDescent="0.25">
      <c r="B315" s="8" t="s">
        <v>43</v>
      </c>
      <c r="C315" s="8" t="s">
        <v>1796</v>
      </c>
      <c r="D315" s="8" t="s">
        <v>1718</v>
      </c>
      <c r="E315" s="8" t="s">
        <v>1744</v>
      </c>
      <c r="F315" s="8">
        <v>1</v>
      </c>
      <c r="G315" s="15">
        <v>44814</v>
      </c>
      <c r="H315" s="8" t="s">
        <v>2296</v>
      </c>
      <c r="I315" s="8" t="s">
        <v>1711</v>
      </c>
    </row>
    <row r="316" spans="2:12" s="8" customFormat="1" x14ac:dyDescent="0.25">
      <c r="B316" s="8" t="s">
        <v>168</v>
      </c>
      <c r="C316" s="8" t="s">
        <v>2013</v>
      </c>
      <c r="D316" s="8" t="s">
        <v>1718</v>
      </c>
      <c r="E316" s="8" t="s">
        <v>1733</v>
      </c>
      <c r="F316" s="8">
        <v>2</v>
      </c>
      <c r="G316" s="15">
        <v>44813</v>
      </c>
      <c r="H316" s="8" t="s">
        <v>2297</v>
      </c>
      <c r="I316" s="8" t="s">
        <v>1711</v>
      </c>
      <c r="L316" s="8" t="s">
        <v>2003</v>
      </c>
    </row>
    <row r="317" spans="2:12" s="8" customFormat="1" x14ac:dyDescent="0.25">
      <c r="B317" s="8" t="s">
        <v>70</v>
      </c>
      <c r="C317" s="8" t="s">
        <v>2147</v>
      </c>
      <c r="D317" s="8" t="s">
        <v>1768</v>
      </c>
      <c r="E317" s="8" t="s">
        <v>645</v>
      </c>
      <c r="F317" s="8">
        <v>2</v>
      </c>
      <c r="G317" s="15">
        <v>44904</v>
      </c>
      <c r="H317" s="8" t="s">
        <v>2298</v>
      </c>
      <c r="I317" s="8" t="s">
        <v>1700</v>
      </c>
      <c r="L317" s="12"/>
    </row>
    <row r="318" spans="2:12" s="8" customFormat="1" x14ac:dyDescent="0.25">
      <c r="B318" s="8" t="s">
        <v>168</v>
      </c>
      <c r="C318" s="8" t="s">
        <v>1817</v>
      </c>
      <c r="D318" s="8" t="s">
        <v>1708</v>
      </c>
      <c r="E318" s="8" t="s">
        <v>1744</v>
      </c>
      <c r="F318" s="8">
        <v>1</v>
      </c>
      <c r="G318" s="15">
        <v>44834</v>
      </c>
      <c r="H318" s="8" t="s">
        <v>2299</v>
      </c>
      <c r="I318" s="8" t="s">
        <v>1711</v>
      </c>
      <c r="L318" s="8" t="s">
        <v>2300</v>
      </c>
    </row>
    <row r="319" spans="2:12" s="8" customFormat="1" x14ac:dyDescent="0.25">
      <c r="B319" s="8" t="s">
        <v>136</v>
      </c>
      <c r="C319" s="8" t="s">
        <v>2301</v>
      </c>
      <c r="D319" s="8" t="s">
        <v>1714</v>
      </c>
      <c r="E319" s="8" t="s">
        <v>1988</v>
      </c>
      <c r="F319" s="8">
        <v>4</v>
      </c>
      <c r="G319" s="15">
        <v>44820</v>
      </c>
      <c r="H319" s="8" t="s">
        <v>2302</v>
      </c>
      <c r="I319" s="8" t="s">
        <v>1700</v>
      </c>
    </row>
    <row r="320" spans="2:12" s="8" customFormat="1" x14ac:dyDescent="0.25">
      <c r="B320" s="8" t="s">
        <v>168</v>
      </c>
      <c r="C320" s="8" t="s">
        <v>2013</v>
      </c>
      <c r="D320" s="8" t="s">
        <v>1768</v>
      </c>
      <c r="E320" s="8" t="s">
        <v>2303</v>
      </c>
      <c r="F320" s="8">
        <v>3</v>
      </c>
      <c r="G320" s="15">
        <v>44823</v>
      </c>
      <c r="H320" s="8" t="s">
        <v>2304</v>
      </c>
      <c r="I320" s="8" t="s">
        <v>1711</v>
      </c>
    </row>
    <row r="321" spans="2:12" s="8" customFormat="1" x14ac:dyDescent="0.25">
      <c r="B321" s="8" t="s">
        <v>70</v>
      </c>
      <c r="C321" s="8" t="s">
        <v>2147</v>
      </c>
      <c r="D321" s="8" t="s">
        <v>1768</v>
      </c>
      <c r="E321" s="8" t="s">
        <v>1951</v>
      </c>
      <c r="F321" s="8">
        <v>1</v>
      </c>
      <c r="G321" s="15">
        <v>44904</v>
      </c>
      <c r="H321" s="8" t="s">
        <v>2305</v>
      </c>
      <c r="I321" s="8" t="s">
        <v>1700</v>
      </c>
      <c r="L321" s="8" t="s">
        <v>2306</v>
      </c>
    </row>
    <row r="322" spans="2:12" s="8" customFormat="1" x14ac:dyDescent="0.25">
      <c r="B322" s="8" t="s">
        <v>136</v>
      </c>
      <c r="C322" s="8">
        <v>3508</v>
      </c>
      <c r="D322" s="8" t="s">
        <v>1718</v>
      </c>
      <c r="E322" s="8" t="s">
        <v>2307</v>
      </c>
      <c r="F322" s="8">
        <v>2</v>
      </c>
      <c r="G322" s="15">
        <v>44827</v>
      </c>
      <c r="H322" s="8" t="s">
        <v>2308</v>
      </c>
      <c r="I322" s="8" t="s">
        <v>1711</v>
      </c>
      <c r="L322" s="12" t="s">
        <v>2309</v>
      </c>
    </row>
    <row r="323" spans="2:12" s="8" customFormat="1" x14ac:dyDescent="0.25">
      <c r="B323" s="8" t="s">
        <v>136</v>
      </c>
      <c r="C323" s="8">
        <v>3508</v>
      </c>
      <c r="D323" s="8" t="s">
        <v>1718</v>
      </c>
      <c r="E323" s="8" t="s">
        <v>2310</v>
      </c>
      <c r="F323" s="8">
        <v>2</v>
      </c>
      <c r="G323" s="15">
        <v>44827</v>
      </c>
      <c r="H323" s="8" t="s">
        <v>2311</v>
      </c>
      <c r="I323" s="8" t="s">
        <v>1711</v>
      </c>
      <c r="L323" s="12" t="s">
        <v>2312</v>
      </c>
    </row>
    <row r="324" spans="2:12" s="8" customFormat="1" x14ac:dyDescent="0.25">
      <c r="B324" s="8" t="s">
        <v>1777</v>
      </c>
      <c r="C324" s="8" t="s">
        <v>2313</v>
      </c>
      <c r="D324" s="8" t="s">
        <v>1708</v>
      </c>
      <c r="E324" s="8" t="s">
        <v>1698</v>
      </c>
      <c r="F324" s="8">
        <v>2</v>
      </c>
      <c r="G324" s="15">
        <v>44879</v>
      </c>
      <c r="H324" s="8" t="s">
        <v>2116</v>
      </c>
      <c r="I324" s="8" t="s">
        <v>1711</v>
      </c>
      <c r="L324" s="12" t="s">
        <v>2314</v>
      </c>
    </row>
    <row r="325" spans="2:12" s="8" customFormat="1" x14ac:dyDescent="0.25">
      <c r="B325" s="8" t="s">
        <v>136</v>
      </c>
      <c r="C325" s="8" t="s">
        <v>1732</v>
      </c>
      <c r="D325" s="8" t="s">
        <v>1714</v>
      </c>
      <c r="E325" s="8" t="s">
        <v>1865</v>
      </c>
      <c r="F325" s="8">
        <v>2</v>
      </c>
      <c r="G325" s="15">
        <v>44813</v>
      </c>
      <c r="H325" s="8" t="s">
        <v>2315</v>
      </c>
      <c r="I325" s="8" t="s">
        <v>1700</v>
      </c>
    </row>
    <row r="326" spans="2:12" s="8" customFormat="1" x14ac:dyDescent="0.25">
      <c r="B326" s="8" t="s">
        <v>32</v>
      </c>
      <c r="C326" s="8" t="s">
        <v>1942</v>
      </c>
      <c r="D326" s="8" t="s">
        <v>1708</v>
      </c>
      <c r="E326" s="8" t="s">
        <v>1802</v>
      </c>
      <c r="F326" s="8">
        <v>3</v>
      </c>
      <c r="G326" s="15">
        <v>44834</v>
      </c>
      <c r="H326" s="8" t="s">
        <v>2316</v>
      </c>
      <c r="I326" s="8" t="s">
        <v>1700</v>
      </c>
      <c r="L326" s="8" t="s">
        <v>2317</v>
      </c>
    </row>
    <row r="327" spans="2:12" s="8" customFormat="1" x14ac:dyDescent="0.25">
      <c r="B327" s="8" t="s">
        <v>2318</v>
      </c>
      <c r="C327" s="8" t="s">
        <v>2319</v>
      </c>
      <c r="D327" s="8" t="s">
        <v>1818</v>
      </c>
      <c r="E327" s="8" t="s">
        <v>1698</v>
      </c>
      <c r="F327" s="8">
        <v>1</v>
      </c>
      <c r="G327" s="15">
        <v>44785</v>
      </c>
      <c r="H327" s="8" t="s">
        <v>2320</v>
      </c>
      <c r="I327" s="8" t="s">
        <v>1700</v>
      </c>
      <c r="L327" s="8" t="s">
        <v>2321</v>
      </c>
    </row>
    <row r="328" spans="2:12" s="8" customFormat="1" x14ac:dyDescent="0.25">
      <c r="B328" s="8" t="s">
        <v>168</v>
      </c>
      <c r="C328" s="8" t="s">
        <v>1817</v>
      </c>
      <c r="D328" s="8" t="s">
        <v>1708</v>
      </c>
      <c r="E328" s="8" t="s">
        <v>645</v>
      </c>
      <c r="F328" s="8">
        <v>1</v>
      </c>
      <c r="G328" s="15">
        <v>44834</v>
      </c>
      <c r="H328" s="8" t="s">
        <v>2322</v>
      </c>
      <c r="I328" s="8" t="s">
        <v>1711</v>
      </c>
    </row>
    <row r="329" spans="2:12" s="8" customFormat="1" x14ac:dyDescent="0.25">
      <c r="B329" s="8" t="s">
        <v>766</v>
      </c>
      <c r="C329" s="8" t="s">
        <v>2323</v>
      </c>
      <c r="D329" s="8" t="s">
        <v>1714</v>
      </c>
      <c r="E329" s="8" t="s">
        <v>1698</v>
      </c>
      <c r="F329" s="8">
        <v>1</v>
      </c>
      <c r="G329" s="15">
        <v>44809</v>
      </c>
      <c r="H329" s="8" t="s">
        <v>2324</v>
      </c>
      <c r="I329" s="8" t="s">
        <v>1700</v>
      </c>
      <c r="J329" s="8" t="s">
        <v>355</v>
      </c>
    </row>
    <row r="330" spans="2:12" s="8" customFormat="1" x14ac:dyDescent="0.25">
      <c r="B330" s="8" t="s">
        <v>1783</v>
      </c>
      <c r="C330" s="8" t="s">
        <v>2325</v>
      </c>
      <c r="D330" s="8" t="s">
        <v>1714</v>
      </c>
      <c r="E330" s="8" t="s">
        <v>1920</v>
      </c>
      <c r="F330" s="8">
        <v>2</v>
      </c>
      <c r="G330" s="15">
        <v>44844</v>
      </c>
      <c r="H330" s="8" t="s">
        <v>2326</v>
      </c>
      <c r="I330" s="8" t="s">
        <v>1711</v>
      </c>
      <c r="L330" s="8" t="s">
        <v>2327</v>
      </c>
    </row>
    <row r="331" spans="2:12" s="8" customFormat="1" x14ac:dyDescent="0.25">
      <c r="B331" s="8" t="s">
        <v>168</v>
      </c>
      <c r="C331" s="8" t="s">
        <v>1817</v>
      </c>
      <c r="D331" s="8" t="s">
        <v>1708</v>
      </c>
      <c r="E331" s="8" t="s">
        <v>1744</v>
      </c>
      <c r="F331" s="8">
        <v>1</v>
      </c>
      <c r="G331" s="15">
        <v>44837</v>
      </c>
      <c r="H331" s="8" t="s">
        <v>2328</v>
      </c>
      <c r="I331" s="8" t="s">
        <v>1711</v>
      </c>
    </row>
    <row r="332" spans="2:12" s="8" customFormat="1" x14ac:dyDescent="0.25">
      <c r="B332" s="8" t="s">
        <v>411</v>
      </c>
      <c r="C332" s="8" t="s">
        <v>2329</v>
      </c>
      <c r="D332" s="8" t="s">
        <v>1714</v>
      </c>
      <c r="E332" s="8" t="s">
        <v>1698</v>
      </c>
      <c r="F332" s="8">
        <v>2</v>
      </c>
      <c r="G332" s="15">
        <v>44813</v>
      </c>
      <c r="H332" s="8" t="s">
        <v>2330</v>
      </c>
      <c r="I332" s="8" t="s">
        <v>1700</v>
      </c>
    </row>
    <row r="333" spans="2:12" s="8" customFormat="1" x14ac:dyDescent="0.25">
      <c r="B333" s="8" t="s">
        <v>47</v>
      </c>
      <c r="C333" s="8" t="s">
        <v>2100</v>
      </c>
      <c r="D333" s="8" t="s">
        <v>1708</v>
      </c>
      <c r="E333" s="8" t="s">
        <v>1698</v>
      </c>
      <c r="F333" s="8">
        <v>2</v>
      </c>
      <c r="G333" s="15">
        <v>44866</v>
      </c>
      <c r="H333" s="8" t="s">
        <v>2331</v>
      </c>
      <c r="I333" s="8" t="s">
        <v>1700</v>
      </c>
      <c r="L333" s="12"/>
    </row>
    <row r="334" spans="2:12" s="8" customFormat="1" x14ac:dyDescent="0.25">
      <c r="B334" s="8" t="s">
        <v>70</v>
      </c>
      <c r="C334" s="8" t="s">
        <v>2147</v>
      </c>
      <c r="D334" s="8" t="s">
        <v>1708</v>
      </c>
      <c r="E334" s="8" t="s">
        <v>1744</v>
      </c>
      <c r="F334" s="8">
        <v>2</v>
      </c>
      <c r="G334" s="15">
        <v>44907</v>
      </c>
      <c r="H334" s="8" t="s">
        <v>2332</v>
      </c>
      <c r="I334" s="8" t="s">
        <v>1700</v>
      </c>
      <c r="L334" s="12" t="s">
        <v>2333</v>
      </c>
    </row>
    <row r="335" spans="2:12" s="8" customFormat="1" x14ac:dyDescent="0.25">
      <c r="B335" s="8" t="s">
        <v>43</v>
      </c>
      <c r="C335" s="8" t="s">
        <v>1796</v>
      </c>
      <c r="D335" s="8" t="s">
        <v>1718</v>
      </c>
      <c r="E335" s="8" t="s">
        <v>1698</v>
      </c>
      <c r="F335" s="8">
        <v>2</v>
      </c>
      <c r="G335" s="15">
        <v>44806</v>
      </c>
      <c r="H335" s="8" t="s">
        <v>2116</v>
      </c>
      <c r="I335" s="8" t="s">
        <v>1700</v>
      </c>
      <c r="L335" s="12"/>
    </row>
    <row r="336" spans="2:12" s="8" customFormat="1" x14ac:dyDescent="0.25">
      <c r="B336" s="8" t="s">
        <v>43</v>
      </c>
      <c r="C336" s="8" t="s">
        <v>1938</v>
      </c>
      <c r="D336" s="8" t="s">
        <v>1708</v>
      </c>
      <c r="E336" s="8" t="s">
        <v>1698</v>
      </c>
      <c r="F336" s="8">
        <v>2</v>
      </c>
      <c r="G336" s="15">
        <v>44827</v>
      </c>
      <c r="H336" s="8" t="s">
        <v>2248</v>
      </c>
      <c r="I336" s="8" t="s">
        <v>1700</v>
      </c>
      <c r="L336" s="12"/>
    </row>
    <row r="337" spans="2:12" s="8" customFormat="1" x14ac:dyDescent="0.25">
      <c r="B337" s="8" t="s">
        <v>253</v>
      </c>
      <c r="C337" s="8" t="s">
        <v>2279</v>
      </c>
      <c r="D337" s="8" t="s">
        <v>1768</v>
      </c>
      <c r="E337" s="8" t="s">
        <v>2334</v>
      </c>
      <c r="F337" s="8">
        <v>1</v>
      </c>
      <c r="G337" s="15">
        <v>44845</v>
      </c>
      <c r="H337" s="8" t="s">
        <v>2335</v>
      </c>
      <c r="I337" s="8" t="s">
        <v>1711</v>
      </c>
      <c r="J337" s="8" t="s">
        <v>254</v>
      </c>
      <c r="L337" s="12"/>
    </row>
    <row r="338" spans="2:12" s="8" customFormat="1" x14ac:dyDescent="0.25">
      <c r="B338" s="8" t="s">
        <v>411</v>
      </c>
      <c r="C338" s="8" t="s">
        <v>2336</v>
      </c>
      <c r="D338" s="8" t="s">
        <v>1714</v>
      </c>
      <c r="E338" s="8" t="s">
        <v>932</v>
      </c>
      <c r="F338" s="8">
        <v>3</v>
      </c>
      <c r="G338" s="15">
        <v>44820</v>
      </c>
      <c r="H338" s="8" t="s">
        <v>2337</v>
      </c>
      <c r="I338" s="8" t="s">
        <v>1700</v>
      </c>
      <c r="J338" s="8" t="s">
        <v>817</v>
      </c>
    </row>
    <row r="339" spans="2:12" s="8" customFormat="1" x14ac:dyDescent="0.25">
      <c r="B339" s="8" t="s">
        <v>253</v>
      </c>
      <c r="C339" s="8" t="s">
        <v>1985</v>
      </c>
      <c r="D339" s="8" t="s">
        <v>1708</v>
      </c>
      <c r="E339" s="8" t="s">
        <v>645</v>
      </c>
      <c r="F339" s="8">
        <v>1</v>
      </c>
      <c r="G339" s="15">
        <v>44830</v>
      </c>
      <c r="H339" s="8" t="s">
        <v>2338</v>
      </c>
      <c r="I339" s="8" t="s">
        <v>1700</v>
      </c>
      <c r="L339" s="8" t="s">
        <v>2339</v>
      </c>
    </row>
    <row r="340" spans="2:12" s="8" customFormat="1" x14ac:dyDescent="0.25">
      <c r="B340" s="8" t="s">
        <v>253</v>
      </c>
      <c r="C340" s="8" t="s">
        <v>1985</v>
      </c>
      <c r="D340" s="8" t="s">
        <v>1708</v>
      </c>
      <c r="E340" s="8" t="s">
        <v>932</v>
      </c>
      <c r="F340" s="8">
        <v>2</v>
      </c>
      <c r="G340" s="15">
        <v>44784</v>
      </c>
      <c r="H340" s="8" t="s">
        <v>2340</v>
      </c>
      <c r="I340" s="8" t="s">
        <v>1711</v>
      </c>
      <c r="J340" s="8" t="s">
        <v>2341</v>
      </c>
      <c r="L340" s="12" t="s">
        <v>2342</v>
      </c>
    </row>
    <row r="341" spans="2:12" s="8" customFormat="1" x14ac:dyDescent="0.25">
      <c r="B341" s="8" t="s">
        <v>14</v>
      </c>
      <c r="C341" s="8" t="s">
        <v>2343</v>
      </c>
      <c r="D341" s="8" t="s">
        <v>1728</v>
      </c>
      <c r="E341" s="8" t="s">
        <v>1733</v>
      </c>
      <c r="F341" s="8">
        <v>1</v>
      </c>
      <c r="G341" s="15">
        <v>44817</v>
      </c>
      <c r="H341" s="8" t="s">
        <v>2344</v>
      </c>
      <c r="I341" s="8" t="s">
        <v>1700</v>
      </c>
    </row>
    <row r="342" spans="2:12" s="8" customFormat="1" x14ac:dyDescent="0.25">
      <c r="B342" s="8" t="s">
        <v>253</v>
      </c>
      <c r="C342" s="8" t="s">
        <v>1985</v>
      </c>
      <c r="D342" s="8" t="s">
        <v>1708</v>
      </c>
      <c r="E342" s="8" t="s">
        <v>2334</v>
      </c>
      <c r="F342" s="8">
        <v>1</v>
      </c>
      <c r="G342" s="15">
        <v>44841</v>
      </c>
      <c r="H342" s="8" t="s">
        <v>2345</v>
      </c>
      <c r="I342" s="8" t="s">
        <v>1700</v>
      </c>
      <c r="J342" s="8" t="s">
        <v>2341</v>
      </c>
      <c r="L342" s="12"/>
    </row>
    <row r="343" spans="2:12" s="8" customFormat="1" x14ac:dyDescent="0.25">
      <c r="B343" s="8" t="s">
        <v>253</v>
      </c>
      <c r="C343" s="8" t="s">
        <v>2346</v>
      </c>
      <c r="D343" s="8" t="s">
        <v>1768</v>
      </c>
      <c r="E343" s="8" t="s">
        <v>645</v>
      </c>
      <c r="F343" s="8">
        <v>1</v>
      </c>
      <c r="G343" s="15">
        <v>44844</v>
      </c>
      <c r="H343" s="8" t="s">
        <v>2347</v>
      </c>
      <c r="I343" s="8" t="s">
        <v>1711</v>
      </c>
      <c r="L343" s="12" t="s">
        <v>2348</v>
      </c>
    </row>
    <row r="344" spans="2:12" s="8" customFormat="1" x14ac:dyDescent="0.25">
      <c r="B344" s="8" t="s">
        <v>253</v>
      </c>
      <c r="C344" s="8" t="s">
        <v>2349</v>
      </c>
      <c r="D344" s="8" t="s">
        <v>1718</v>
      </c>
      <c r="E344" s="8" t="s">
        <v>1698</v>
      </c>
      <c r="F344" s="8">
        <v>1</v>
      </c>
      <c r="G344" s="15">
        <v>44816</v>
      </c>
      <c r="H344" s="8" t="s">
        <v>2350</v>
      </c>
      <c r="I344" s="8" t="s">
        <v>1700</v>
      </c>
      <c r="L344" s="8" t="s">
        <v>2351</v>
      </c>
    </row>
    <row r="345" spans="2:12" s="8" customFormat="1" x14ac:dyDescent="0.25">
      <c r="B345" s="8" t="s">
        <v>70</v>
      </c>
      <c r="C345" s="8" t="s">
        <v>2147</v>
      </c>
      <c r="D345" s="8" t="s">
        <v>1718</v>
      </c>
      <c r="E345" s="8" t="s">
        <v>645</v>
      </c>
      <c r="F345" s="8">
        <v>1</v>
      </c>
      <c r="I345" s="8" t="s">
        <v>1700</v>
      </c>
    </row>
    <row r="346" spans="2:12" s="8" customFormat="1" x14ac:dyDescent="0.25">
      <c r="B346" s="8" t="s">
        <v>43</v>
      </c>
      <c r="C346" s="8" t="s">
        <v>1938</v>
      </c>
      <c r="D346" s="8" t="s">
        <v>1708</v>
      </c>
      <c r="E346" s="8" t="s">
        <v>1698</v>
      </c>
      <c r="F346" s="8">
        <v>2</v>
      </c>
      <c r="G346" s="15">
        <v>44827</v>
      </c>
      <c r="H346" s="8" t="s">
        <v>1705</v>
      </c>
      <c r="I346" s="8" t="s">
        <v>1700</v>
      </c>
      <c r="L346" s="12"/>
    </row>
    <row r="347" spans="2:12" s="8" customFormat="1" x14ac:dyDescent="0.25">
      <c r="B347" s="8" t="s">
        <v>2352</v>
      </c>
      <c r="C347" s="8" t="s">
        <v>2353</v>
      </c>
      <c r="D347" s="8" t="s">
        <v>1714</v>
      </c>
      <c r="E347" s="8" t="s">
        <v>1809</v>
      </c>
      <c r="F347" s="8">
        <v>3</v>
      </c>
      <c r="G347" s="15">
        <v>44811</v>
      </c>
      <c r="H347" s="8" t="s">
        <v>2354</v>
      </c>
      <c r="I347" s="8" t="s">
        <v>1700</v>
      </c>
    </row>
    <row r="348" spans="2:12" s="8" customFormat="1" x14ac:dyDescent="0.25">
      <c r="B348" s="8" t="s">
        <v>1695</v>
      </c>
      <c r="C348" s="8" t="s">
        <v>2355</v>
      </c>
      <c r="D348" s="8" t="s">
        <v>1704</v>
      </c>
      <c r="E348" s="8" t="s">
        <v>2066</v>
      </c>
      <c r="F348" s="8">
        <v>2</v>
      </c>
      <c r="G348" s="15">
        <v>44778</v>
      </c>
      <c r="H348" s="8" t="s">
        <v>2356</v>
      </c>
      <c r="I348" s="8" t="s">
        <v>1711</v>
      </c>
      <c r="L348" s="8" t="s">
        <v>2357</v>
      </c>
    </row>
    <row r="349" spans="2:12" s="8" customFormat="1" x14ac:dyDescent="0.25">
      <c r="B349" s="8" t="s">
        <v>70</v>
      </c>
      <c r="C349" s="8" t="s">
        <v>2358</v>
      </c>
      <c r="D349" s="8" t="s">
        <v>1714</v>
      </c>
      <c r="E349" s="8" t="s">
        <v>1698</v>
      </c>
      <c r="F349" s="8">
        <v>1</v>
      </c>
      <c r="G349" s="15">
        <v>44901</v>
      </c>
      <c r="H349" s="8" t="s">
        <v>2359</v>
      </c>
      <c r="I349" s="8" t="s">
        <v>1700</v>
      </c>
    </row>
    <row r="350" spans="2:12" s="8" customFormat="1" x14ac:dyDescent="0.25">
      <c r="B350" s="8" t="s">
        <v>47</v>
      </c>
      <c r="C350" s="8" t="s">
        <v>2360</v>
      </c>
      <c r="D350" s="8" t="s">
        <v>1714</v>
      </c>
      <c r="E350" s="8" t="s">
        <v>1761</v>
      </c>
      <c r="F350" s="8">
        <v>1</v>
      </c>
      <c r="G350" s="15">
        <v>44810</v>
      </c>
      <c r="H350" s="8" t="s">
        <v>2361</v>
      </c>
      <c r="I350" s="8" t="s">
        <v>1711</v>
      </c>
      <c r="J350" s="8" t="s">
        <v>2362</v>
      </c>
    </row>
    <row r="351" spans="2:12" s="8" customFormat="1" x14ac:dyDescent="0.25">
      <c r="B351" s="8" t="s">
        <v>47</v>
      </c>
      <c r="C351" s="8" t="s">
        <v>2360</v>
      </c>
      <c r="D351" s="8" t="s">
        <v>1714</v>
      </c>
      <c r="E351" s="8" t="s">
        <v>1698</v>
      </c>
      <c r="F351" s="8">
        <v>1</v>
      </c>
      <c r="G351" s="15">
        <v>44795</v>
      </c>
      <c r="H351" s="8" t="s">
        <v>2363</v>
      </c>
      <c r="I351" s="8" t="s">
        <v>1711</v>
      </c>
      <c r="J351" s="8" t="s">
        <v>2362</v>
      </c>
      <c r="L351" s="8" t="s">
        <v>2364</v>
      </c>
    </row>
    <row r="352" spans="2:12" s="8" customFormat="1" x14ac:dyDescent="0.25">
      <c r="B352" s="8" t="s">
        <v>25</v>
      </c>
      <c r="C352" s="8" t="s">
        <v>2365</v>
      </c>
      <c r="D352" s="8" t="s">
        <v>1768</v>
      </c>
      <c r="E352" s="8" t="s">
        <v>1764</v>
      </c>
      <c r="F352" s="8">
        <v>1</v>
      </c>
      <c r="G352" s="15">
        <v>44805</v>
      </c>
      <c r="H352" s="8" t="s">
        <v>2366</v>
      </c>
      <c r="I352" s="8" t="s">
        <v>1700</v>
      </c>
      <c r="J352" s="8" t="s">
        <v>886</v>
      </c>
      <c r="L352" s="8" t="s">
        <v>2367</v>
      </c>
    </row>
    <row r="353" spans="2:165" s="8" customFormat="1" x14ac:dyDescent="0.25">
      <c r="B353" s="8" t="s">
        <v>14</v>
      </c>
      <c r="C353" s="8">
        <v>4015</v>
      </c>
      <c r="D353" s="8" t="s">
        <v>1718</v>
      </c>
      <c r="E353" s="8" t="s">
        <v>1733</v>
      </c>
      <c r="F353" s="8">
        <v>2</v>
      </c>
      <c r="G353" s="15">
        <v>44813</v>
      </c>
      <c r="H353" s="8" t="s">
        <v>2368</v>
      </c>
      <c r="I353" s="8" t="s">
        <v>1711</v>
      </c>
      <c r="L353" s="8" t="s">
        <v>2369</v>
      </c>
    </row>
    <row r="354" spans="2:165" s="8" customFormat="1" x14ac:dyDescent="0.25">
      <c r="B354" s="8" t="s">
        <v>25</v>
      </c>
      <c r="C354" s="8" t="s">
        <v>2365</v>
      </c>
      <c r="D354" s="8" t="s">
        <v>1768</v>
      </c>
      <c r="E354" s="8" t="s">
        <v>1764</v>
      </c>
      <c r="F354" s="8">
        <v>1</v>
      </c>
      <c r="G354" s="15">
        <v>44810</v>
      </c>
      <c r="H354" s="8" t="s">
        <v>2370</v>
      </c>
      <c r="I354" s="8" t="s">
        <v>1700</v>
      </c>
      <c r="L354" s="8" t="s">
        <v>2371</v>
      </c>
    </row>
    <row r="355" spans="2:165" s="8" customFormat="1" x14ac:dyDescent="0.25">
      <c r="B355" s="8" t="s">
        <v>1821</v>
      </c>
      <c r="C355" s="8" t="s">
        <v>2372</v>
      </c>
      <c r="D355" s="8" t="s">
        <v>1869</v>
      </c>
      <c r="E355" s="8" t="s">
        <v>1698</v>
      </c>
      <c r="F355" s="8">
        <v>1</v>
      </c>
      <c r="G355" s="15">
        <v>45001</v>
      </c>
      <c r="H355" s="8" t="s">
        <v>2373</v>
      </c>
      <c r="I355" s="8" t="s">
        <v>1711</v>
      </c>
    </row>
    <row r="356" spans="2:165" s="8" customFormat="1" x14ac:dyDescent="0.25">
      <c r="B356" s="8" t="s">
        <v>14</v>
      </c>
      <c r="C356" s="8">
        <v>4015</v>
      </c>
      <c r="D356" s="8" t="s">
        <v>1869</v>
      </c>
      <c r="E356" s="8" t="s">
        <v>1733</v>
      </c>
      <c r="F356" s="8">
        <v>2</v>
      </c>
      <c r="G356" s="15">
        <v>44820</v>
      </c>
      <c r="H356" s="8" t="s">
        <v>2374</v>
      </c>
      <c r="I356" s="8" t="s">
        <v>1711</v>
      </c>
    </row>
    <row r="357" spans="2:165" s="8" customFormat="1" x14ac:dyDescent="0.25">
      <c r="B357" s="8" t="s">
        <v>25</v>
      </c>
      <c r="C357" s="8" t="s">
        <v>2365</v>
      </c>
      <c r="D357" s="8" t="s">
        <v>1768</v>
      </c>
      <c r="E357" s="8" t="s">
        <v>1764</v>
      </c>
      <c r="F357" s="8">
        <v>1</v>
      </c>
      <c r="G357" s="15">
        <v>44811</v>
      </c>
      <c r="H357" s="8" t="s">
        <v>2375</v>
      </c>
      <c r="I357" s="8" t="s">
        <v>1700</v>
      </c>
      <c r="L357" s="8" t="s">
        <v>2376</v>
      </c>
    </row>
    <row r="358" spans="2:165" s="8" customFormat="1" x14ac:dyDescent="0.25">
      <c r="B358" s="8" t="s">
        <v>253</v>
      </c>
      <c r="C358" s="8" t="s">
        <v>2377</v>
      </c>
      <c r="D358" s="8" t="s">
        <v>2378</v>
      </c>
      <c r="E358" s="8" t="s">
        <v>2379</v>
      </c>
      <c r="F358" s="8">
        <v>2</v>
      </c>
      <c r="G358" s="15">
        <v>44907</v>
      </c>
      <c r="H358" s="8" t="s">
        <v>2380</v>
      </c>
      <c r="I358" s="8" t="s">
        <v>1711</v>
      </c>
      <c r="J358" s="8" t="s">
        <v>2381</v>
      </c>
      <c r="L358" s="12"/>
    </row>
    <row r="359" spans="2:165" s="8" customFormat="1" x14ac:dyDescent="0.25">
      <c r="B359" s="8" t="s">
        <v>243</v>
      </c>
      <c r="C359" s="8" t="s">
        <v>2382</v>
      </c>
      <c r="D359" s="8" t="s">
        <v>1869</v>
      </c>
      <c r="E359" s="8" t="s">
        <v>1698</v>
      </c>
      <c r="F359" s="8">
        <v>1</v>
      </c>
      <c r="G359" s="15">
        <v>45001</v>
      </c>
      <c r="H359" s="8" t="s">
        <v>2383</v>
      </c>
      <c r="I359" s="8" t="s">
        <v>1711</v>
      </c>
    </row>
    <row r="360" spans="2:165" s="8" customFormat="1" x14ac:dyDescent="0.25">
      <c r="B360" s="8" t="s">
        <v>243</v>
      </c>
      <c r="C360" s="8" t="s">
        <v>2045</v>
      </c>
      <c r="D360" s="8" t="s">
        <v>1708</v>
      </c>
      <c r="E360" s="8" t="s">
        <v>1733</v>
      </c>
      <c r="F360" s="8">
        <v>1</v>
      </c>
      <c r="G360" s="15">
        <v>44832</v>
      </c>
      <c r="H360" s="8" t="s">
        <v>2384</v>
      </c>
      <c r="I360" s="8" t="s">
        <v>1700</v>
      </c>
    </row>
    <row r="361" spans="2:165" s="8" customFormat="1" x14ac:dyDescent="0.25">
      <c r="B361" s="8" t="s">
        <v>1821</v>
      </c>
      <c r="C361" s="8" t="s">
        <v>2385</v>
      </c>
      <c r="D361" s="8" t="s">
        <v>1714</v>
      </c>
      <c r="E361" s="8" t="s">
        <v>1698</v>
      </c>
      <c r="F361" s="8">
        <v>1</v>
      </c>
      <c r="G361" s="15">
        <v>45002</v>
      </c>
      <c r="H361" s="8" t="s">
        <v>2386</v>
      </c>
      <c r="I361" s="8" t="s">
        <v>1711</v>
      </c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</row>
    <row r="362" spans="2:165" s="8" customFormat="1" x14ac:dyDescent="0.25">
      <c r="B362" s="8" t="s">
        <v>1777</v>
      </c>
      <c r="C362" s="8" t="s">
        <v>1911</v>
      </c>
      <c r="D362" s="8" t="s">
        <v>1708</v>
      </c>
      <c r="E362" s="8" t="s">
        <v>1802</v>
      </c>
      <c r="F362" s="8">
        <v>1</v>
      </c>
      <c r="G362" s="15">
        <v>44841</v>
      </c>
      <c r="H362" s="8" t="s">
        <v>2387</v>
      </c>
      <c r="I362" s="8" t="s">
        <v>1700</v>
      </c>
      <c r="L362" s="12"/>
    </row>
    <row r="363" spans="2:165" s="8" customFormat="1" x14ac:dyDescent="0.25">
      <c r="B363" s="8" t="s">
        <v>2388</v>
      </c>
      <c r="C363" s="8" t="s">
        <v>2255</v>
      </c>
      <c r="D363" s="8" t="s">
        <v>1714</v>
      </c>
      <c r="E363" s="8" t="s">
        <v>2389</v>
      </c>
      <c r="F363" s="8">
        <v>2</v>
      </c>
      <c r="G363" s="15">
        <v>44830</v>
      </c>
      <c r="H363" s="8" t="s">
        <v>2390</v>
      </c>
      <c r="I363" s="8" t="s">
        <v>1700</v>
      </c>
      <c r="L363" s="12" t="s">
        <v>2391</v>
      </c>
    </row>
    <row r="364" spans="2:165" s="8" customFormat="1" x14ac:dyDescent="0.25">
      <c r="B364" s="8" t="s">
        <v>168</v>
      </c>
      <c r="C364" s="8" t="s">
        <v>2013</v>
      </c>
      <c r="D364" s="8" t="s">
        <v>1718</v>
      </c>
      <c r="E364" s="8" t="s">
        <v>1698</v>
      </c>
      <c r="F364" s="8">
        <v>3</v>
      </c>
      <c r="G364" s="15">
        <v>44834</v>
      </c>
      <c r="H364" s="8" t="s">
        <v>2392</v>
      </c>
      <c r="I364" s="8" t="s">
        <v>1700</v>
      </c>
      <c r="L364" s="12"/>
    </row>
    <row r="365" spans="2:165" s="8" customFormat="1" x14ac:dyDescent="0.25">
      <c r="B365" s="8" t="s">
        <v>2393</v>
      </c>
      <c r="C365" s="8" t="s">
        <v>2394</v>
      </c>
      <c r="D365" s="8" t="s">
        <v>1714</v>
      </c>
      <c r="E365" s="8" t="s">
        <v>2395</v>
      </c>
      <c r="F365" s="8">
        <v>2</v>
      </c>
      <c r="G365" s="15">
        <v>44806</v>
      </c>
      <c r="H365" s="8" t="s">
        <v>2396</v>
      </c>
      <c r="I365" s="8" t="s">
        <v>1700</v>
      </c>
      <c r="J365" s="8" t="s">
        <v>2397</v>
      </c>
      <c r="L365" s="12" t="s">
        <v>2398</v>
      </c>
    </row>
    <row r="366" spans="2:165" s="8" customFormat="1" x14ac:dyDescent="0.25">
      <c r="B366" s="8" t="s">
        <v>1821</v>
      </c>
      <c r="C366" s="8">
        <v>3610</v>
      </c>
      <c r="D366" s="8" t="s">
        <v>1704</v>
      </c>
      <c r="E366" s="8" t="s">
        <v>2399</v>
      </c>
      <c r="F366" s="8">
        <v>1</v>
      </c>
      <c r="G366" s="15">
        <v>45002</v>
      </c>
      <c r="H366" s="8" t="s">
        <v>2400</v>
      </c>
      <c r="I366" s="8" t="s">
        <v>1711</v>
      </c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</row>
    <row r="367" spans="2:165" s="8" customFormat="1" x14ac:dyDescent="0.25">
      <c r="B367" s="8" t="s">
        <v>2352</v>
      </c>
      <c r="C367" s="8" t="s">
        <v>2401</v>
      </c>
      <c r="D367" s="8" t="s">
        <v>1714</v>
      </c>
      <c r="E367" s="8" t="s">
        <v>2402</v>
      </c>
      <c r="F367" s="8">
        <v>1</v>
      </c>
      <c r="G367" s="15">
        <v>44902</v>
      </c>
      <c r="H367" s="8" t="s">
        <v>2403</v>
      </c>
      <c r="I367" s="8" t="s">
        <v>1700</v>
      </c>
      <c r="L367" s="12" t="s">
        <v>2404</v>
      </c>
    </row>
    <row r="368" spans="2:165" s="8" customFormat="1" x14ac:dyDescent="0.25">
      <c r="B368" s="8" t="s">
        <v>168</v>
      </c>
      <c r="C368" s="8" t="s">
        <v>1817</v>
      </c>
      <c r="D368" s="8" t="s">
        <v>1869</v>
      </c>
      <c r="E368" s="8" t="s">
        <v>1698</v>
      </c>
      <c r="F368" s="8">
        <v>2</v>
      </c>
      <c r="G368" s="15">
        <v>44820</v>
      </c>
      <c r="H368" s="8" t="s">
        <v>2405</v>
      </c>
      <c r="I368" s="8" t="s">
        <v>1700</v>
      </c>
      <c r="L368" s="12"/>
    </row>
    <row r="369" spans="2:165" s="8" customFormat="1" x14ac:dyDescent="0.25">
      <c r="B369" s="8" t="s">
        <v>47</v>
      </c>
      <c r="C369" s="8" t="s">
        <v>2240</v>
      </c>
      <c r="D369" s="8" t="s">
        <v>1718</v>
      </c>
      <c r="E369" s="8" t="s">
        <v>1698</v>
      </c>
      <c r="F369" s="8">
        <v>1</v>
      </c>
      <c r="G369" s="15">
        <v>45005</v>
      </c>
      <c r="H369" s="8" t="s">
        <v>2406</v>
      </c>
      <c r="I369" s="8" t="s">
        <v>1711</v>
      </c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</row>
    <row r="370" spans="2:165" s="8" customFormat="1" x14ac:dyDescent="0.25">
      <c r="B370" s="8" t="s">
        <v>168</v>
      </c>
      <c r="C370" s="8" t="s">
        <v>1817</v>
      </c>
      <c r="D370" s="8" t="s">
        <v>1718</v>
      </c>
      <c r="E370" s="8" t="s">
        <v>2407</v>
      </c>
      <c r="F370" s="8">
        <v>3</v>
      </c>
      <c r="G370" s="15">
        <v>44834</v>
      </c>
      <c r="H370" s="8" t="s">
        <v>2392</v>
      </c>
      <c r="I370" s="8" t="s">
        <v>1700</v>
      </c>
      <c r="L370" s="12" t="s">
        <v>2408</v>
      </c>
    </row>
    <row r="371" spans="2:165" s="8" customFormat="1" x14ac:dyDescent="0.25">
      <c r="B371" s="8" t="s">
        <v>168</v>
      </c>
      <c r="C371" s="8" t="s">
        <v>2409</v>
      </c>
      <c r="D371" s="8" t="s">
        <v>1708</v>
      </c>
      <c r="E371" s="8" t="s">
        <v>2029</v>
      </c>
      <c r="F371" s="8">
        <v>1</v>
      </c>
      <c r="G371" s="15">
        <v>44860</v>
      </c>
      <c r="H371" s="8" t="s">
        <v>2410</v>
      </c>
      <c r="I371" s="8" t="s">
        <v>1700</v>
      </c>
      <c r="L371" s="12"/>
    </row>
    <row r="372" spans="2:165" s="8" customFormat="1" x14ac:dyDescent="0.25">
      <c r="B372" s="8" t="s">
        <v>159</v>
      </c>
      <c r="C372" s="8" t="s">
        <v>2411</v>
      </c>
      <c r="D372" s="8" t="s">
        <v>1708</v>
      </c>
      <c r="E372" s="8" t="s">
        <v>1698</v>
      </c>
      <c r="F372" s="8">
        <v>1</v>
      </c>
      <c r="G372" s="15">
        <v>44819</v>
      </c>
      <c r="H372" s="8" t="s">
        <v>2412</v>
      </c>
      <c r="I372" s="8" t="s">
        <v>1711</v>
      </c>
    </row>
    <row r="373" spans="2:165" s="8" customFormat="1" x14ac:dyDescent="0.25">
      <c r="B373" s="8" t="s">
        <v>766</v>
      </c>
      <c r="C373" s="8" t="s">
        <v>2413</v>
      </c>
      <c r="D373" s="8" t="s">
        <v>1714</v>
      </c>
      <c r="E373" s="8" t="s">
        <v>1988</v>
      </c>
      <c r="F373" s="8">
        <v>1</v>
      </c>
      <c r="G373" s="15">
        <v>44818</v>
      </c>
      <c r="H373" s="8" t="s">
        <v>2134</v>
      </c>
      <c r="I373" s="8" t="s">
        <v>1700</v>
      </c>
      <c r="J373" s="8" t="s">
        <v>1053</v>
      </c>
    </row>
    <row r="374" spans="2:165" s="8" customFormat="1" x14ac:dyDescent="0.25">
      <c r="B374" s="8" t="s">
        <v>1579</v>
      </c>
      <c r="C374" s="8" t="s">
        <v>2414</v>
      </c>
      <c r="D374" s="8" t="s">
        <v>1869</v>
      </c>
      <c r="E374" s="8" t="s">
        <v>1698</v>
      </c>
      <c r="F374" s="8">
        <v>3</v>
      </c>
      <c r="G374" s="15">
        <v>44802</v>
      </c>
      <c r="H374" s="8" t="s">
        <v>2415</v>
      </c>
      <c r="I374" s="8" t="s">
        <v>1700</v>
      </c>
      <c r="L374" s="12" t="s">
        <v>2416</v>
      </c>
    </row>
    <row r="375" spans="2:165" s="8" customFormat="1" x14ac:dyDescent="0.25">
      <c r="B375" s="8" t="s">
        <v>253</v>
      </c>
      <c r="C375" s="8" t="s">
        <v>2279</v>
      </c>
      <c r="D375" s="8" t="s">
        <v>1768</v>
      </c>
      <c r="E375" s="8" t="s">
        <v>1809</v>
      </c>
      <c r="F375" s="8">
        <v>1</v>
      </c>
      <c r="G375" s="15">
        <v>44841</v>
      </c>
      <c r="H375" s="8" t="s">
        <v>2417</v>
      </c>
      <c r="I375" s="8" t="s">
        <v>1711</v>
      </c>
      <c r="L375" s="12" t="s">
        <v>2418</v>
      </c>
    </row>
    <row r="376" spans="2:165" s="8" customFormat="1" x14ac:dyDescent="0.25">
      <c r="B376" s="8" t="s">
        <v>253</v>
      </c>
      <c r="C376" s="8" t="s">
        <v>2419</v>
      </c>
      <c r="D376" s="8" t="s">
        <v>1768</v>
      </c>
      <c r="E376" s="8" t="s">
        <v>1809</v>
      </c>
      <c r="F376" s="8">
        <v>2</v>
      </c>
      <c r="G376" s="15">
        <v>44813</v>
      </c>
      <c r="H376" s="8" t="s">
        <v>2420</v>
      </c>
      <c r="I376" s="8" t="s">
        <v>1700</v>
      </c>
      <c r="J376" s="8" t="s">
        <v>254</v>
      </c>
      <c r="L376" s="12" t="s">
        <v>2421</v>
      </c>
    </row>
    <row r="377" spans="2:165" s="8" customFormat="1" x14ac:dyDescent="0.25">
      <c r="B377" s="8" t="s">
        <v>2422</v>
      </c>
      <c r="C377" s="8" t="s">
        <v>2423</v>
      </c>
      <c r="D377" s="8" t="s">
        <v>1718</v>
      </c>
      <c r="E377" s="8" t="s">
        <v>1719</v>
      </c>
      <c r="F377" s="8">
        <v>2</v>
      </c>
      <c r="G377" s="15">
        <v>45047</v>
      </c>
      <c r="H377" s="8" t="s">
        <v>2424</v>
      </c>
      <c r="I377" s="8" t="s">
        <v>1711</v>
      </c>
    </row>
    <row r="378" spans="2:165" s="8" customFormat="1" x14ac:dyDescent="0.25">
      <c r="B378" s="8" t="s">
        <v>159</v>
      </c>
      <c r="C378" s="8" t="s">
        <v>2425</v>
      </c>
      <c r="D378" s="8" t="s">
        <v>1714</v>
      </c>
      <c r="E378" s="8" t="s">
        <v>1890</v>
      </c>
      <c r="F378" s="8">
        <v>2</v>
      </c>
      <c r="G378" s="15">
        <v>44806</v>
      </c>
      <c r="H378" s="8" t="s">
        <v>2426</v>
      </c>
      <c r="I378" s="8" t="s">
        <v>1700</v>
      </c>
      <c r="L378" s="8" t="s">
        <v>2427</v>
      </c>
    </row>
    <row r="379" spans="2:165" s="8" customFormat="1" x14ac:dyDescent="0.25">
      <c r="B379" s="8" t="s">
        <v>253</v>
      </c>
      <c r="C379" s="8" t="s">
        <v>2207</v>
      </c>
      <c r="D379" s="8" t="s">
        <v>1718</v>
      </c>
      <c r="E379" s="8" t="s">
        <v>2428</v>
      </c>
      <c r="F379" s="8">
        <v>1</v>
      </c>
      <c r="G379" s="15">
        <v>44841</v>
      </c>
      <c r="H379" s="8" t="s">
        <v>2429</v>
      </c>
      <c r="I379" s="8" t="s">
        <v>1711</v>
      </c>
      <c r="L379" s="12" t="s">
        <v>2003</v>
      </c>
    </row>
    <row r="380" spans="2:165" s="8" customFormat="1" x14ac:dyDescent="0.25">
      <c r="B380" s="8" t="s">
        <v>25</v>
      </c>
      <c r="C380" s="8" t="s">
        <v>2365</v>
      </c>
      <c r="D380" s="8" t="s">
        <v>1768</v>
      </c>
      <c r="E380" s="8" t="s">
        <v>1764</v>
      </c>
      <c r="F380" s="8">
        <v>1</v>
      </c>
      <c r="G380" s="15">
        <v>44835</v>
      </c>
      <c r="H380" s="8" t="s">
        <v>2430</v>
      </c>
      <c r="I380" s="8" t="s">
        <v>1711</v>
      </c>
      <c r="L380" s="12"/>
    </row>
    <row r="381" spans="2:165" s="8" customFormat="1" x14ac:dyDescent="0.25">
      <c r="B381" s="8" t="s">
        <v>2422</v>
      </c>
      <c r="C381" s="8" t="s">
        <v>2431</v>
      </c>
      <c r="D381" s="8" t="s">
        <v>1768</v>
      </c>
      <c r="E381" s="8" t="s">
        <v>1764</v>
      </c>
      <c r="F381" s="8">
        <v>2</v>
      </c>
      <c r="G381" s="15">
        <v>45057</v>
      </c>
      <c r="H381" s="8" t="s">
        <v>2432</v>
      </c>
      <c r="I381" s="8" t="s">
        <v>1711</v>
      </c>
    </row>
    <row r="382" spans="2:165" s="8" customFormat="1" x14ac:dyDescent="0.25">
      <c r="B382" s="8" t="s">
        <v>2422</v>
      </c>
      <c r="C382" s="8" t="s">
        <v>2431</v>
      </c>
      <c r="D382" s="8" t="s">
        <v>2433</v>
      </c>
      <c r="E382" s="8" t="s">
        <v>1698</v>
      </c>
      <c r="F382" s="8">
        <v>1</v>
      </c>
      <c r="G382" s="15">
        <v>45055</v>
      </c>
      <c r="H382" s="8" t="s">
        <v>2434</v>
      </c>
      <c r="I382" s="8" t="s">
        <v>1711</v>
      </c>
    </row>
    <row r="383" spans="2:165" s="8" customFormat="1" x14ac:dyDescent="0.25">
      <c r="E383" s="8" t="s">
        <v>1920</v>
      </c>
      <c r="G383" s="15">
        <v>45450</v>
      </c>
      <c r="I383" s="8" t="s">
        <v>1711</v>
      </c>
    </row>
    <row r="384" spans="2:165" s="8" customFormat="1" x14ac:dyDescent="0.25">
      <c r="B384" s="8" t="s">
        <v>2435</v>
      </c>
      <c r="C384" s="8" t="s">
        <v>2436</v>
      </c>
      <c r="E384" s="8" t="s">
        <v>1920</v>
      </c>
      <c r="G384" s="8" t="s">
        <v>1711</v>
      </c>
      <c r="H384" s="8" t="s">
        <v>2437</v>
      </c>
      <c r="I384" s="8" t="s">
        <v>1711</v>
      </c>
    </row>
    <row r="385" spans="2:165" s="8" customFormat="1" x14ac:dyDescent="0.25">
      <c r="B385" s="8" t="s">
        <v>70</v>
      </c>
      <c r="E385" s="8" t="s">
        <v>1920</v>
      </c>
      <c r="G385" s="15">
        <v>45450</v>
      </c>
      <c r="H385" s="8" t="s">
        <v>976</v>
      </c>
      <c r="I385" s="8" t="s">
        <v>1700</v>
      </c>
    </row>
    <row r="386" spans="2:165" s="8" customFormat="1" x14ac:dyDescent="0.25">
      <c r="B386" s="8" t="s">
        <v>104</v>
      </c>
      <c r="C386" s="8" t="s">
        <v>2438</v>
      </c>
      <c r="D386" s="8" t="s">
        <v>1714</v>
      </c>
      <c r="E386" s="8" t="s">
        <v>1698</v>
      </c>
      <c r="F386" s="8">
        <v>2</v>
      </c>
      <c r="G386" s="15">
        <v>45044</v>
      </c>
      <c r="H386" s="8" t="s">
        <v>2439</v>
      </c>
      <c r="I386" s="8" t="s">
        <v>1711</v>
      </c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</row>
    <row r="387" spans="2:165" s="8" customFormat="1" x14ac:dyDescent="0.25">
      <c r="B387" s="8" t="s">
        <v>253</v>
      </c>
      <c r="C387" s="8" t="s">
        <v>2279</v>
      </c>
      <c r="D387" s="8" t="s">
        <v>1718</v>
      </c>
      <c r="E387" s="8" t="s">
        <v>2334</v>
      </c>
      <c r="F387" s="8">
        <v>2</v>
      </c>
      <c r="G387" s="15">
        <v>44904</v>
      </c>
      <c r="H387" s="8" t="s">
        <v>2440</v>
      </c>
      <c r="I387" s="8" t="s">
        <v>1700</v>
      </c>
      <c r="J387" s="8" t="s">
        <v>254</v>
      </c>
    </row>
    <row r="388" spans="2:165" s="8" customFormat="1" x14ac:dyDescent="0.25">
      <c r="B388" s="8" t="s">
        <v>253</v>
      </c>
      <c r="C388" s="8" t="s">
        <v>2441</v>
      </c>
      <c r="D388" s="8" t="s">
        <v>1718</v>
      </c>
      <c r="E388" s="8" t="s">
        <v>645</v>
      </c>
      <c r="F388" s="8">
        <v>2</v>
      </c>
      <c r="G388" s="15">
        <v>44904</v>
      </c>
      <c r="H388" s="8" t="s">
        <v>2442</v>
      </c>
      <c r="I388" s="8" t="s">
        <v>1700</v>
      </c>
    </row>
    <row r="389" spans="2:165" s="8" customFormat="1" x14ac:dyDescent="0.25">
      <c r="B389" s="8" t="s">
        <v>253</v>
      </c>
      <c r="C389" s="8" t="s">
        <v>2443</v>
      </c>
      <c r="D389" s="8" t="s">
        <v>1768</v>
      </c>
      <c r="E389" s="8" t="s">
        <v>1951</v>
      </c>
      <c r="F389" s="8">
        <v>2</v>
      </c>
      <c r="G389" s="15">
        <v>44907</v>
      </c>
      <c r="H389" s="8" t="s">
        <v>2444</v>
      </c>
      <c r="I389" s="8" t="s">
        <v>1700</v>
      </c>
    </row>
    <row r="390" spans="2:165" s="8" customFormat="1" x14ac:dyDescent="0.25">
      <c r="B390" s="8" t="s">
        <v>47</v>
      </c>
      <c r="C390" s="8" t="s">
        <v>2445</v>
      </c>
      <c r="D390" s="8" t="s">
        <v>1714</v>
      </c>
      <c r="E390" s="8" t="s">
        <v>1885</v>
      </c>
      <c r="F390" s="8">
        <v>1</v>
      </c>
      <c r="G390" s="15">
        <v>44875</v>
      </c>
      <c r="H390" s="8" t="s">
        <v>2446</v>
      </c>
      <c r="I390" s="8" t="s">
        <v>1711</v>
      </c>
      <c r="L390" s="12"/>
    </row>
    <row r="391" spans="2:165" s="8" customFormat="1" x14ac:dyDescent="0.25">
      <c r="B391" s="8" t="s">
        <v>253</v>
      </c>
      <c r="C391" s="8" t="s">
        <v>2447</v>
      </c>
      <c r="D391" s="8" t="s">
        <v>1718</v>
      </c>
      <c r="E391" s="8" t="s">
        <v>1951</v>
      </c>
      <c r="F391" s="8">
        <v>2</v>
      </c>
      <c r="G391" s="15">
        <v>44907</v>
      </c>
      <c r="H391" s="8" t="s">
        <v>2448</v>
      </c>
      <c r="I391" s="8" t="s">
        <v>1700</v>
      </c>
      <c r="L391" s="8" t="s">
        <v>2449</v>
      </c>
    </row>
    <row r="392" spans="2:165" s="8" customFormat="1" x14ac:dyDescent="0.25">
      <c r="B392" s="8" t="s">
        <v>2450</v>
      </c>
      <c r="C392" s="8" t="s">
        <v>2451</v>
      </c>
      <c r="D392" s="8" t="s">
        <v>1714</v>
      </c>
      <c r="E392" s="8" t="s">
        <v>1885</v>
      </c>
      <c r="F392" s="8">
        <v>2</v>
      </c>
      <c r="G392" s="15">
        <v>44844</v>
      </c>
      <c r="H392" s="8" t="s">
        <v>380</v>
      </c>
      <c r="I392" s="8" t="s">
        <v>1700</v>
      </c>
      <c r="J392" s="8" t="s">
        <v>465</v>
      </c>
    </row>
    <row r="393" spans="2:165" s="8" customFormat="1" x14ac:dyDescent="0.25">
      <c r="B393" s="8" t="s">
        <v>55</v>
      </c>
      <c r="C393" s="8" t="s">
        <v>2452</v>
      </c>
      <c r="D393" s="8" t="s">
        <v>1714</v>
      </c>
      <c r="E393" s="8" t="s">
        <v>1698</v>
      </c>
      <c r="F393" s="8">
        <v>2</v>
      </c>
      <c r="G393" s="15">
        <v>44792</v>
      </c>
      <c r="H393" s="8" t="s">
        <v>1826</v>
      </c>
      <c r="I393" s="8" t="s">
        <v>1700</v>
      </c>
    </row>
    <row r="394" spans="2:165" s="8" customFormat="1" x14ac:dyDescent="0.25">
      <c r="B394" s="8" t="s">
        <v>253</v>
      </c>
      <c r="C394" s="8" t="s">
        <v>2346</v>
      </c>
      <c r="D394" s="8" t="s">
        <v>1718</v>
      </c>
      <c r="E394" s="8" t="s">
        <v>645</v>
      </c>
      <c r="F394" s="8">
        <v>2</v>
      </c>
      <c r="G394" s="15">
        <v>44904</v>
      </c>
      <c r="H394" s="8" t="s">
        <v>1705</v>
      </c>
      <c r="I394" s="8" t="s">
        <v>1700</v>
      </c>
    </row>
    <row r="395" spans="2:165" s="8" customFormat="1" x14ac:dyDescent="0.25">
      <c r="B395" s="8" t="s">
        <v>55</v>
      </c>
      <c r="C395" s="8" t="s">
        <v>2453</v>
      </c>
      <c r="D395" s="8" t="s">
        <v>1714</v>
      </c>
      <c r="E395" s="8" t="s">
        <v>1698</v>
      </c>
      <c r="F395" s="8">
        <v>2</v>
      </c>
      <c r="G395" s="15">
        <v>44792</v>
      </c>
      <c r="H395" s="8" t="s">
        <v>1826</v>
      </c>
      <c r="I395" s="8" t="s">
        <v>1700</v>
      </c>
    </row>
    <row r="396" spans="2:165" s="8" customFormat="1" x14ac:dyDescent="0.25">
      <c r="B396" s="8" t="s">
        <v>1783</v>
      </c>
      <c r="C396" s="8" t="s">
        <v>1784</v>
      </c>
      <c r="D396" s="8" t="s">
        <v>1697</v>
      </c>
      <c r="E396" s="8" t="s">
        <v>2101</v>
      </c>
      <c r="F396" s="8">
        <v>2</v>
      </c>
      <c r="G396" s="15">
        <v>44901</v>
      </c>
      <c r="H396" s="8" t="s">
        <v>2454</v>
      </c>
      <c r="I396" s="8" t="s">
        <v>1711</v>
      </c>
      <c r="L396" s="12" t="s">
        <v>2455</v>
      </c>
    </row>
    <row r="397" spans="2:165" s="8" customFormat="1" x14ac:dyDescent="0.25">
      <c r="B397" s="8" t="s">
        <v>243</v>
      </c>
      <c r="C397" s="8" t="s">
        <v>2456</v>
      </c>
      <c r="D397" s="8" t="s">
        <v>1869</v>
      </c>
      <c r="E397" s="8" t="s">
        <v>1698</v>
      </c>
      <c r="F397" s="8">
        <v>1</v>
      </c>
      <c r="G397" s="15">
        <v>45002</v>
      </c>
      <c r="H397" s="8" t="s">
        <v>2457</v>
      </c>
      <c r="I397" s="8" t="s">
        <v>1711</v>
      </c>
      <c r="L397" s="8" t="s">
        <v>2458</v>
      </c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</row>
    <row r="398" spans="2:165" s="8" customFormat="1" x14ac:dyDescent="0.25">
      <c r="B398" s="8" t="s">
        <v>283</v>
      </c>
      <c r="C398" s="8" t="s">
        <v>2199</v>
      </c>
      <c r="D398" s="8" t="s">
        <v>1714</v>
      </c>
      <c r="E398" s="8" t="s">
        <v>1698</v>
      </c>
      <c r="F398" s="8">
        <v>1</v>
      </c>
      <c r="G398" s="15">
        <v>45007</v>
      </c>
      <c r="H398" s="8" t="s">
        <v>2459</v>
      </c>
      <c r="I398" s="8" t="s">
        <v>1711</v>
      </c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</row>
    <row r="399" spans="2:165" s="8" customFormat="1" x14ac:dyDescent="0.25">
      <c r="B399" s="8" t="s">
        <v>14</v>
      </c>
      <c r="C399" s="8" t="s">
        <v>2460</v>
      </c>
      <c r="D399" s="15" t="s">
        <v>1728</v>
      </c>
      <c r="E399" s="8" t="s">
        <v>1964</v>
      </c>
      <c r="F399" s="8">
        <v>2</v>
      </c>
      <c r="G399" s="15">
        <v>44820</v>
      </c>
      <c r="H399" s="8" t="s">
        <v>2461</v>
      </c>
      <c r="I399" s="8" t="s">
        <v>1700</v>
      </c>
      <c r="L399" s="12"/>
    </row>
    <row r="400" spans="2:165" s="8" customFormat="1" x14ac:dyDescent="0.25">
      <c r="B400" s="8" t="s">
        <v>2462</v>
      </c>
      <c r="C400" s="8" t="s">
        <v>2463</v>
      </c>
      <c r="D400" s="8" t="s">
        <v>1714</v>
      </c>
      <c r="E400" s="8" t="s">
        <v>2464</v>
      </c>
      <c r="F400" s="8">
        <v>1</v>
      </c>
      <c r="G400" s="15">
        <v>44827</v>
      </c>
      <c r="H400" s="8" t="s">
        <v>2465</v>
      </c>
      <c r="I400" s="8" t="s">
        <v>1711</v>
      </c>
    </row>
    <row r="401" spans="2:165" s="8" customFormat="1" x14ac:dyDescent="0.25">
      <c r="B401" s="8" t="s">
        <v>2450</v>
      </c>
      <c r="C401" s="8" t="s">
        <v>2466</v>
      </c>
      <c r="D401" s="8" t="s">
        <v>1714</v>
      </c>
      <c r="E401" s="8" t="s">
        <v>1698</v>
      </c>
      <c r="F401" s="8">
        <v>1</v>
      </c>
      <c r="G401" s="15">
        <v>44865</v>
      </c>
      <c r="H401" s="8" t="s">
        <v>2467</v>
      </c>
      <c r="I401" s="8" t="s">
        <v>1711</v>
      </c>
      <c r="L401" s="12"/>
    </row>
    <row r="402" spans="2:165" s="8" customFormat="1" x14ac:dyDescent="0.25">
      <c r="B402" s="8" t="s">
        <v>2468</v>
      </c>
      <c r="C402" s="8" t="s">
        <v>2140</v>
      </c>
      <c r="D402" s="8" t="s">
        <v>1714</v>
      </c>
      <c r="E402" s="8" t="s">
        <v>1698</v>
      </c>
      <c r="F402" s="8">
        <v>3</v>
      </c>
      <c r="G402" s="15">
        <v>44855</v>
      </c>
      <c r="H402" s="8" t="s">
        <v>2015</v>
      </c>
      <c r="I402" s="8" t="s">
        <v>1700</v>
      </c>
    </row>
    <row r="403" spans="2:165" s="8" customFormat="1" x14ac:dyDescent="0.25">
      <c r="B403" s="8" t="s">
        <v>2469</v>
      </c>
      <c r="C403" s="8" t="s">
        <v>2470</v>
      </c>
      <c r="D403" s="8" t="s">
        <v>1718</v>
      </c>
      <c r="E403" s="8" t="s">
        <v>1698</v>
      </c>
      <c r="F403" s="8">
        <v>1</v>
      </c>
      <c r="G403" s="15">
        <v>45007</v>
      </c>
      <c r="H403" s="8" t="s">
        <v>2471</v>
      </c>
      <c r="I403" s="8" t="s">
        <v>1711</v>
      </c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</row>
    <row r="404" spans="2:165" s="8" customFormat="1" x14ac:dyDescent="0.25">
      <c r="B404" s="8" t="s">
        <v>1998</v>
      </c>
      <c r="C404" s="8" t="s">
        <v>2472</v>
      </c>
      <c r="D404" s="8" t="s">
        <v>1708</v>
      </c>
      <c r="E404" s="8" t="s">
        <v>2473</v>
      </c>
      <c r="F404" s="8">
        <v>2</v>
      </c>
      <c r="G404" s="15">
        <v>44902</v>
      </c>
      <c r="H404" s="8" t="s">
        <v>2474</v>
      </c>
      <c r="I404" s="8" t="s">
        <v>1700</v>
      </c>
    </row>
    <row r="405" spans="2:165" s="8" customFormat="1" x14ac:dyDescent="0.25">
      <c r="B405" s="8" t="s">
        <v>1777</v>
      </c>
      <c r="C405" s="8" t="s">
        <v>2020</v>
      </c>
      <c r="D405" s="8" t="s">
        <v>2475</v>
      </c>
      <c r="E405" s="8" t="s">
        <v>1764</v>
      </c>
      <c r="F405" s="8">
        <v>1</v>
      </c>
      <c r="G405" s="15">
        <v>45012</v>
      </c>
      <c r="H405" s="8" t="s">
        <v>2476</v>
      </c>
      <c r="I405" s="8" t="s">
        <v>1711</v>
      </c>
      <c r="L405" s="12" t="s">
        <v>2477</v>
      </c>
    </row>
    <row r="406" spans="2:165" s="8" customFormat="1" x14ac:dyDescent="0.25">
      <c r="B406" s="8" t="s">
        <v>55</v>
      </c>
      <c r="C406" s="8" t="s">
        <v>2478</v>
      </c>
      <c r="D406" s="8" t="s">
        <v>1869</v>
      </c>
      <c r="E406" s="8" t="s">
        <v>2479</v>
      </c>
      <c r="F406" s="8">
        <v>1</v>
      </c>
      <c r="G406" s="15">
        <v>44839</v>
      </c>
      <c r="H406" s="8" t="s">
        <v>2480</v>
      </c>
      <c r="I406" s="8" t="s">
        <v>1700</v>
      </c>
      <c r="L406" s="12"/>
    </row>
    <row r="407" spans="2:165" s="8" customFormat="1" x14ac:dyDescent="0.25">
      <c r="B407" s="8" t="s">
        <v>55</v>
      </c>
      <c r="C407" s="8" t="s">
        <v>1727</v>
      </c>
      <c r="D407" s="8" t="s">
        <v>1718</v>
      </c>
      <c r="E407" s="8" t="s">
        <v>1698</v>
      </c>
      <c r="F407" s="8">
        <v>2</v>
      </c>
      <c r="G407" s="15">
        <v>44813</v>
      </c>
      <c r="H407" s="8" t="s">
        <v>2481</v>
      </c>
      <c r="I407" s="8" t="s">
        <v>1700</v>
      </c>
      <c r="J407" s="8" t="s">
        <v>150</v>
      </c>
      <c r="L407" s="12"/>
    </row>
    <row r="408" spans="2:165" s="8" customFormat="1" x14ac:dyDescent="0.25">
      <c r="B408" s="8" t="s">
        <v>70</v>
      </c>
      <c r="C408" s="8" t="s">
        <v>2147</v>
      </c>
      <c r="D408" s="8" t="s">
        <v>1768</v>
      </c>
      <c r="E408" s="8" t="s">
        <v>645</v>
      </c>
      <c r="F408" s="8">
        <v>1</v>
      </c>
      <c r="G408" s="15">
        <v>44911</v>
      </c>
      <c r="H408" s="8" t="s">
        <v>2482</v>
      </c>
      <c r="I408" s="8" t="s">
        <v>1700</v>
      </c>
      <c r="L408" s="12" t="s">
        <v>2483</v>
      </c>
    </row>
    <row r="409" spans="2:165" s="8" customFormat="1" x14ac:dyDescent="0.25">
      <c r="B409" s="8" t="s">
        <v>70</v>
      </c>
      <c r="C409" s="8" t="s">
        <v>2147</v>
      </c>
      <c r="D409" s="8" t="s">
        <v>1768</v>
      </c>
      <c r="E409" s="8" t="s">
        <v>2484</v>
      </c>
      <c r="F409" s="8">
        <v>1</v>
      </c>
      <c r="G409" s="15">
        <v>44900</v>
      </c>
      <c r="H409" s="8" t="s">
        <v>2485</v>
      </c>
      <c r="I409" s="8" t="s">
        <v>1711</v>
      </c>
      <c r="L409" s="12" t="s">
        <v>2486</v>
      </c>
    </row>
    <row r="410" spans="2:165" s="8" customFormat="1" x14ac:dyDescent="0.25">
      <c r="B410" s="8" t="s">
        <v>47</v>
      </c>
      <c r="C410" s="8" t="s">
        <v>2240</v>
      </c>
      <c r="D410" s="8" t="s">
        <v>1718</v>
      </c>
      <c r="E410" s="8" t="s">
        <v>1698</v>
      </c>
      <c r="F410" s="8">
        <v>1</v>
      </c>
      <c r="G410" s="15">
        <v>45007</v>
      </c>
      <c r="H410" s="8" t="s">
        <v>2487</v>
      </c>
      <c r="I410" s="8" t="s">
        <v>1711</v>
      </c>
    </row>
    <row r="411" spans="2:165" s="8" customFormat="1" x14ac:dyDescent="0.25">
      <c r="B411" s="8" t="s">
        <v>1783</v>
      </c>
      <c r="C411" s="8" t="s">
        <v>1784</v>
      </c>
      <c r="D411" s="8" t="s">
        <v>1708</v>
      </c>
      <c r="E411" s="8" t="s">
        <v>1744</v>
      </c>
      <c r="F411" s="8">
        <v>1</v>
      </c>
      <c r="G411" s="15">
        <v>44876</v>
      </c>
      <c r="H411" s="8" t="s">
        <v>2488</v>
      </c>
      <c r="I411" s="8" t="s">
        <v>1711</v>
      </c>
      <c r="L411" s="12" t="s">
        <v>2489</v>
      </c>
    </row>
    <row r="412" spans="2:165" s="8" customFormat="1" x14ac:dyDescent="0.25">
      <c r="B412" s="8" t="s">
        <v>2490</v>
      </c>
      <c r="C412" s="8" t="s">
        <v>2491</v>
      </c>
      <c r="D412" s="8" t="s">
        <v>1714</v>
      </c>
      <c r="E412" s="8" t="s">
        <v>2055</v>
      </c>
      <c r="F412" s="8">
        <v>2</v>
      </c>
      <c r="G412" s="15">
        <v>44903</v>
      </c>
      <c r="H412" s="8" t="s">
        <v>2396</v>
      </c>
      <c r="I412" s="8" t="s">
        <v>1700</v>
      </c>
      <c r="L412" s="12"/>
    </row>
    <row r="413" spans="2:165" s="8" customFormat="1" x14ac:dyDescent="0.25">
      <c r="B413" s="8" t="s">
        <v>47</v>
      </c>
      <c r="C413" s="8" t="s">
        <v>2100</v>
      </c>
      <c r="D413" s="8" t="s">
        <v>1708</v>
      </c>
      <c r="E413" s="8" t="s">
        <v>2066</v>
      </c>
      <c r="F413" s="8">
        <v>1</v>
      </c>
      <c r="G413" s="15">
        <v>44902</v>
      </c>
      <c r="H413" s="8" t="s">
        <v>2492</v>
      </c>
      <c r="I413" s="8" t="s">
        <v>1700</v>
      </c>
    </row>
    <row r="414" spans="2:165" x14ac:dyDescent="0.25">
      <c r="B414" s="8" t="s">
        <v>1821</v>
      </c>
      <c r="C414" s="8" t="s">
        <v>1950</v>
      </c>
      <c r="D414" s="8" t="s">
        <v>1708</v>
      </c>
      <c r="E414" s="8" t="s">
        <v>2029</v>
      </c>
      <c r="F414" s="8">
        <v>2</v>
      </c>
      <c r="G414" s="15">
        <v>44907</v>
      </c>
      <c r="H414" s="8" t="s">
        <v>2493</v>
      </c>
      <c r="I414" s="8" t="s">
        <v>1711</v>
      </c>
      <c r="L414" s="8" t="s">
        <v>2494</v>
      </c>
    </row>
    <row r="415" spans="2:165" x14ac:dyDescent="0.25">
      <c r="B415" s="8" t="s">
        <v>14</v>
      </c>
      <c r="C415" s="8">
        <v>4015</v>
      </c>
      <c r="D415" s="8" t="s">
        <v>2495</v>
      </c>
      <c r="E415" s="8" t="s">
        <v>2021</v>
      </c>
      <c r="F415" s="8">
        <v>1</v>
      </c>
      <c r="G415" s="15">
        <v>44902</v>
      </c>
      <c r="H415" s="8" t="s">
        <v>2496</v>
      </c>
      <c r="I415" s="8" t="s">
        <v>1700</v>
      </c>
      <c r="L415" s="8"/>
    </row>
    <row r="416" spans="2:165" x14ac:dyDescent="0.25">
      <c r="B416" s="8" t="s">
        <v>253</v>
      </c>
      <c r="C416" s="8" t="s">
        <v>2497</v>
      </c>
      <c r="D416" s="8" t="s">
        <v>1718</v>
      </c>
      <c r="E416" s="8" t="s">
        <v>932</v>
      </c>
      <c r="F416" s="8">
        <v>2</v>
      </c>
      <c r="G416" s="15">
        <v>44907</v>
      </c>
      <c r="H416" s="8" t="s">
        <v>2498</v>
      </c>
      <c r="I416" s="8" t="s">
        <v>1700</v>
      </c>
      <c r="L416" s="8"/>
    </row>
    <row r="417" spans="2:12" x14ac:dyDescent="0.25">
      <c r="B417" s="8" t="s">
        <v>1821</v>
      </c>
      <c r="C417" s="8">
        <v>3610</v>
      </c>
      <c r="D417" s="8" t="s">
        <v>1869</v>
      </c>
      <c r="E417" s="8" t="s">
        <v>1698</v>
      </c>
      <c r="F417" s="8">
        <v>1</v>
      </c>
      <c r="G417" s="15">
        <v>45005</v>
      </c>
      <c r="H417" s="8" t="s">
        <v>2499</v>
      </c>
      <c r="I417" s="8" t="s">
        <v>1711</v>
      </c>
      <c r="L417" s="8"/>
    </row>
    <row r="418" spans="2:12" x14ac:dyDescent="0.25">
      <c r="B418" s="8" t="s">
        <v>14</v>
      </c>
      <c r="C418" s="8">
        <v>4015</v>
      </c>
      <c r="D418" s="8" t="s">
        <v>1708</v>
      </c>
      <c r="E418" s="8" t="s">
        <v>2021</v>
      </c>
      <c r="F418" s="8">
        <v>1</v>
      </c>
      <c r="G418" s="15">
        <v>44803</v>
      </c>
      <c r="H418" s="8" t="s">
        <v>2500</v>
      </c>
      <c r="I418" s="8" t="s">
        <v>1700</v>
      </c>
      <c r="L418" s="12" t="s">
        <v>2501</v>
      </c>
    </row>
    <row r="419" spans="2:12" x14ac:dyDescent="0.25">
      <c r="B419" s="8" t="s">
        <v>479</v>
      </c>
      <c r="C419" s="8">
        <v>3595</v>
      </c>
      <c r="D419" s="8" t="s">
        <v>1869</v>
      </c>
      <c r="E419" s="8" t="s">
        <v>1719</v>
      </c>
      <c r="F419" s="8">
        <v>1</v>
      </c>
      <c r="G419" s="15">
        <v>45005</v>
      </c>
      <c r="H419" s="8" t="s">
        <v>2502</v>
      </c>
      <c r="I419" s="8" t="s">
        <v>1711</v>
      </c>
      <c r="L419" s="8"/>
    </row>
    <row r="420" spans="2:12" x14ac:dyDescent="0.25">
      <c r="B420" s="8" t="s">
        <v>253</v>
      </c>
      <c r="C420" s="8" t="s">
        <v>2441</v>
      </c>
      <c r="D420" s="8" t="s">
        <v>1768</v>
      </c>
      <c r="E420" s="8" t="s">
        <v>2334</v>
      </c>
      <c r="F420" s="8">
        <v>2</v>
      </c>
      <c r="G420" s="15">
        <v>44902</v>
      </c>
      <c r="H420" s="8" t="s">
        <v>2503</v>
      </c>
      <c r="I420" s="8" t="s">
        <v>1711</v>
      </c>
      <c r="L420" s="8"/>
    </row>
    <row r="421" spans="2:12" x14ac:dyDescent="0.25">
      <c r="B421" s="8" t="s">
        <v>14</v>
      </c>
      <c r="C421" s="8" t="s">
        <v>2504</v>
      </c>
      <c r="D421" s="8" t="s">
        <v>1818</v>
      </c>
      <c r="E421" s="8" t="s">
        <v>1698</v>
      </c>
      <c r="F421" s="8">
        <v>3</v>
      </c>
      <c r="G421" s="15">
        <v>44827</v>
      </c>
      <c r="H421" s="8" t="s">
        <v>2505</v>
      </c>
      <c r="I421" s="8" t="s">
        <v>1700</v>
      </c>
      <c r="L421" s="12" t="s">
        <v>2506</v>
      </c>
    </row>
    <row r="422" spans="2:12" x14ac:dyDescent="0.25">
      <c r="B422" s="8" t="s">
        <v>14</v>
      </c>
      <c r="C422" s="8" t="s">
        <v>1850</v>
      </c>
      <c r="D422" s="8" t="s">
        <v>1768</v>
      </c>
      <c r="E422" s="8" t="s">
        <v>2507</v>
      </c>
      <c r="F422" s="8">
        <v>1</v>
      </c>
      <c r="G422" s="15">
        <v>45012</v>
      </c>
      <c r="H422" s="8" t="s">
        <v>2508</v>
      </c>
      <c r="I422" s="8" t="s">
        <v>1711</v>
      </c>
      <c r="L422" s="8"/>
    </row>
    <row r="423" spans="2:12" x14ac:dyDescent="0.25">
      <c r="B423" s="8" t="s">
        <v>191</v>
      </c>
      <c r="C423" s="8" t="s">
        <v>2509</v>
      </c>
      <c r="D423" s="8" t="s">
        <v>1714</v>
      </c>
      <c r="E423" s="8" t="s">
        <v>1698</v>
      </c>
      <c r="F423" s="8">
        <v>1</v>
      </c>
      <c r="G423" s="15">
        <v>45012</v>
      </c>
      <c r="H423" s="8" t="s">
        <v>2510</v>
      </c>
      <c r="I423" s="8" t="s">
        <v>1711</v>
      </c>
      <c r="L423" s="8"/>
    </row>
    <row r="424" spans="2:12" x14ac:dyDescent="0.25">
      <c r="B424" s="8" t="s">
        <v>766</v>
      </c>
      <c r="C424" s="8" t="s">
        <v>2511</v>
      </c>
      <c r="D424" s="8" t="s">
        <v>1714</v>
      </c>
      <c r="E424" s="8" t="s">
        <v>1764</v>
      </c>
      <c r="F424" s="8">
        <v>2</v>
      </c>
      <c r="G424" s="15">
        <v>44903</v>
      </c>
      <c r="H424" s="8" t="s">
        <v>2512</v>
      </c>
      <c r="I424" s="8" t="s">
        <v>1700</v>
      </c>
      <c r="L424" s="12" t="s">
        <v>2513</v>
      </c>
    </row>
    <row r="425" spans="2:12" x14ac:dyDescent="0.25">
      <c r="B425" s="8" t="s">
        <v>104</v>
      </c>
      <c r="C425" s="8" t="s">
        <v>2514</v>
      </c>
      <c r="D425" s="8" t="s">
        <v>1714</v>
      </c>
      <c r="E425" s="8" t="s">
        <v>1698</v>
      </c>
      <c r="F425" s="8">
        <v>1</v>
      </c>
      <c r="G425" s="15">
        <v>45054</v>
      </c>
      <c r="H425" s="8" t="s">
        <v>2515</v>
      </c>
      <c r="I425" s="8" t="s">
        <v>1711</v>
      </c>
      <c r="L425" s="8"/>
    </row>
    <row r="426" spans="2:12" x14ac:dyDescent="0.25">
      <c r="B426" s="8" t="s">
        <v>310</v>
      </c>
      <c r="C426" s="8" t="s">
        <v>2516</v>
      </c>
      <c r="D426" s="8" t="s">
        <v>1869</v>
      </c>
      <c r="E426" s="8" t="s">
        <v>2517</v>
      </c>
      <c r="F426" s="8">
        <v>1</v>
      </c>
      <c r="G426" s="15">
        <v>45068</v>
      </c>
      <c r="H426" s="8" t="s">
        <v>2518</v>
      </c>
      <c r="I426" s="8" t="s">
        <v>1711</v>
      </c>
      <c r="L426" s="8"/>
    </row>
    <row r="427" spans="2:12" x14ac:dyDescent="0.25">
      <c r="B427" s="8" t="s">
        <v>126</v>
      </c>
      <c r="C427" s="8" t="s">
        <v>2519</v>
      </c>
      <c r="D427" s="8" t="s">
        <v>1718</v>
      </c>
      <c r="E427" s="8" t="s">
        <v>2520</v>
      </c>
      <c r="F427" s="8">
        <v>1</v>
      </c>
      <c r="G427" s="15">
        <v>45055</v>
      </c>
      <c r="H427" s="8" t="s">
        <v>1895</v>
      </c>
      <c r="I427" s="8" t="s">
        <v>1711</v>
      </c>
      <c r="L427" s="8"/>
    </row>
    <row r="428" spans="2:12" x14ac:dyDescent="0.25">
      <c r="B428" s="8" t="s">
        <v>126</v>
      </c>
      <c r="C428" s="8" t="s">
        <v>2521</v>
      </c>
      <c r="D428" s="8" t="s">
        <v>1714</v>
      </c>
      <c r="E428" s="8" t="s">
        <v>1761</v>
      </c>
      <c r="F428" s="8">
        <v>1</v>
      </c>
      <c r="G428" s="15">
        <v>45048</v>
      </c>
      <c r="H428" s="8" t="s">
        <v>2522</v>
      </c>
      <c r="I428" s="8" t="s">
        <v>1711</v>
      </c>
      <c r="L428" s="8"/>
    </row>
    <row r="429" spans="2:12" x14ac:dyDescent="0.25">
      <c r="B429" s="8" t="s">
        <v>1821</v>
      </c>
      <c r="C429" s="8" t="s">
        <v>1822</v>
      </c>
      <c r="D429" s="8" t="s">
        <v>1708</v>
      </c>
      <c r="E429" s="8" t="s">
        <v>1988</v>
      </c>
      <c r="F429" s="8">
        <v>4</v>
      </c>
      <c r="G429" s="15">
        <v>44805</v>
      </c>
      <c r="H429" s="8" t="s">
        <v>2523</v>
      </c>
      <c r="I429" s="8" t="s">
        <v>1711</v>
      </c>
      <c r="L429" s="12"/>
    </row>
    <row r="430" spans="2:12" x14ac:dyDescent="0.25">
      <c r="B430" s="8" t="s">
        <v>159</v>
      </c>
      <c r="C430" s="8" t="s">
        <v>2524</v>
      </c>
      <c r="D430" s="8" t="s">
        <v>1768</v>
      </c>
      <c r="E430" s="8" t="s">
        <v>2525</v>
      </c>
      <c r="F430" s="8">
        <v>1</v>
      </c>
      <c r="G430" s="15">
        <v>44902</v>
      </c>
      <c r="H430" s="8" t="s">
        <v>2526</v>
      </c>
      <c r="I430" s="8" t="s">
        <v>1711</v>
      </c>
      <c r="L430" s="8"/>
    </row>
    <row r="431" spans="2:12" x14ac:dyDescent="0.25">
      <c r="B431" s="8" t="s">
        <v>2450</v>
      </c>
      <c r="C431" s="8" t="s">
        <v>2466</v>
      </c>
      <c r="D431" s="8" t="s">
        <v>1714</v>
      </c>
      <c r="E431" s="8" t="s">
        <v>1698</v>
      </c>
      <c r="F431" s="8">
        <v>2</v>
      </c>
      <c r="G431" s="15">
        <v>44907</v>
      </c>
      <c r="H431" s="8" t="s">
        <v>2527</v>
      </c>
      <c r="I431" s="8" t="s">
        <v>1700</v>
      </c>
      <c r="L431" s="8" t="s">
        <v>2528</v>
      </c>
    </row>
    <row r="432" spans="2:12" x14ac:dyDescent="0.25">
      <c r="B432" s="8" t="s">
        <v>1783</v>
      </c>
      <c r="C432" s="8" t="s">
        <v>2529</v>
      </c>
      <c r="D432" s="8" t="s">
        <v>1714</v>
      </c>
      <c r="E432" s="8" t="s">
        <v>2530</v>
      </c>
      <c r="F432" s="8">
        <v>1</v>
      </c>
      <c r="G432" s="15">
        <v>45012</v>
      </c>
      <c r="H432" s="8" t="s">
        <v>2531</v>
      </c>
      <c r="I432" s="8" t="s">
        <v>1711</v>
      </c>
      <c r="L432" s="8"/>
    </row>
    <row r="433" spans="2:12" x14ac:dyDescent="0.25">
      <c r="B433" s="8" t="s">
        <v>2532</v>
      </c>
      <c r="C433" s="8" t="s">
        <v>2533</v>
      </c>
      <c r="D433" s="8" t="s">
        <v>1718</v>
      </c>
      <c r="E433" s="8" t="s">
        <v>2395</v>
      </c>
      <c r="F433" s="8">
        <v>2</v>
      </c>
      <c r="G433" s="15">
        <v>44909</v>
      </c>
      <c r="H433" s="8" t="s">
        <v>2534</v>
      </c>
      <c r="I433" s="8" t="s">
        <v>1700</v>
      </c>
      <c r="L433" s="8"/>
    </row>
    <row r="434" spans="2:12" x14ac:dyDescent="0.25">
      <c r="B434" s="8" t="s">
        <v>2535</v>
      </c>
      <c r="C434" s="8" t="s">
        <v>2536</v>
      </c>
      <c r="D434" s="8" t="s">
        <v>1718</v>
      </c>
      <c r="E434" s="8" t="s">
        <v>2537</v>
      </c>
      <c r="F434" s="8">
        <v>2</v>
      </c>
      <c r="G434" s="15">
        <v>44907</v>
      </c>
      <c r="H434" s="8" t="s">
        <v>2538</v>
      </c>
      <c r="I434" s="8" t="s">
        <v>1711</v>
      </c>
      <c r="L434" s="8"/>
    </row>
    <row r="435" spans="2:12" x14ac:dyDescent="0.25">
      <c r="B435" s="8" t="s">
        <v>1908</v>
      </c>
      <c r="C435" s="8" t="s">
        <v>1909</v>
      </c>
      <c r="D435" s="8" t="s">
        <v>1708</v>
      </c>
      <c r="E435" s="8" t="s">
        <v>1809</v>
      </c>
      <c r="F435" s="8">
        <v>3</v>
      </c>
      <c r="G435" s="15">
        <v>44929</v>
      </c>
      <c r="H435" s="8" t="s">
        <v>2539</v>
      </c>
      <c r="I435" s="8" t="s">
        <v>1711</v>
      </c>
      <c r="L435" s="12" t="s">
        <v>2540</v>
      </c>
    </row>
    <row r="436" spans="2:12" x14ac:dyDescent="0.25">
      <c r="B436" s="8" t="s">
        <v>290</v>
      </c>
      <c r="C436" s="8" t="s">
        <v>2541</v>
      </c>
      <c r="D436" s="8" t="s">
        <v>1714</v>
      </c>
      <c r="E436" s="8" t="s">
        <v>1698</v>
      </c>
      <c r="F436" s="8">
        <v>1</v>
      </c>
      <c r="G436" s="15">
        <v>45012</v>
      </c>
      <c r="H436" s="8" t="s">
        <v>2542</v>
      </c>
      <c r="I436" s="8" t="s">
        <v>1711</v>
      </c>
      <c r="L436" s="8" t="s">
        <v>2543</v>
      </c>
    </row>
    <row r="437" spans="2:12" x14ac:dyDescent="0.25">
      <c r="B437" s="8" t="s">
        <v>126</v>
      </c>
      <c r="C437" s="8" t="s">
        <v>2519</v>
      </c>
      <c r="D437" s="8" t="s">
        <v>2433</v>
      </c>
      <c r="E437" s="8" t="s">
        <v>2544</v>
      </c>
      <c r="F437" s="8">
        <v>1</v>
      </c>
      <c r="G437" s="15">
        <v>45079</v>
      </c>
      <c r="H437" s="8" t="s">
        <v>2545</v>
      </c>
      <c r="I437" s="8" t="s">
        <v>1711</v>
      </c>
      <c r="L437" s="8"/>
    </row>
    <row r="438" spans="2:12" x14ac:dyDescent="0.25">
      <c r="B438" s="8" t="s">
        <v>126</v>
      </c>
      <c r="C438" s="8" t="s">
        <v>2521</v>
      </c>
      <c r="D438" s="8" t="s">
        <v>1714</v>
      </c>
      <c r="E438" s="8" t="s">
        <v>2029</v>
      </c>
      <c r="F438" s="8">
        <v>1</v>
      </c>
      <c r="G438" s="15">
        <v>45055</v>
      </c>
      <c r="H438" s="8" t="s">
        <v>2546</v>
      </c>
      <c r="I438" s="8" t="s">
        <v>1711</v>
      </c>
      <c r="L438" s="8"/>
    </row>
    <row r="439" spans="2:12" x14ac:dyDescent="0.25">
      <c r="B439" s="8" t="s">
        <v>2547</v>
      </c>
      <c r="C439" s="8" t="s">
        <v>2548</v>
      </c>
      <c r="D439" s="8" t="s">
        <v>2549</v>
      </c>
      <c r="E439" s="8" t="s">
        <v>2550</v>
      </c>
      <c r="F439" s="8">
        <v>3</v>
      </c>
      <c r="G439" s="15">
        <v>44813</v>
      </c>
      <c r="H439" s="8" t="s">
        <v>2551</v>
      </c>
      <c r="I439" s="8" t="s">
        <v>1700</v>
      </c>
      <c r="L439" s="12"/>
    </row>
    <row r="440" spans="2:12" x14ac:dyDescent="0.25">
      <c r="B440" s="8" t="s">
        <v>14</v>
      </c>
      <c r="C440" s="8">
        <v>4015</v>
      </c>
      <c r="D440" s="8" t="s">
        <v>1708</v>
      </c>
      <c r="E440" s="8" t="s">
        <v>1698</v>
      </c>
      <c r="F440" s="8">
        <v>3</v>
      </c>
      <c r="G440" s="15">
        <v>44862</v>
      </c>
      <c r="H440" s="8" t="s">
        <v>2552</v>
      </c>
      <c r="I440" s="8" t="s">
        <v>1700</v>
      </c>
      <c r="L440" s="12" t="s">
        <v>2553</v>
      </c>
    </row>
    <row r="441" spans="2:12" x14ac:dyDescent="0.25">
      <c r="B441" s="8" t="s">
        <v>159</v>
      </c>
      <c r="C441" s="8" t="s">
        <v>2554</v>
      </c>
      <c r="D441" s="8" t="s">
        <v>1714</v>
      </c>
      <c r="E441" s="8" t="s">
        <v>1698</v>
      </c>
      <c r="F441" s="8">
        <v>1</v>
      </c>
      <c r="G441" s="15">
        <v>45012</v>
      </c>
      <c r="H441" s="8" t="s">
        <v>2555</v>
      </c>
      <c r="I441" s="8" t="s">
        <v>1711</v>
      </c>
      <c r="L441" s="8"/>
    </row>
    <row r="442" spans="2:12" x14ac:dyDescent="0.25">
      <c r="B442" s="8" t="s">
        <v>253</v>
      </c>
      <c r="C442" s="8" t="s">
        <v>2556</v>
      </c>
      <c r="D442" s="8" t="s">
        <v>1718</v>
      </c>
      <c r="E442" s="8" t="s">
        <v>932</v>
      </c>
      <c r="F442" s="8">
        <v>2</v>
      </c>
      <c r="G442" s="15">
        <v>45005</v>
      </c>
      <c r="H442" s="8" t="s">
        <v>2557</v>
      </c>
      <c r="I442" s="8" t="s">
        <v>1700</v>
      </c>
      <c r="L442" s="8"/>
    </row>
    <row r="443" spans="2:12" x14ac:dyDescent="0.25">
      <c r="B443" s="8" t="s">
        <v>2532</v>
      </c>
      <c r="C443" s="8" t="s">
        <v>2533</v>
      </c>
      <c r="D443" s="8" t="s">
        <v>1718</v>
      </c>
      <c r="E443" s="8" t="s">
        <v>2395</v>
      </c>
      <c r="F443" s="8">
        <v>1</v>
      </c>
      <c r="G443" s="15">
        <v>45007</v>
      </c>
      <c r="H443" s="8" t="s">
        <v>2558</v>
      </c>
      <c r="I443" s="8" t="s">
        <v>1711</v>
      </c>
      <c r="L443" s="8"/>
    </row>
    <row r="444" spans="2:12" x14ac:dyDescent="0.25">
      <c r="B444" s="8" t="s">
        <v>14</v>
      </c>
      <c r="C444" s="8" t="s">
        <v>2559</v>
      </c>
      <c r="D444" s="8" t="s">
        <v>1728</v>
      </c>
      <c r="E444" s="8" t="s">
        <v>1698</v>
      </c>
      <c r="F444" s="8">
        <v>1</v>
      </c>
      <c r="G444" s="15">
        <v>45012</v>
      </c>
      <c r="H444" s="8" t="s">
        <v>2560</v>
      </c>
      <c r="I444" s="8" t="s">
        <v>1700</v>
      </c>
      <c r="L444" s="8"/>
    </row>
    <row r="445" spans="2:12" ht="15" customHeight="1" x14ac:dyDescent="0.25">
      <c r="B445" s="8" t="s">
        <v>2561</v>
      </c>
      <c r="C445" s="8" t="s">
        <v>2562</v>
      </c>
      <c r="D445" s="8" t="s">
        <v>1714</v>
      </c>
      <c r="E445" s="8" t="s">
        <v>2563</v>
      </c>
      <c r="F445" s="8">
        <v>1</v>
      </c>
      <c r="G445" s="15">
        <v>45012</v>
      </c>
      <c r="H445" s="8" t="s">
        <v>2564</v>
      </c>
      <c r="I445" s="8" t="s">
        <v>1700</v>
      </c>
      <c r="L445" s="8"/>
    </row>
    <row r="446" spans="2:12" x14ac:dyDescent="0.25">
      <c r="B446" s="8" t="s">
        <v>126</v>
      </c>
      <c r="C446" s="8" t="s">
        <v>2521</v>
      </c>
      <c r="D446" s="8" t="s">
        <v>1714</v>
      </c>
      <c r="E446" s="8" t="s">
        <v>2292</v>
      </c>
      <c r="F446" s="8">
        <v>2</v>
      </c>
      <c r="G446" s="15">
        <v>45049</v>
      </c>
      <c r="H446" s="8" t="s">
        <v>2565</v>
      </c>
      <c r="I446" s="8" t="s">
        <v>1711</v>
      </c>
      <c r="L446" s="8"/>
    </row>
    <row r="447" spans="2:12" x14ac:dyDescent="0.25">
      <c r="B447" s="8" t="s">
        <v>243</v>
      </c>
      <c r="C447" s="8" t="s">
        <v>2382</v>
      </c>
      <c r="D447" s="8" t="s">
        <v>1869</v>
      </c>
      <c r="E447" s="8" t="s">
        <v>1698</v>
      </c>
      <c r="F447" s="8">
        <v>1</v>
      </c>
      <c r="G447" s="15">
        <v>45012</v>
      </c>
      <c r="H447" s="8" t="s">
        <v>2566</v>
      </c>
      <c r="I447" s="8" t="s">
        <v>1711</v>
      </c>
      <c r="L447" s="8"/>
    </row>
    <row r="448" spans="2:12" x14ac:dyDescent="0.25">
      <c r="B448" s="8" t="s">
        <v>903</v>
      </c>
      <c r="E448" s="8" t="s">
        <v>1920</v>
      </c>
      <c r="G448" s="15">
        <v>45448</v>
      </c>
      <c r="I448" s="8" t="s">
        <v>1711</v>
      </c>
      <c r="L448" s="8"/>
    </row>
    <row r="449" spans="2:12" x14ac:dyDescent="0.25">
      <c r="B449" s="8" t="s">
        <v>2567</v>
      </c>
      <c r="E449" s="8" t="s">
        <v>1920</v>
      </c>
      <c r="G449" s="15">
        <v>45448</v>
      </c>
      <c r="I449" s="8" t="s">
        <v>1700</v>
      </c>
      <c r="L449" s="8"/>
    </row>
    <row r="450" spans="2:12" x14ac:dyDescent="0.25">
      <c r="B450" s="8" t="s">
        <v>2568</v>
      </c>
      <c r="G450" s="8" t="s">
        <v>1711</v>
      </c>
      <c r="H450" s="8" t="s">
        <v>2569</v>
      </c>
      <c r="I450" s="8" t="s">
        <v>1711</v>
      </c>
      <c r="L450" s="8"/>
    </row>
    <row r="451" spans="2:12" x14ac:dyDescent="0.25">
      <c r="B451" s="8" t="s">
        <v>1821</v>
      </c>
      <c r="C451" s="8">
        <v>3610</v>
      </c>
      <c r="D451" s="8" t="s">
        <v>1718</v>
      </c>
      <c r="E451" s="8" t="s">
        <v>1698</v>
      </c>
      <c r="F451" s="8">
        <v>1</v>
      </c>
      <c r="G451" s="15">
        <v>45048</v>
      </c>
      <c r="H451" s="8" t="s">
        <v>2570</v>
      </c>
      <c r="I451" s="8" t="s">
        <v>1711</v>
      </c>
      <c r="L451" s="8"/>
    </row>
    <row r="452" spans="2:12" x14ac:dyDescent="0.25">
      <c r="B452" s="8" t="s">
        <v>283</v>
      </c>
      <c r="C452" s="8" t="s">
        <v>2199</v>
      </c>
      <c r="D452" s="8" t="s">
        <v>1714</v>
      </c>
      <c r="E452" s="8" t="s">
        <v>2121</v>
      </c>
      <c r="F452" s="8">
        <v>2</v>
      </c>
      <c r="G452" s="15">
        <v>45012</v>
      </c>
      <c r="H452" s="8" t="s">
        <v>2571</v>
      </c>
      <c r="I452" s="8" t="s">
        <v>1711</v>
      </c>
      <c r="L452" s="8"/>
    </row>
    <row r="453" spans="2:12" x14ac:dyDescent="0.25">
      <c r="B453" s="8" t="s">
        <v>247</v>
      </c>
      <c r="C453" s="8" t="s">
        <v>2572</v>
      </c>
      <c r="D453" s="8" t="s">
        <v>1718</v>
      </c>
      <c r="E453" s="8" t="s">
        <v>1865</v>
      </c>
      <c r="F453" s="8">
        <v>1</v>
      </c>
      <c r="G453" s="15">
        <v>45056</v>
      </c>
      <c r="H453" s="8" t="s">
        <v>2573</v>
      </c>
      <c r="I453" s="8" t="s">
        <v>1711</v>
      </c>
      <c r="L453" s="21" t="s">
        <v>2574</v>
      </c>
    </row>
    <row r="454" spans="2:12" x14ac:dyDescent="0.25">
      <c r="B454" s="8" t="s">
        <v>247</v>
      </c>
      <c r="C454" s="8" t="s">
        <v>2575</v>
      </c>
      <c r="D454" s="8" t="s">
        <v>1714</v>
      </c>
      <c r="E454" s="8" t="s">
        <v>2576</v>
      </c>
      <c r="F454" s="8">
        <v>1</v>
      </c>
      <c r="G454" s="15">
        <v>45051</v>
      </c>
      <c r="H454" s="8" t="s">
        <v>2577</v>
      </c>
      <c r="I454" s="8" t="s">
        <v>1711</v>
      </c>
      <c r="L454" s="21" t="s">
        <v>2578</v>
      </c>
    </row>
    <row r="455" spans="2:12" x14ac:dyDescent="0.25">
      <c r="B455" s="8" t="s">
        <v>14</v>
      </c>
      <c r="C455" s="8">
        <v>4015</v>
      </c>
      <c r="D455" s="8" t="s">
        <v>1869</v>
      </c>
      <c r="E455" s="8" t="s">
        <v>2021</v>
      </c>
      <c r="F455" s="8">
        <v>3</v>
      </c>
      <c r="G455" s="15">
        <v>45012</v>
      </c>
      <c r="H455" s="8" t="s">
        <v>2579</v>
      </c>
      <c r="I455" s="8" t="s">
        <v>1700</v>
      </c>
      <c r="L455" s="12"/>
    </row>
    <row r="456" spans="2:12" x14ac:dyDescent="0.25">
      <c r="B456" s="8" t="s">
        <v>14</v>
      </c>
      <c r="C456" s="8" t="s">
        <v>2580</v>
      </c>
      <c r="D456" s="8" t="s">
        <v>1718</v>
      </c>
      <c r="E456" s="8" t="s">
        <v>2284</v>
      </c>
      <c r="F456" s="8">
        <v>2</v>
      </c>
      <c r="G456" s="15">
        <v>45007</v>
      </c>
      <c r="H456" s="8" t="s">
        <v>2581</v>
      </c>
      <c r="I456" s="8" t="s">
        <v>1711</v>
      </c>
      <c r="L456" s="8"/>
    </row>
    <row r="457" spans="2:12" x14ac:dyDescent="0.25">
      <c r="B457" s="8" t="s">
        <v>14</v>
      </c>
      <c r="C457" s="8" t="s">
        <v>2582</v>
      </c>
      <c r="D457" s="8" t="s">
        <v>2583</v>
      </c>
      <c r="E457" s="8" t="s">
        <v>1802</v>
      </c>
      <c r="F457" s="8">
        <v>2</v>
      </c>
      <c r="G457" s="15">
        <v>45009</v>
      </c>
      <c r="H457" s="8" t="s">
        <v>2584</v>
      </c>
      <c r="I457" s="8" t="s">
        <v>1700</v>
      </c>
      <c r="L457" s="8" t="s">
        <v>2585</v>
      </c>
    </row>
    <row r="458" spans="2:12" x14ac:dyDescent="0.25">
      <c r="B458" s="8" t="s">
        <v>14</v>
      </c>
      <c r="C458" s="8" t="s">
        <v>2559</v>
      </c>
      <c r="D458" s="8" t="s">
        <v>1718</v>
      </c>
      <c r="E458" s="8" t="s">
        <v>2586</v>
      </c>
      <c r="F458" s="8">
        <v>1</v>
      </c>
      <c r="G458" s="15">
        <v>45014</v>
      </c>
      <c r="H458" s="8" t="s">
        <v>2587</v>
      </c>
      <c r="I458" s="8" t="s">
        <v>1700</v>
      </c>
      <c r="L458" s="8"/>
    </row>
    <row r="459" spans="2:12" x14ac:dyDescent="0.25">
      <c r="B459" s="8" t="s">
        <v>1695</v>
      </c>
      <c r="C459" s="8" t="s">
        <v>2588</v>
      </c>
      <c r="D459" s="8" t="s">
        <v>1718</v>
      </c>
      <c r="E459" s="8" t="s">
        <v>1698</v>
      </c>
      <c r="F459" s="8">
        <v>1</v>
      </c>
      <c r="G459" s="15">
        <v>45014</v>
      </c>
      <c r="H459" s="8" t="s">
        <v>2589</v>
      </c>
      <c r="I459" s="8" t="s">
        <v>1711</v>
      </c>
      <c r="L459" s="8"/>
    </row>
    <row r="460" spans="2:12" x14ac:dyDescent="0.25">
      <c r="B460" s="8" t="s">
        <v>1783</v>
      </c>
      <c r="C460" s="8" t="s">
        <v>2590</v>
      </c>
      <c r="D460" s="8" t="s">
        <v>1714</v>
      </c>
      <c r="E460" s="8" t="s">
        <v>2591</v>
      </c>
      <c r="F460" s="8">
        <v>1</v>
      </c>
      <c r="G460" s="15">
        <v>45079</v>
      </c>
      <c r="H460" s="8" t="s">
        <v>2592</v>
      </c>
      <c r="I460" s="8" t="s">
        <v>1711</v>
      </c>
      <c r="L460" s="8"/>
    </row>
    <row r="461" spans="2:12" x14ac:dyDescent="0.25">
      <c r="B461" s="8" t="s">
        <v>1783</v>
      </c>
      <c r="C461" s="8" t="s">
        <v>2593</v>
      </c>
      <c r="D461" s="8" t="s">
        <v>1714</v>
      </c>
      <c r="E461" s="8" t="s">
        <v>2591</v>
      </c>
      <c r="F461" s="8">
        <v>1</v>
      </c>
      <c r="G461" s="15">
        <v>45079</v>
      </c>
      <c r="H461" s="8" t="s">
        <v>2592</v>
      </c>
      <c r="I461" s="8" t="s">
        <v>1711</v>
      </c>
      <c r="L461" s="8"/>
    </row>
    <row r="462" spans="2:12" x14ac:dyDescent="0.25">
      <c r="B462" s="8" t="s">
        <v>265</v>
      </c>
      <c r="C462" s="8" t="s">
        <v>2594</v>
      </c>
      <c r="D462" s="8" t="s">
        <v>1768</v>
      </c>
      <c r="E462" s="8" t="s">
        <v>2595</v>
      </c>
      <c r="F462" s="8">
        <v>2</v>
      </c>
      <c r="G462" s="15">
        <v>45056</v>
      </c>
      <c r="H462" s="8" t="s">
        <v>2596</v>
      </c>
      <c r="I462" s="8" t="s">
        <v>1711</v>
      </c>
    </row>
    <row r="463" spans="2:12" x14ac:dyDescent="0.25">
      <c r="B463" s="8" t="s">
        <v>265</v>
      </c>
      <c r="C463" s="8" t="s">
        <v>2594</v>
      </c>
      <c r="D463" s="8" t="s">
        <v>1802</v>
      </c>
      <c r="E463" s="8" t="s">
        <v>1802</v>
      </c>
      <c r="F463" s="8">
        <v>1</v>
      </c>
      <c r="G463" s="15">
        <v>45068</v>
      </c>
      <c r="H463" s="8" t="s">
        <v>2597</v>
      </c>
      <c r="I463" s="8" t="s">
        <v>1711</v>
      </c>
      <c r="L463" s="8"/>
    </row>
    <row r="464" spans="2:12" x14ac:dyDescent="0.25">
      <c r="B464" s="8" t="s">
        <v>339</v>
      </c>
      <c r="C464" s="8" t="s">
        <v>2598</v>
      </c>
      <c r="D464" s="8" t="s">
        <v>1714</v>
      </c>
      <c r="E464" s="8" t="s">
        <v>2121</v>
      </c>
      <c r="F464" s="8">
        <v>3</v>
      </c>
      <c r="G464" s="15">
        <v>45042</v>
      </c>
      <c r="H464" s="8" t="s">
        <v>2599</v>
      </c>
      <c r="I464" s="8" t="s">
        <v>1700</v>
      </c>
      <c r="L464" s="8" t="s">
        <v>2600</v>
      </c>
    </row>
    <row r="465" spans="2:12" x14ac:dyDescent="0.25">
      <c r="B465" s="8" t="s">
        <v>339</v>
      </c>
      <c r="C465" s="8" t="s">
        <v>2601</v>
      </c>
      <c r="D465" s="8" t="s">
        <v>1714</v>
      </c>
      <c r="E465" s="8" t="s">
        <v>1698</v>
      </c>
      <c r="F465" s="8">
        <v>1</v>
      </c>
      <c r="G465" s="15">
        <v>45047</v>
      </c>
      <c r="H465" s="8" t="s">
        <v>2602</v>
      </c>
      <c r="I465" s="8" t="s">
        <v>1700</v>
      </c>
      <c r="L465" s="8"/>
    </row>
    <row r="466" spans="2:12" x14ac:dyDescent="0.25">
      <c r="B466" s="8" t="s">
        <v>14</v>
      </c>
      <c r="C466" s="8">
        <v>4015</v>
      </c>
      <c r="D466" s="8" t="s">
        <v>1718</v>
      </c>
      <c r="E466" s="8" t="s">
        <v>1890</v>
      </c>
      <c r="F466" s="8">
        <v>2</v>
      </c>
      <c r="G466" s="15">
        <v>45009</v>
      </c>
      <c r="H466" s="8" t="s">
        <v>2603</v>
      </c>
      <c r="I466" s="8" t="s">
        <v>1700</v>
      </c>
      <c r="L466" s="12"/>
    </row>
    <row r="467" spans="2:12" x14ac:dyDescent="0.25">
      <c r="B467" s="8" t="s">
        <v>32</v>
      </c>
      <c r="C467" s="8" t="s">
        <v>1954</v>
      </c>
      <c r="D467" s="8" t="s">
        <v>2433</v>
      </c>
      <c r="E467" s="8" t="s">
        <v>1744</v>
      </c>
      <c r="F467" s="8">
        <v>1</v>
      </c>
      <c r="G467" s="15">
        <v>45078</v>
      </c>
      <c r="H467" s="8" t="s">
        <v>2604</v>
      </c>
      <c r="I467" s="8" t="s">
        <v>1711</v>
      </c>
      <c r="L467" s="8"/>
    </row>
    <row r="468" spans="2:12" x14ac:dyDescent="0.25">
      <c r="B468" s="8" t="s">
        <v>539</v>
      </c>
      <c r="C468" s="8" t="s">
        <v>2605</v>
      </c>
      <c r="E468" s="8" t="s">
        <v>2606</v>
      </c>
      <c r="F468" s="8">
        <v>1</v>
      </c>
      <c r="H468" s="8" t="s">
        <v>2607</v>
      </c>
      <c r="I468" s="8" t="s">
        <v>1711</v>
      </c>
      <c r="L468" s="12"/>
    </row>
    <row r="469" spans="2:12" x14ac:dyDescent="0.25">
      <c r="B469" s="8" t="s">
        <v>290</v>
      </c>
      <c r="C469" s="8" t="s">
        <v>2608</v>
      </c>
      <c r="D469" s="8" t="s">
        <v>1714</v>
      </c>
      <c r="E469" s="8" t="s">
        <v>1698</v>
      </c>
      <c r="F469" s="8">
        <v>2</v>
      </c>
      <c r="G469" s="15">
        <v>45014</v>
      </c>
      <c r="H469" s="8" t="s">
        <v>2609</v>
      </c>
      <c r="I469" s="8" t="s">
        <v>1700</v>
      </c>
      <c r="L469" s="8"/>
    </row>
    <row r="470" spans="2:12" x14ac:dyDescent="0.25">
      <c r="B470" s="8" t="s">
        <v>32</v>
      </c>
      <c r="C470" s="8" t="s">
        <v>1954</v>
      </c>
      <c r="D470" s="8" t="s">
        <v>2433</v>
      </c>
      <c r="E470" s="8" t="s">
        <v>2610</v>
      </c>
      <c r="F470" s="8">
        <v>2</v>
      </c>
      <c r="G470" s="15">
        <v>45068</v>
      </c>
      <c r="H470" s="8" t="s">
        <v>2611</v>
      </c>
      <c r="I470" s="8" t="s">
        <v>1711</v>
      </c>
      <c r="L470" s="8"/>
    </row>
    <row r="471" spans="2:12" x14ac:dyDescent="0.25">
      <c r="B471" s="8" t="s">
        <v>14</v>
      </c>
      <c r="C471" s="8" t="s">
        <v>2612</v>
      </c>
      <c r="D471" s="8" t="s">
        <v>1728</v>
      </c>
      <c r="E471" s="8" t="s">
        <v>2292</v>
      </c>
      <c r="F471" s="8">
        <v>2</v>
      </c>
      <c r="G471" s="15">
        <v>45012</v>
      </c>
      <c r="H471" s="8" t="s">
        <v>2613</v>
      </c>
      <c r="I471" s="8" t="s">
        <v>1711</v>
      </c>
      <c r="L471" s="8"/>
    </row>
    <row r="472" spans="2:12" x14ac:dyDescent="0.25">
      <c r="B472" s="8" t="s">
        <v>122</v>
      </c>
      <c r="C472" s="8" t="s">
        <v>1125</v>
      </c>
      <c r="E472" s="8" t="s">
        <v>1920</v>
      </c>
      <c r="F472" s="8">
        <v>2</v>
      </c>
      <c r="G472" s="15"/>
      <c r="H472" s="8" t="s">
        <v>2614</v>
      </c>
      <c r="I472" s="8" t="s">
        <v>1711</v>
      </c>
      <c r="L472" s="12"/>
    </row>
    <row r="473" spans="2:12" x14ac:dyDescent="0.25">
      <c r="B473" s="8" t="s">
        <v>2139</v>
      </c>
      <c r="C473" s="8" t="s">
        <v>1226</v>
      </c>
      <c r="E473" s="8" t="s">
        <v>1920</v>
      </c>
      <c r="F473" s="8">
        <v>2</v>
      </c>
      <c r="H473" s="8" t="s">
        <v>2615</v>
      </c>
      <c r="I473" s="8" t="s">
        <v>1711</v>
      </c>
      <c r="L473" s="8"/>
    </row>
    <row r="474" spans="2:12" x14ac:dyDescent="0.25">
      <c r="B474" s="8" t="s">
        <v>253</v>
      </c>
      <c r="C474" s="8" t="s">
        <v>2616</v>
      </c>
      <c r="E474" s="8" t="s">
        <v>1920</v>
      </c>
      <c r="F474" s="8">
        <v>2</v>
      </c>
      <c r="G474" s="15"/>
      <c r="H474" s="8" t="s">
        <v>2617</v>
      </c>
      <c r="I474" s="8" t="s">
        <v>1711</v>
      </c>
      <c r="L474" s="8"/>
    </row>
    <row r="475" spans="2:12" x14ac:dyDescent="0.25">
      <c r="L475" s="8"/>
    </row>
    <row r="476" spans="2:12" x14ac:dyDescent="0.25">
      <c r="G476" s="15"/>
      <c r="L476" s="8"/>
    </row>
    <row r="477" spans="2:12" x14ac:dyDescent="0.25">
      <c r="L477" s="8"/>
    </row>
    <row r="478" spans="2:12" x14ac:dyDescent="0.25">
      <c r="L478" s="8"/>
    </row>
    <row r="479" spans="2:12" x14ac:dyDescent="0.25">
      <c r="B479" s="8" t="s">
        <v>159</v>
      </c>
      <c r="C479" s="8" t="s">
        <v>2425</v>
      </c>
      <c r="D479" s="8" t="s">
        <v>1714</v>
      </c>
      <c r="E479" s="8" t="s">
        <v>2618</v>
      </c>
      <c r="F479" s="8">
        <v>3</v>
      </c>
      <c r="G479" s="15">
        <v>45014</v>
      </c>
      <c r="H479" s="8" t="s">
        <v>2619</v>
      </c>
      <c r="I479" s="8" t="s">
        <v>1700</v>
      </c>
      <c r="L479" s="8"/>
    </row>
    <row r="480" spans="2:12" x14ac:dyDescent="0.25">
      <c r="B480" s="8" t="s">
        <v>243</v>
      </c>
      <c r="C480" s="8" t="s">
        <v>2620</v>
      </c>
      <c r="D480" s="8" t="s">
        <v>1718</v>
      </c>
      <c r="E480" s="8" t="s">
        <v>1698</v>
      </c>
      <c r="F480" s="8">
        <v>1</v>
      </c>
      <c r="G480" s="15">
        <v>45047</v>
      </c>
      <c r="H480" s="8" t="s">
        <v>2621</v>
      </c>
      <c r="I480" s="8" t="s">
        <v>1711</v>
      </c>
      <c r="L480" s="8"/>
    </row>
    <row r="481" spans="2:12" x14ac:dyDescent="0.25">
      <c r="B481" s="8" t="s">
        <v>14</v>
      </c>
      <c r="C481" s="8" t="s">
        <v>2580</v>
      </c>
      <c r="D481" s="8" t="s">
        <v>1728</v>
      </c>
      <c r="E481" s="8" t="s">
        <v>2310</v>
      </c>
      <c r="F481" s="8">
        <v>2</v>
      </c>
      <c r="G481" s="15">
        <v>45016</v>
      </c>
      <c r="H481" s="8" t="s">
        <v>2622</v>
      </c>
      <c r="I481" s="8" t="s">
        <v>1700</v>
      </c>
      <c r="L481" s="8"/>
    </row>
    <row r="482" spans="2:12" x14ac:dyDescent="0.25">
      <c r="L482" s="8"/>
    </row>
    <row r="483" spans="2:12" x14ac:dyDescent="0.25">
      <c r="B483" s="8" t="s">
        <v>1783</v>
      </c>
      <c r="C483" s="8" t="s">
        <v>2623</v>
      </c>
      <c r="D483" s="8" t="s">
        <v>1718</v>
      </c>
      <c r="E483" s="8" t="s">
        <v>1885</v>
      </c>
      <c r="F483" s="8">
        <v>1</v>
      </c>
      <c r="G483" s="15">
        <v>45084</v>
      </c>
      <c r="H483" s="8" t="s">
        <v>2624</v>
      </c>
      <c r="I483" s="8" t="s">
        <v>1711</v>
      </c>
      <c r="L483" s="8"/>
    </row>
    <row r="484" spans="2:12" x14ac:dyDescent="0.25">
      <c r="B484" s="8" t="s">
        <v>2625</v>
      </c>
      <c r="C484" s="8" t="s">
        <v>2626</v>
      </c>
      <c r="D484" s="8" t="s">
        <v>1718</v>
      </c>
      <c r="E484" s="8" t="s">
        <v>2627</v>
      </c>
      <c r="F484" s="8">
        <v>1</v>
      </c>
      <c r="G484" s="15">
        <v>45055</v>
      </c>
      <c r="H484" s="8" t="s">
        <v>2628</v>
      </c>
      <c r="I484" s="8" t="s">
        <v>1711</v>
      </c>
      <c r="L484" s="8"/>
    </row>
    <row r="485" spans="2:12" x14ac:dyDescent="0.25">
      <c r="B485" s="8" t="s">
        <v>2625</v>
      </c>
      <c r="C485" s="8" t="s">
        <v>2629</v>
      </c>
      <c r="D485" s="8" t="s">
        <v>1718</v>
      </c>
      <c r="E485" s="8" t="s">
        <v>2627</v>
      </c>
      <c r="F485" s="8">
        <v>1</v>
      </c>
      <c r="G485" s="15">
        <v>45055</v>
      </c>
      <c r="H485" s="8" t="s">
        <v>2628</v>
      </c>
      <c r="I485" s="8" t="s">
        <v>1711</v>
      </c>
      <c r="L485" s="8"/>
    </row>
    <row r="486" spans="2:12" x14ac:dyDescent="0.25">
      <c r="G486" s="15"/>
      <c r="L486" s="8"/>
    </row>
    <row r="487" spans="2:12" x14ac:dyDescent="0.25">
      <c r="B487" s="8" t="s">
        <v>122</v>
      </c>
      <c r="C487" s="8" t="s">
        <v>2630</v>
      </c>
      <c r="D487" s="8" t="s">
        <v>2433</v>
      </c>
      <c r="E487" s="8" t="s">
        <v>2631</v>
      </c>
      <c r="F487" s="8">
        <v>2</v>
      </c>
      <c r="G487" s="15">
        <v>45068</v>
      </c>
      <c r="H487" s="8" t="s">
        <v>2632</v>
      </c>
      <c r="I487" s="8" t="s">
        <v>1711</v>
      </c>
      <c r="L487" s="8"/>
    </row>
    <row r="488" spans="2:12" x14ac:dyDescent="0.25">
      <c r="B488" s="8" t="s">
        <v>70</v>
      </c>
      <c r="C488" s="8" t="s">
        <v>2633</v>
      </c>
      <c r="D488" s="8" t="s">
        <v>1869</v>
      </c>
      <c r="E488" s="8" t="s">
        <v>1698</v>
      </c>
      <c r="F488" s="8">
        <v>1</v>
      </c>
      <c r="G488" s="15">
        <v>45070</v>
      </c>
      <c r="H488" s="8" t="s">
        <v>2634</v>
      </c>
      <c r="I488" s="8" t="s">
        <v>1700</v>
      </c>
      <c r="L488" s="8"/>
    </row>
    <row r="489" spans="2:12" x14ac:dyDescent="0.25">
      <c r="B489" s="8" t="s">
        <v>2635</v>
      </c>
      <c r="C489" s="8" t="s">
        <v>2636</v>
      </c>
      <c r="D489" s="8" t="s">
        <v>1714</v>
      </c>
      <c r="E489" s="8" t="s">
        <v>2637</v>
      </c>
      <c r="F489" s="8">
        <v>4</v>
      </c>
      <c r="G489" s="15">
        <v>45292</v>
      </c>
      <c r="H489" s="8" t="s">
        <v>2638</v>
      </c>
      <c r="I489" s="8" t="s">
        <v>1700</v>
      </c>
      <c r="J489" s="8" t="s">
        <v>2639</v>
      </c>
      <c r="L489" s="12" t="s">
        <v>2640</v>
      </c>
    </row>
    <row r="490" spans="2:12" x14ac:dyDescent="0.25">
      <c r="G490" s="15"/>
      <c r="L490" s="84"/>
    </row>
    <row r="491" spans="2:12" x14ac:dyDescent="0.25">
      <c r="G491" s="15"/>
      <c r="L491" s="8"/>
    </row>
    <row r="492" spans="2:12" x14ac:dyDescent="0.25">
      <c r="B492" s="8" t="s">
        <v>1777</v>
      </c>
      <c r="C492" s="8" t="s">
        <v>2020</v>
      </c>
      <c r="D492" s="8" t="s">
        <v>1718</v>
      </c>
      <c r="E492" s="8" t="s">
        <v>1719</v>
      </c>
      <c r="F492" s="8">
        <v>1</v>
      </c>
      <c r="G492" s="15">
        <v>45050</v>
      </c>
      <c r="H492" s="8" t="s">
        <v>2641</v>
      </c>
      <c r="I492" s="8" t="s">
        <v>1700</v>
      </c>
      <c r="L492" s="12" t="s">
        <v>2642</v>
      </c>
    </row>
    <row r="493" spans="2:12" x14ac:dyDescent="0.25">
      <c r="B493" s="8" t="s">
        <v>2643</v>
      </c>
      <c r="C493" s="8" t="s">
        <v>2644</v>
      </c>
      <c r="D493" s="8" t="s">
        <v>1714</v>
      </c>
      <c r="E493" s="8" t="s">
        <v>2645</v>
      </c>
      <c r="F493" s="8">
        <v>1</v>
      </c>
      <c r="G493" s="15">
        <v>45065</v>
      </c>
      <c r="H493" s="8" t="s">
        <v>2646</v>
      </c>
      <c r="I493" s="8" t="s">
        <v>1711</v>
      </c>
      <c r="L493" s="8"/>
    </row>
    <row r="494" spans="2:12" x14ac:dyDescent="0.25">
      <c r="B494" s="8" t="s">
        <v>1777</v>
      </c>
      <c r="C494" s="8" t="s">
        <v>2647</v>
      </c>
      <c r="D494" s="8" t="s">
        <v>1802</v>
      </c>
      <c r="E494" s="8" t="s">
        <v>2648</v>
      </c>
      <c r="F494" s="8">
        <v>1</v>
      </c>
      <c r="G494" s="15">
        <v>45047</v>
      </c>
      <c r="H494" s="8" t="s">
        <v>2649</v>
      </c>
      <c r="I494" s="8" t="s">
        <v>1700</v>
      </c>
      <c r="L494" s="8"/>
    </row>
    <row r="495" spans="2:12" x14ac:dyDescent="0.25">
      <c r="B495" s="8" t="s">
        <v>2422</v>
      </c>
      <c r="C495" s="8">
        <v>3614</v>
      </c>
      <c r="D495" s="8" t="s">
        <v>1718</v>
      </c>
      <c r="E495" s="8" t="s">
        <v>1719</v>
      </c>
      <c r="F495" s="8">
        <v>2</v>
      </c>
      <c r="G495" s="15">
        <v>45016</v>
      </c>
      <c r="H495" s="8" t="s">
        <v>2650</v>
      </c>
      <c r="I495" s="8" t="s">
        <v>1700</v>
      </c>
      <c r="L495" s="8"/>
    </row>
    <row r="496" spans="2:12" x14ac:dyDescent="0.25">
      <c r="B496" s="8" t="s">
        <v>1998</v>
      </c>
      <c r="C496" s="8" t="s">
        <v>14</v>
      </c>
      <c r="D496" s="8" t="s">
        <v>1708</v>
      </c>
      <c r="E496" s="8" t="s">
        <v>1802</v>
      </c>
      <c r="F496" s="8">
        <v>3</v>
      </c>
      <c r="G496" s="15">
        <v>45017</v>
      </c>
      <c r="H496" s="8" t="s">
        <v>2651</v>
      </c>
      <c r="I496" s="8" t="s">
        <v>1700</v>
      </c>
      <c r="L496" s="12" t="s">
        <v>2652</v>
      </c>
    </row>
    <row r="497" spans="2:12" x14ac:dyDescent="0.25">
      <c r="B497" s="8" t="s">
        <v>2643</v>
      </c>
      <c r="C497" s="8" t="s">
        <v>2653</v>
      </c>
      <c r="D497" s="8" t="s">
        <v>1714</v>
      </c>
      <c r="E497" s="8" t="s">
        <v>1885</v>
      </c>
      <c r="F497" s="8">
        <v>1</v>
      </c>
      <c r="G497" s="15">
        <v>45044</v>
      </c>
      <c r="H497" s="8" t="s">
        <v>2654</v>
      </c>
      <c r="I497" s="8" t="s">
        <v>1711</v>
      </c>
      <c r="L497" s="8"/>
    </row>
    <row r="498" spans="2:12" x14ac:dyDescent="0.25">
      <c r="B498" s="8" t="s">
        <v>2643</v>
      </c>
      <c r="C498" s="8" t="s">
        <v>2644</v>
      </c>
      <c r="D498" s="8" t="s">
        <v>1714</v>
      </c>
      <c r="E498" s="8" t="s">
        <v>1865</v>
      </c>
      <c r="F498" s="8">
        <v>2</v>
      </c>
      <c r="G498" s="15">
        <v>45065</v>
      </c>
      <c r="H498" s="8" t="s">
        <v>2655</v>
      </c>
      <c r="I498" s="8" t="s">
        <v>1711</v>
      </c>
      <c r="L498" s="21" t="s">
        <v>2656</v>
      </c>
    </row>
    <row r="499" spans="2:12" x14ac:dyDescent="0.25">
      <c r="B499" s="8" t="s">
        <v>1777</v>
      </c>
      <c r="C499" s="8" t="s">
        <v>2657</v>
      </c>
      <c r="D499" s="8" t="s">
        <v>1714</v>
      </c>
      <c r="E499" s="8" t="s">
        <v>2658</v>
      </c>
      <c r="F499" s="8">
        <v>2</v>
      </c>
      <c r="G499" s="15">
        <v>45047</v>
      </c>
      <c r="H499" s="8" t="s">
        <v>2213</v>
      </c>
      <c r="I499" s="8" t="s">
        <v>1700</v>
      </c>
      <c r="L499" s="8"/>
    </row>
    <row r="500" spans="2:12" x14ac:dyDescent="0.25">
      <c r="B500" s="8" t="s">
        <v>2659</v>
      </c>
      <c r="C500" s="8" t="s">
        <v>2660</v>
      </c>
      <c r="D500" s="8" t="s">
        <v>1869</v>
      </c>
      <c r="E500" s="8" t="s">
        <v>2121</v>
      </c>
      <c r="F500" s="8">
        <v>2</v>
      </c>
      <c r="G500" s="15">
        <v>45054</v>
      </c>
      <c r="H500" s="8" t="s">
        <v>2661</v>
      </c>
      <c r="I500" s="8" t="s">
        <v>1711</v>
      </c>
      <c r="L500" s="8"/>
    </row>
    <row r="501" spans="2:12" x14ac:dyDescent="0.25">
      <c r="B501" s="8" t="s">
        <v>2662</v>
      </c>
      <c r="C501" s="8" t="s">
        <v>2663</v>
      </c>
      <c r="D501" s="8" t="s">
        <v>1718</v>
      </c>
      <c r="E501" s="8" t="s">
        <v>2507</v>
      </c>
      <c r="F501" s="8">
        <v>1</v>
      </c>
      <c r="G501" s="15">
        <v>45054</v>
      </c>
      <c r="H501" s="8" t="s">
        <v>2664</v>
      </c>
      <c r="I501" s="8" t="s">
        <v>1711</v>
      </c>
      <c r="L501" s="12"/>
    </row>
    <row r="502" spans="2:12" x14ac:dyDescent="0.25">
      <c r="B502" s="8" t="s">
        <v>1695</v>
      </c>
      <c r="C502" s="8" t="s">
        <v>1696</v>
      </c>
      <c r="D502" s="8" t="s">
        <v>1708</v>
      </c>
      <c r="E502" s="8" t="s">
        <v>1744</v>
      </c>
      <c r="F502" s="8">
        <v>3</v>
      </c>
      <c r="G502" s="15">
        <v>45019</v>
      </c>
      <c r="H502" s="8" t="s">
        <v>2665</v>
      </c>
      <c r="I502" s="8" t="s">
        <v>1700</v>
      </c>
      <c r="L502" s="12"/>
    </row>
    <row r="503" spans="2:12" x14ac:dyDescent="0.25">
      <c r="B503" s="8" t="s">
        <v>411</v>
      </c>
      <c r="C503" s="8" t="s">
        <v>2666</v>
      </c>
      <c r="D503" s="8" t="s">
        <v>1869</v>
      </c>
      <c r="E503" s="8" t="s">
        <v>2517</v>
      </c>
      <c r="F503" s="8">
        <v>1</v>
      </c>
      <c r="G503" s="15">
        <v>45068</v>
      </c>
      <c r="H503" s="8" t="s">
        <v>2667</v>
      </c>
      <c r="I503" s="8" t="s">
        <v>1711</v>
      </c>
      <c r="L503" s="8"/>
    </row>
    <row r="504" spans="2:12" x14ac:dyDescent="0.25">
      <c r="B504" s="8" t="s">
        <v>310</v>
      </c>
      <c r="C504" s="8" t="s">
        <v>2668</v>
      </c>
      <c r="D504" s="8" t="s">
        <v>1714</v>
      </c>
      <c r="E504" s="8" t="s">
        <v>1698</v>
      </c>
      <c r="F504" s="8">
        <v>1</v>
      </c>
      <c r="G504" s="15">
        <v>45044</v>
      </c>
      <c r="H504" s="8" t="s">
        <v>2669</v>
      </c>
      <c r="I504" s="8" t="s">
        <v>1711</v>
      </c>
      <c r="L504" s="8"/>
    </row>
    <row r="505" spans="2:12" x14ac:dyDescent="0.25">
      <c r="B505" s="8" t="s">
        <v>411</v>
      </c>
      <c r="C505" s="8" t="s">
        <v>2666</v>
      </c>
      <c r="D505" s="8" t="s">
        <v>1718</v>
      </c>
      <c r="E505" s="8" t="s">
        <v>2517</v>
      </c>
      <c r="F505" s="8">
        <v>1</v>
      </c>
      <c r="G505" s="15">
        <v>45065</v>
      </c>
      <c r="H505" s="8" t="s">
        <v>2670</v>
      </c>
      <c r="I505" s="8" t="s">
        <v>1711</v>
      </c>
      <c r="L505" s="8"/>
    </row>
    <row r="506" spans="2:12" x14ac:dyDescent="0.25">
      <c r="B506" s="8" t="s">
        <v>2352</v>
      </c>
      <c r="C506" s="8" t="s">
        <v>2671</v>
      </c>
      <c r="D506" s="8" t="s">
        <v>1714</v>
      </c>
      <c r="E506" s="8" t="s">
        <v>2672</v>
      </c>
      <c r="F506" s="8">
        <v>2</v>
      </c>
      <c r="G506" s="15">
        <v>45047</v>
      </c>
      <c r="H506" s="8" t="s">
        <v>2673</v>
      </c>
      <c r="I506" s="8" t="s">
        <v>1700</v>
      </c>
      <c r="L506" s="8"/>
    </row>
    <row r="507" spans="2:12" x14ac:dyDescent="0.25">
      <c r="B507" s="8" t="s">
        <v>243</v>
      </c>
      <c r="C507" s="8" t="s">
        <v>2674</v>
      </c>
      <c r="D507" s="8" t="s">
        <v>1714</v>
      </c>
      <c r="E507" s="8" t="s">
        <v>2395</v>
      </c>
      <c r="F507" s="8">
        <v>1</v>
      </c>
      <c r="G507" s="15">
        <v>45021</v>
      </c>
      <c r="H507" s="8" t="s">
        <v>2675</v>
      </c>
      <c r="I507" s="8" t="s">
        <v>1700</v>
      </c>
      <c r="L507" s="12" t="s">
        <v>2676</v>
      </c>
    </row>
    <row r="508" spans="2:12" x14ac:dyDescent="0.25">
      <c r="B508" s="8" t="s">
        <v>168</v>
      </c>
      <c r="C508" s="8">
        <v>3576</v>
      </c>
      <c r="D508" s="8" t="s">
        <v>1869</v>
      </c>
      <c r="E508" s="8" t="s">
        <v>1698</v>
      </c>
      <c r="F508" s="8">
        <v>1</v>
      </c>
      <c r="G508" s="15">
        <v>45001</v>
      </c>
      <c r="H508" s="8" t="s">
        <v>2677</v>
      </c>
      <c r="I508" s="8" t="s">
        <v>1711</v>
      </c>
      <c r="L508" s="8"/>
    </row>
    <row r="509" spans="2:12" x14ac:dyDescent="0.25">
      <c r="B509" s="8" t="s">
        <v>14</v>
      </c>
      <c r="C509" s="8" t="s">
        <v>2678</v>
      </c>
      <c r="D509" s="8" t="s">
        <v>1728</v>
      </c>
      <c r="E509" s="8" t="s">
        <v>1865</v>
      </c>
      <c r="F509" s="8">
        <v>1</v>
      </c>
      <c r="G509" s="15">
        <v>45006</v>
      </c>
      <c r="H509" s="8" t="s">
        <v>2678</v>
      </c>
      <c r="I509" s="8" t="s">
        <v>1711</v>
      </c>
      <c r="L509" s="8"/>
    </row>
    <row r="510" spans="2:12" x14ac:dyDescent="0.25">
      <c r="G510" s="15"/>
      <c r="L510" s="8"/>
    </row>
    <row r="511" spans="2:12" x14ac:dyDescent="0.25">
      <c r="G511" s="15"/>
      <c r="L511" s="8"/>
    </row>
    <row r="512" spans="2:12" x14ac:dyDescent="0.25">
      <c r="G512" s="15"/>
      <c r="L512" s="8"/>
    </row>
    <row r="513" spans="2:12" x14ac:dyDescent="0.25">
      <c r="G513" s="15"/>
      <c r="L513" s="8"/>
    </row>
    <row r="514" spans="2:12" x14ac:dyDescent="0.25">
      <c r="B514" s="8" t="s">
        <v>1695</v>
      </c>
      <c r="C514" s="8" t="s">
        <v>2679</v>
      </c>
      <c r="D514" s="8" t="s">
        <v>1802</v>
      </c>
      <c r="E514" s="8" t="s">
        <v>2292</v>
      </c>
      <c r="F514" s="8">
        <v>1</v>
      </c>
      <c r="G514" s="15">
        <v>45068</v>
      </c>
      <c r="H514" s="8" t="s">
        <v>2680</v>
      </c>
      <c r="I514" s="8" t="s">
        <v>1711</v>
      </c>
      <c r="L514" s="8"/>
    </row>
    <row r="515" spans="2:12" x14ac:dyDescent="0.25">
      <c r="B515" s="8" t="s">
        <v>1695</v>
      </c>
      <c r="C515" s="8" t="s">
        <v>2679</v>
      </c>
      <c r="D515" s="8" t="s">
        <v>1768</v>
      </c>
      <c r="E515" s="8" t="s">
        <v>1920</v>
      </c>
      <c r="F515" s="8">
        <v>2</v>
      </c>
      <c r="G515" s="15">
        <v>45056</v>
      </c>
      <c r="H515" s="8" t="s">
        <v>2681</v>
      </c>
      <c r="I515" s="8" t="s">
        <v>1711</v>
      </c>
      <c r="L515" s="21" t="s">
        <v>2682</v>
      </c>
    </row>
    <row r="516" spans="2:12" x14ac:dyDescent="0.25">
      <c r="G516" s="15"/>
      <c r="L516" s="8"/>
    </row>
    <row r="517" spans="2:12" x14ac:dyDescent="0.25">
      <c r="G517" s="15"/>
      <c r="L517" s="8"/>
    </row>
    <row r="518" spans="2:12" x14ac:dyDescent="0.25">
      <c r="G518" s="15"/>
      <c r="L518" s="8"/>
    </row>
    <row r="519" spans="2:12" x14ac:dyDescent="0.25">
      <c r="B519" s="8" t="s">
        <v>47</v>
      </c>
      <c r="C519" s="8" t="s">
        <v>2240</v>
      </c>
      <c r="D519" s="8" t="s">
        <v>1869</v>
      </c>
      <c r="E519" s="8" t="s">
        <v>1698</v>
      </c>
      <c r="F519" s="8">
        <v>1</v>
      </c>
      <c r="G519" s="15">
        <v>45047</v>
      </c>
      <c r="H519" s="8" t="s">
        <v>2683</v>
      </c>
      <c r="I519" s="8" t="s">
        <v>1711</v>
      </c>
      <c r="L519" s="8"/>
    </row>
    <row r="520" spans="2:12" x14ac:dyDescent="0.25">
      <c r="B520" s="8" t="s">
        <v>47</v>
      </c>
      <c r="C520" s="8" t="s">
        <v>2240</v>
      </c>
      <c r="D520" s="8" t="s">
        <v>1718</v>
      </c>
      <c r="E520" s="8" t="s">
        <v>1698</v>
      </c>
      <c r="F520" s="8">
        <v>1</v>
      </c>
      <c r="G520" s="15">
        <v>45047</v>
      </c>
      <c r="H520" s="8" t="s">
        <v>2683</v>
      </c>
      <c r="I520" s="8" t="s">
        <v>1711</v>
      </c>
      <c r="L520" s="8"/>
    </row>
    <row r="521" spans="2:12" x14ac:dyDescent="0.25">
      <c r="B521" s="8" t="s">
        <v>14</v>
      </c>
      <c r="C521" s="8" t="s">
        <v>2684</v>
      </c>
      <c r="D521" s="8" t="s">
        <v>2378</v>
      </c>
      <c r="E521" s="8" t="s">
        <v>1920</v>
      </c>
      <c r="F521" s="8">
        <v>4</v>
      </c>
      <c r="G521" s="15">
        <v>45292</v>
      </c>
      <c r="H521" s="8" t="s">
        <v>2685</v>
      </c>
      <c r="I521" s="8" t="s">
        <v>1700</v>
      </c>
      <c r="L521" s="12" t="s">
        <v>2686</v>
      </c>
    </row>
    <row r="522" spans="2:12" x14ac:dyDescent="0.25">
      <c r="G522" s="15"/>
      <c r="L522" s="12"/>
    </row>
    <row r="523" spans="2:12" x14ac:dyDescent="0.25">
      <c r="G523" s="15"/>
      <c r="L523" s="12"/>
    </row>
    <row r="524" spans="2:12" x14ac:dyDescent="0.25">
      <c r="G524" s="15"/>
      <c r="L524" s="8"/>
    </row>
    <row r="525" spans="2:12" x14ac:dyDescent="0.25">
      <c r="G525" s="15"/>
      <c r="L525" s="8"/>
    </row>
    <row r="526" spans="2:12" x14ac:dyDescent="0.25">
      <c r="G526" s="15"/>
      <c r="L526" s="8"/>
    </row>
    <row r="527" spans="2:12" x14ac:dyDescent="0.25">
      <c r="G527" s="15"/>
      <c r="L527" s="8"/>
    </row>
    <row r="528" spans="2:12" x14ac:dyDescent="0.25">
      <c r="G528" s="15"/>
      <c r="L528" s="8"/>
    </row>
    <row r="529" spans="2:12" x14ac:dyDescent="0.25">
      <c r="G529" s="15"/>
      <c r="L529" s="8"/>
    </row>
    <row r="530" spans="2:12" x14ac:dyDescent="0.25">
      <c r="B530" s="8" t="s">
        <v>47</v>
      </c>
      <c r="C530" s="8" t="s">
        <v>2687</v>
      </c>
      <c r="D530" s="8" t="s">
        <v>1714</v>
      </c>
      <c r="E530" s="8" t="s">
        <v>1885</v>
      </c>
      <c r="F530" s="8">
        <v>2</v>
      </c>
      <c r="G530" s="15">
        <v>45044</v>
      </c>
      <c r="H530" s="8" t="s">
        <v>2688</v>
      </c>
      <c r="I530" s="8" t="s">
        <v>1711</v>
      </c>
      <c r="L530" s="8"/>
    </row>
    <row r="531" spans="2:12" x14ac:dyDescent="0.25">
      <c r="B531" s="8" t="s">
        <v>47</v>
      </c>
      <c r="C531" s="8" t="s">
        <v>2689</v>
      </c>
      <c r="D531" s="8" t="s">
        <v>1802</v>
      </c>
      <c r="E531" s="8" t="s">
        <v>1744</v>
      </c>
      <c r="F531" s="8">
        <v>2</v>
      </c>
      <c r="G531" s="15">
        <v>45044</v>
      </c>
      <c r="H531" s="8" t="s">
        <v>2690</v>
      </c>
      <c r="I531" s="8" t="s">
        <v>1711</v>
      </c>
      <c r="L531" s="8"/>
    </row>
    <row r="532" spans="2:12" x14ac:dyDescent="0.25">
      <c r="G532" s="15"/>
      <c r="L532" s="8"/>
    </row>
    <row r="533" spans="2:12" x14ac:dyDescent="0.25">
      <c r="B533" s="8" t="s">
        <v>14</v>
      </c>
      <c r="C533" s="8" t="s">
        <v>2691</v>
      </c>
      <c r="D533" s="8" t="s">
        <v>1802</v>
      </c>
      <c r="E533" s="8" t="s">
        <v>1744</v>
      </c>
      <c r="F533" s="8">
        <v>2</v>
      </c>
      <c r="G533" s="15">
        <v>45107</v>
      </c>
      <c r="H533" s="8" t="s">
        <v>2692</v>
      </c>
      <c r="I533" s="8" t="s">
        <v>1711</v>
      </c>
      <c r="L533" s="8"/>
    </row>
    <row r="534" spans="2:12" x14ac:dyDescent="0.25">
      <c r="G534" s="15"/>
      <c r="L534" s="8"/>
    </row>
    <row r="535" spans="2:12" x14ac:dyDescent="0.25">
      <c r="B535" s="8" t="s">
        <v>14</v>
      </c>
      <c r="C535" s="8" t="s">
        <v>2691</v>
      </c>
      <c r="D535" s="8" t="s">
        <v>1802</v>
      </c>
      <c r="E535" s="8" t="s">
        <v>1802</v>
      </c>
      <c r="F535" s="8">
        <v>3</v>
      </c>
      <c r="G535" s="15">
        <v>45059</v>
      </c>
      <c r="H535" s="16" t="s">
        <v>2693</v>
      </c>
      <c r="I535" s="8" t="s">
        <v>1711</v>
      </c>
      <c r="L535" s="8"/>
    </row>
    <row r="536" spans="2:12" x14ac:dyDescent="0.25">
      <c r="B536" s="8" t="s">
        <v>159</v>
      </c>
      <c r="C536" s="8" t="s">
        <v>2694</v>
      </c>
      <c r="D536" s="8" t="s">
        <v>1714</v>
      </c>
      <c r="E536" s="8" t="s">
        <v>1885</v>
      </c>
      <c r="F536" s="8">
        <v>1</v>
      </c>
      <c r="G536" s="15">
        <v>45041</v>
      </c>
      <c r="H536" s="8" t="s">
        <v>2695</v>
      </c>
      <c r="I536" s="8" t="s">
        <v>1711</v>
      </c>
      <c r="L536" s="8"/>
    </row>
    <row r="537" spans="2:12" x14ac:dyDescent="0.25">
      <c r="B537" s="8" t="s">
        <v>14</v>
      </c>
      <c r="C537" s="8" t="s">
        <v>2696</v>
      </c>
      <c r="D537" s="8" t="s">
        <v>1718</v>
      </c>
      <c r="E537" s="8" t="s">
        <v>1698</v>
      </c>
      <c r="F537" s="8">
        <v>1</v>
      </c>
      <c r="G537" s="15">
        <v>45050</v>
      </c>
      <c r="H537" s="8" t="s">
        <v>2697</v>
      </c>
      <c r="I537" s="8" t="s">
        <v>1700</v>
      </c>
      <c r="L537" s="8"/>
    </row>
    <row r="538" spans="2:12" x14ac:dyDescent="0.25">
      <c r="G538" s="15"/>
      <c r="L538" s="8"/>
    </row>
    <row r="539" spans="2:12" x14ac:dyDescent="0.25">
      <c r="G539" s="15"/>
      <c r="L539" s="8"/>
    </row>
    <row r="540" spans="2:12" x14ac:dyDescent="0.25">
      <c r="G540" s="15"/>
      <c r="L540" s="8"/>
    </row>
    <row r="541" spans="2:12" x14ac:dyDescent="0.25">
      <c r="B541" s="8" t="s">
        <v>14</v>
      </c>
      <c r="C541" s="8" t="s">
        <v>2698</v>
      </c>
      <c r="D541" s="8" t="s">
        <v>2495</v>
      </c>
      <c r="E541" s="8" t="s">
        <v>2495</v>
      </c>
      <c r="F541" s="8">
        <v>2</v>
      </c>
      <c r="G541" s="15">
        <v>45061</v>
      </c>
      <c r="H541" s="8" t="s">
        <v>2699</v>
      </c>
      <c r="I541" s="8" t="s">
        <v>1711</v>
      </c>
      <c r="L541" s="8"/>
    </row>
    <row r="542" spans="2:12" x14ac:dyDescent="0.25">
      <c r="G542" s="15"/>
      <c r="L542" s="8"/>
    </row>
    <row r="543" spans="2:12" x14ac:dyDescent="0.25">
      <c r="G543" s="15"/>
      <c r="L543" s="84"/>
    </row>
    <row r="544" spans="2:12" x14ac:dyDescent="0.25">
      <c r="B544" s="8" t="s">
        <v>159</v>
      </c>
      <c r="C544" s="8" t="s">
        <v>2700</v>
      </c>
      <c r="D544" s="8" t="s">
        <v>1718</v>
      </c>
      <c r="E544" s="8" t="s">
        <v>2701</v>
      </c>
      <c r="F544" s="8">
        <v>1</v>
      </c>
      <c r="G544" s="15">
        <v>45050</v>
      </c>
      <c r="H544" s="8" t="s">
        <v>2702</v>
      </c>
      <c r="I544" s="8" t="s">
        <v>1700</v>
      </c>
      <c r="L544" s="8"/>
    </row>
    <row r="545" spans="2:12" x14ac:dyDescent="0.25">
      <c r="B545" s="8" t="s">
        <v>159</v>
      </c>
      <c r="C545" s="8" t="s">
        <v>2703</v>
      </c>
      <c r="D545" s="8" t="s">
        <v>1768</v>
      </c>
      <c r="E545" s="8" t="s">
        <v>1920</v>
      </c>
      <c r="F545" s="8">
        <v>1</v>
      </c>
      <c r="G545" s="15">
        <v>45096</v>
      </c>
      <c r="H545" s="8" t="s">
        <v>2704</v>
      </c>
      <c r="I545" s="8" t="s">
        <v>1711</v>
      </c>
    </row>
    <row r="546" spans="2:12" x14ac:dyDescent="0.25">
      <c r="B546" s="8" t="s">
        <v>159</v>
      </c>
      <c r="C546" s="8" t="s">
        <v>2705</v>
      </c>
      <c r="D546" s="8" t="s">
        <v>1714</v>
      </c>
      <c r="E546" s="8" t="s">
        <v>2507</v>
      </c>
      <c r="F546" s="8">
        <v>2</v>
      </c>
      <c r="G546" s="15">
        <v>45061</v>
      </c>
      <c r="H546" s="8" t="s">
        <v>2706</v>
      </c>
      <c r="I546" s="8" t="s">
        <v>1711</v>
      </c>
      <c r="L546" s="8"/>
    </row>
    <row r="547" spans="2:12" x14ac:dyDescent="0.25">
      <c r="G547" s="15"/>
      <c r="L547" s="8"/>
    </row>
    <row r="548" spans="2:12" x14ac:dyDescent="0.25">
      <c r="B548" s="8" t="s">
        <v>159</v>
      </c>
      <c r="C548" s="8" t="s">
        <v>2707</v>
      </c>
      <c r="D548" s="8" t="s">
        <v>1714</v>
      </c>
      <c r="E548" s="8" t="s">
        <v>1865</v>
      </c>
      <c r="F548" s="8">
        <v>1</v>
      </c>
      <c r="G548" s="15">
        <v>45050</v>
      </c>
      <c r="H548" s="8" t="s">
        <v>2708</v>
      </c>
      <c r="I548" s="8" t="s">
        <v>1711</v>
      </c>
      <c r="L548" s="21" t="s">
        <v>2709</v>
      </c>
    </row>
    <row r="549" spans="2:12" x14ac:dyDescent="0.25">
      <c r="B549" s="8" t="s">
        <v>159</v>
      </c>
      <c r="C549" s="8" t="s">
        <v>2710</v>
      </c>
      <c r="D549" s="8" t="s">
        <v>1714</v>
      </c>
      <c r="E549" s="8" t="s">
        <v>2711</v>
      </c>
      <c r="F549" s="8">
        <v>1</v>
      </c>
      <c r="G549" s="15">
        <v>45054</v>
      </c>
      <c r="H549" s="8" t="s">
        <v>2712</v>
      </c>
      <c r="I549" s="8" t="s">
        <v>1711</v>
      </c>
      <c r="L549" s="8"/>
    </row>
    <row r="550" spans="2:12" x14ac:dyDescent="0.25">
      <c r="B550" s="8" t="s">
        <v>110</v>
      </c>
      <c r="C550" s="8" t="s">
        <v>2713</v>
      </c>
      <c r="D550" s="8" t="s">
        <v>1768</v>
      </c>
      <c r="E550" s="8" t="s">
        <v>2714</v>
      </c>
      <c r="F550" s="8">
        <v>2</v>
      </c>
      <c r="G550" s="15">
        <v>45057</v>
      </c>
      <c r="H550" s="8" t="s">
        <v>2715</v>
      </c>
      <c r="I550" s="8" t="s">
        <v>1711</v>
      </c>
      <c r="L550" s="8"/>
    </row>
    <row r="551" spans="2:12" x14ac:dyDescent="0.25">
      <c r="B551" s="8" t="s">
        <v>110</v>
      </c>
      <c r="C551" s="8" t="s">
        <v>2716</v>
      </c>
      <c r="D551" s="8" t="s">
        <v>1714</v>
      </c>
      <c r="E551" s="8" t="s">
        <v>1719</v>
      </c>
      <c r="F551" s="8">
        <v>1</v>
      </c>
      <c r="G551" s="15">
        <v>45042</v>
      </c>
      <c r="H551" s="8" t="s">
        <v>2717</v>
      </c>
      <c r="I551" s="8" t="s">
        <v>1700</v>
      </c>
      <c r="L551" s="8"/>
    </row>
    <row r="552" spans="2:12" x14ac:dyDescent="0.25">
      <c r="G552" s="15"/>
      <c r="L552" s="8"/>
    </row>
    <row r="553" spans="2:12" x14ac:dyDescent="0.25">
      <c r="G553" s="15"/>
      <c r="L553" s="8"/>
    </row>
    <row r="554" spans="2:12" x14ac:dyDescent="0.25">
      <c r="G554" s="15"/>
      <c r="L554" s="8"/>
    </row>
    <row r="555" spans="2:12" x14ac:dyDescent="0.25">
      <c r="B555" s="8" t="s">
        <v>55</v>
      </c>
      <c r="C555" s="8" t="s">
        <v>151</v>
      </c>
      <c r="D555" s="8" t="s">
        <v>1714</v>
      </c>
      <c r="E555" s="8" t="s">
        <v>2718</v>
      </c>
      <c r="F555" s="8">
        <v>3</v>
      </c>
      <c r="G555" s="15">
        <v>45061</v>
      </c>
      <c r="H555" s="8" t="s">
        <v>2719</v>
      </c>
      <c r="I555" s="8" t="s">
        <v>1700</v>
      </c>
      <c r="L555" s="12"/>
    </row>
    <row r="556" spans="2:12" x14ac:dyDescent="0.25">
      <c r="B556" s="8" t="s">
        <v>2720</v>
      </c>
      <c r="C556" s="8" t="s">
        <v>2721</v>
      </c>
      <c r="D556" s="8" t="s">
        <v>1768</v>
      </c>
      <c r="E556" s="8" t="s">
        <v>1920</v>
      </c>
      <c r="F556" s="8">
        <v>2</v>
      </c>
      <c r="G556" s="15">
        <v>45056</v>
      </c>
      <c r="H556" s="8" t="s">
        <v>2722</v>
      </c>
      <c r="I556" s="8" t="s">
        <v>1711</v>
      </c>
      <c r="L556" s="21" t="s">
        <v>2723</v>
      </c>
    </row>
    <row r="557" spans="2:12" x14ac:dyDescent="0.25">
      <c r="G557" s="15"/>
      <c r="L557" s="8"/>
    </row>
    <row r="558" spans="2:12" x14ac:dyDescent="0.25">
      <c r="G558" s="15"/>
      <c r="L558" s="12"/>
    </row>
    <row r="559" spans="2:12" x14ac:dyDescent="0.25">
      <c r="G559" s="15"/>
      <c r="L559" s="8"/>
    </row>
    <row r="560" spans="2:12" x14ac:dyDescent="0.25">
      <c r="G560" s="15"/>
    </row>
    <row r="561" spans="2:12" x14ac:dyDescent="0.25">
      <c r="B561" s="8" t="s">
        <v>14</v>
      </c>
      <c r="C561" s="8" t="s">
        <v>2724</v>
      </c>
      <c r="D561" s="8" t="s">
        <v>1718</v>
      </c>
      <c r="E561" s="8" t="s">
        <v>1865</v>
      </c>
      <c r="F561" s="8">
        <v>3</v>
      </c>
      <c r="G561" s="15">
        <v>45199</v>
      </c>
      <c r="H561" s="8" t="s">
        <v>2725</v>
      </c>
      <c r="I561" s="8" t="s">
        <v>1711</v>
      </c>
    </row>
    <row r="562" spans="2:12" x14ac:dyDescent="0.25">
      <c r="B562" s="8" t="s">
        <v>110</v>
      </c>
      <c r="C562" s="8" t="s">
        <v>2726</v>
      </c>
      <c r="D562" s="8" t="s">
        <v>1869</v>
      </c>
      <c r="E562" s="8" t="s">
        <v>1698</v>
      </c>
      <c r="F562" s="8">
        <v>2</v>
      </c>
      <c r="G562" s="15">
        <v>45077</v>
      </c>
      <c r="H562" s="8" t="s">
        <v>2628</v>
      </c>
      <c r="I562" s="8" t="s">
        <v>1711</v>
      </c>
      <c r="L562" s="8"/>
    </row>
    <row r="563" spans="2:12" x14ac:dyDescent="0.25">
      <c r="G563" s="15"/>
      <c r="L563" s="8"/>
    </row>
    <row r="564" spans="2:12" x14ac:dyDescent="0.25">
      <c r="G564" s="15"/>
    </row>
    <row r="565" spans="2:12" x14ac:dyDescent="0.25">
      <c r="B565" s="8" t="s">
        <v>14</v>
      </c>
      <c r="C565" s="8">
        <v>4015</v>
      </c>
      <c r="D565" s="8" t="s">
        <v>2727</v>
      </c>
      <c r="E565" s="8" t="s">
        <v>1920</v>
      </c>
      <c r="F565" s="8">
        <v>3</v>
      </c>
      <c r="G565" s="15">
        <v>45107</v>
      </c>
      <c r="H565" s="8" t="s">
        <v>2728</v>
      </c>
      <c r="I565" s="8" t="s">
        <v>1711</v>
      </c>
      <c r="L565" s="21" t="s">
        <v>2729</v>
      </c>
    </row>
    <row r="566" spans="2:12" x14ac:dyDescent="0.25">
      <c r="G566" s="15"/>
    </row>
    <row r="567" spans="2:12" x14ac:dyDescent="0.25">
      <c r="B567" s="8" t="s">
        <v>14</v>
      </c>
      <c r="C567" s="8">
        <v>3398</v>
      </c>
      <c r="D567" s="8" t="s">
        <v>2583</v>
      </c>
      <c r="E567" s="8" t="s">
        <v>2730</v>
      </c>
      <c r="F567" s="8">
        <v>3</v>
      </c>
      <c r="G567" s="15">
        <v>45076</v>
      </c>
      <c r="H567" s="8" t="s">
        <v>2731</v>
      </c>
      <c r="I567" s="8" t="s">
        <v>1711</v>
      </c>
      <c r="L567" s="8"/>
    </row>
    <row r="568" spans="2:12" x14ac:dyDescent="0.25">
      <c r="G568" s="15"/>
    </row>
    <row r="569" spans="2:12" x14ac:dyDescent="0.25">
      <c r="B569" s="8" t="s">
        <v>14</v>
      </c>
      <c r="C569" s="8" t="s">
        <v>2732</v>
      </c>
      <c r="D569" s="8" t="s">
        <v>1802</v>
      </c>
      <c r="E569" s="8" t="s">
        <v>2733</v>
      </c>
      <c r="F569" s="8">
        <v>2</v>
      </c>
      <c r="G569" s="15">
        <v>45092</v>
      </c>
      <c r="H569" s="8" t="s">
        <v>2734</v>
      </c>
      <c r="I569" s="8" t="s">
        <v>1711</v>
      </c>
      <c r="L569" s="84" t="s">
        <v>2729</v>
      </c>
    </row>
    <row r="570" spans="2:12" x14ac:dyDescent="0.25">
      <c r="G570" s="15"/>
      <c r="L570" s="8"/>
    </row>
    <row r="571" spans="2:12" x14ac:dyDescent="0.25">
      <c r="G571" s="15"/>
      <c r="L571" s="12"/>
    </row>
    <row r="572" spans="2:12" x14ac:dyDescent="0.25">
      <c r="G572" s="15"/>
      <c r="L572" s="8"/>
    </row>
    <row r="573" spans="2:12" x14ac:dyDescent="0.25">
      <c r="G573" s="15"/>
      <c r="L573" s="8"/>
    </row>
    <row r="574" spans="2:12" x14ac:dyDescent="0.25">
      <c r="G574" s="15"/>
      <c r="L574" s="12"/>
    </row>
    <row r="575" spans="2:12" x14ac:dyDescent="0.25">
      <c r="G575" s="15"/>
      <c r="L575" s="8"/>
    </row>
    <row r="576" spans="2:12" x14ac:dyDescent="0.25">
      <c r="B576" s="8" t="s">
        <v>1783</v>
      </c>
      <c r="C576" s="8" t="s">
        <v>2735</v>
      </c>
      <c r="D576" s="8" t="s">
        <v>1802</v>
      </c>
      <c r="E576" s="8" t="s">
        <v>1885</v>
      </c>
      <c r="F576" s="8">
        <v>1</v>
      </c>
      <c r="G576" s="15">
        <v>45118</v>
      </c>
      <c r="H576" s="8" t="s">
        <v>2736</v>
      </c>
      <c r="I576" s="8" t="s">
        <v>1711</v>
      </c>
      <c r="L576" s="8" t="s">
        <v>2737</v>
      </c>
    </row>
    <row r="577" spans="2:12" x14ac:dyDescent="0.25">
      <c r="B577" s="8" t="s">
        <v>14</v>
      </c>
      <c r="C577" s="8">
        <v>3374</v>
      </c>
      <c r="D577" s="8" t="s">
        <v>1768</v>
      </c>
      <c r="E577" s="8" t="s">
        <v>1920</v>
      </c>
      <c r="F577" s="8">
        <v>3</v>
      </c>
      <c r="G577" s="15">
        <v>45199</v>
      </c>
      <c r="H577" s="8" t="s">
        <v>2738</v>
      </c>
      <c r="I577" s="8" t="s">
        <v>1700</v>
      </c>
      <c r="L577" s="8" t="s">
        <v>2739</v>
      </c>
    </row>
    <row r="578" spans="2:12" x14ac:dyDescent="0.25">
      <c r="B578" s="8" t="s">
        <v>14</v>
      </c>
      <c r="C578" s="8">
        <v>3374</v>
      </c>
      <c r="D578" s="8" t="s">
        <v>1768</v>
      </c>
      <c r="E578" s="8" t="s">
        <v>2310</v>
      </c>
      <c r="F578" s="8">
        <v>3</v>
      </c>
      <c r="G578" s="15">
        <v>45199</v>
      </c>
      <c r="H578" s="8" t="s">
        <v>2740</v>
      </c>
      <c r="I578" s="8" t="s">
        <v>1700</v>
      </c>
      <c r="L578" s="8"/>
    </row>
  </sheetData>
  <conditionalFormatting sqref="G3:G383 G385:G449 G451:G467 G469:G472 G474 G476 G479:G481 G483:G659">
    <cfRule type="containsBlanks" dxfId="62" priority="41" stopIfTrue="1">
      <formula>LEN(TRIM(G3))=0</formula>
    </cfRule>
    <cfRule type="cellIs" dxfId="61" priority="42" operator="lessThan">
      <formula>TODAY()</formula>
    </cfRule>
    <cfRule type="cellIs" dxfId="60" priority="43" operator="equal">
      <formula>TODAY()</formula>
    </cfRule>
    <cfRule type="timePeriod" dxfId="59" priority="44" timePeriod="thisWeek">
      <formula>AND(TODAY()-ROUNDDOWN(G3,0)&lt;=WEEKDAY(TODAY())-1,ROUNDDOWN(G3,0)-TODAY()&lt;=7-WEEKDAY(TODAY()))</formula>
    </cfRule>
    <cfRule type="timePeriod" dxfId="58" priority="45" timePeriod="nextWeek">
      <formula>AND(ROUNDDOWN(G3,0)-TODAY()&gt;(7-WEEKDAY(TODAY())),ROUNDDOWN(G3,0)-TODAY()&lt;(15-WEEKDAY(TODAY())))</formula>
    </cfRule>
  </conditionalFormatting>
  <conditionalFormatting sqref="G384">
    <cfRule type="cellIs" dxfId="57" priority="37" operator="equal">
      <formula>"Archive"</formula>
    </cfRule>
    <cfRule type="cellIs" dxfId="56" priority="36" operator="equal">
      <formula>"In Progress"</formula>
    </cfRule>
    <cfRule type="cellIs" dxfId="55" priority="38" operator="equal">
      <formula>"Open"</formula>
    </cfRule>
    <cfRule type="cellIs" dxfId="54" priority="39" operator="equal">
      <formula>"Done"</formula>
    </cfRule>
  </conditionalFormatting>
  <conditionalFormatting sqref="G429 G440">
    <cfRule type="cellIs" dxfId="52" priority="46" operator="lessThan">
      <formula>TODAY()</formula>
    </cfRule>
  </conditionalFormatting>
  <conditionalFormatting sqref="G450">
    <cfRule type="cellIs" dxfId="50" priority="33" operator="equal">
      <formula>"Open"</formula>
    </cfRule>
    <cfRule type="cellIs" dxfId="49" priority="31" operator="equal">
      <formula>"In Progress"</formula>
    </cfRule>
    <cfRule type="cellIs" dxfId="48" priority="32" operator="equal">
      <formula>"Archive"</formula>
    </cfRule>
    <cfRule type="cellIs" dxfId="47" priority="34" operator="equal">
      <formula>"Done"</formula>
    </cfRule>
  </conditionalFormatting>
  <conditionalFormatting sqref="G468">
    <cfRule type="cellIs" dxfId="46" priority="28" operator="equal">
      <formula>"Open"</formula>
    </cfRule>
    <cfRule type="cellIs" dxfId="45" priority="29" operator="equal">
      <formula>"Done"</formula>
    </cfRule>
    <cfRule type="cellIs" dxfId="43" priority="26" operator="equal">
      <formula>"In Progress"</formula>
    </cfRule>
    <cfRule type="cellIs" dxfId="42" priority="27" operator="equal">
      <formula>"Archive"</formula>
    </cfRule>
  </conditionalFormatting>
  <conditionalFormatting sqref="G473">
    <cfRule type="cellIs" dxfId="41" priority="16" operator="equal">
      <formula>"In Progress"</formula>
    </cfRule>
    <cfRule type="cellIs" dxfId="40" priority="17" operator="equal">
      <formula>"Archive"</formula>
    </cfRule>
    <cfRule type="cellIs" dxfId="39" priority="18" operator="equal">
      <formula>"Open"</formula>
    </cfRule>
    <cfRule type="cellIs" dxfId="38" priority="19" operator="equal">
      <formula>"Done"</formula>
    </cfRule>
  </conditionalFormatting>
  <conditionalFormatting sqref="G477:G478">
    <cfRule type="cellIs" dxfId="35" priority="6" operator="equal">
      <formula>"In Progress"</formula>
    </cfRule>
    <cfRule type="cellIs" dxfId="34" priority="7" operator="equal">
      <formula>"Archive"</formula>
    </cfRule>
    <cfRule type="cellIs" dxfId="33" priority="8" operator="equal">
      <formula>"Open"</formula>
    </cfRule>
    <cfRule type="cellIs" dxfId="32" priority="9" operator="equal">
      <formula>"Done"</formula>
    </cfRule>
  </conditionalFormatting>
  <conditionalFormatting sqref="G482">
    <cfRule type="cellIs" dxfId="31" priority="3" operator="equal">
      <formula>"Open"</formula>
    </cfRule>
    <cfRule type="cellIs" dxfId="30" priority="2" operator="equal">
      <formula>"Archive"</formula>
    </cfRule>
    <cfRule type="cellIs" dxfId="29" priority="1" operator="equal">
      <formula>"In Progress"</formula>
    </cfRule>
    <cfRule type="cellIs" dxfId="27" priority="4" operator="equal">
      <formula>"Done"</formula>
    </cfRule>
  </conditionalFormatting>
  <conditionalFormatting sqref="I3:I659">
    <cfRule type="cellIs" dxfId="25" priority="51" operator="equal">
      <formula>"In Progress"</formula>
    </cfRule>
    <cfRule type="cellIs" dxfId="24" priority="52" operator="equal">
      <formula>"Archive"</formula>
    </cfRule>
    <cfRule type="cellIs" dxfId="23" priority="53" operator="equal">
      <formula>"Open"</formula>
    </cfRule>
    <cfRule type="cellIs" dxfId="22" priority="54" operator="equal">
      <formula>"Done"</formula>
    </cfRule>
  </conditionalFormatting>
  <conditionalFormatting sqref="I278">
    <cfRule type="cellIs" dxfId="21" priority="47" operator="equal">
      <formula>"Archive"</formula>
    </cfRule>
    <cfRule type="cellIs" dxfId="20" priority="48" operator="equal">
      <formula>"Open"</formula>
    </cfRule>
    <cfRule type="cellIs" dxfId="19" priority="49" operator="equal">
      <formula>"Done"</formula>
    </cfRule>
  </conditionalFormatting>
  <dataValidations count="2">
    <dataValidation type="list" allowBlank="1" showInputMessage="1" showErrorMessage="1" sqref="J3:K5" xr:uid="{BC4C1F08-5DA8-4B51-AFBB-1496CDB8ABA5}">
      <formula1>"Done,Open,External Dependency,Internal Dependency,Archive"</formula1>
    </dataValidation>
    <dataValidation type="list" allowBlank="1" showInputMessage="1" showErrorMessage="1" sqref="G384 G450 G468 G473 G477:G478 G482 I1:I1048576" xr:uid="{D13F2EF8-E7FF-47E2-B8B6-C9635B94CE32}">
      <formula1>"Done,Open,External Dependency,Internal Dependency,Archive,In Progress"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0648C2D8-E446-41FF-90B9-7D03364FADC2}">
            <xm:f>NOT(ISERROR(SEARCH("Dependency",G384)))</xm:f>
            <xm:f>"Dependency"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G384</xm:sqref>
        </x14:conditionalFormatting>
        <x14:conditionalFormatting xmlns:xm="http://schemas.microsoft.com/office/excel/2006/main">
          <x14:cfRule type="containsText" priority="35" operator="containsText" id="{F08F4C97-8718-45FB-AB4B-3C46513396C8}">
            <xm:f>NOT(ISERROR(SEARCH("Dependency",G450)))</xm:f>
            <xm:f>"Dependency"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G450</xm:sqref>
        </x14:conditionalFormatting>
        <x14:conditionalFormatting xmlns:xm="http://schemas.microsoft.com/office/excel/2006/main">
          <x14:cfRule type="containsText" priority="30" operator="containsText" id="{DAE06AC2-2922-412B-ADCA-3AADEB1AEBBF}">
            <xm:f>NOT(ISERROR(SEARCH("Dependency",G468)))</xm:f>
            <xm:f>"Dependency"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G468</xm:sqref>
        </x14:conditionalFormatting>
        <x14:conditionalFormatting xmlns:xm="http://schemas.microsoft.com/office/excel/2006/main">
          <x14:cfRule type="containsText" priority="20" operator="containsText" id="{76EF4D84-04CF-4975-BB3C-99FE951B73F9}">
            <xm:f>NOT(ISERROR(SEARCH("Dependency",G473)))</xm:f>
            <xm:f>"Dependency"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G473</xm:sqref>
        </x14:conditionalFormatting>
        <x14:conditionalFormatting xmlns:xm="http://schemas.microsoft.com/office/excel/2006/main">
          <x14:cfRule type="containsText" priority="10" operator="containsText" id="{696EAD99-AB1C-4273-A8C1-FEE1BC481CB4}">
            <xm:f>NOT(ISERROR(SEARCH("Dependency",G477)))</xm:f>
            <xm:f>"Dependency"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G477:G478</xm:sqref>
        </x14:conditionalFormatting>
        <x14:conditionalFormatting xmlns:xm="http://schemas.microsoft.com/office/excel/2006/main">
          <x14:cfRule type="containsText" priority="5" operator="containsText" id="{0D432C01-DC79-4966-AD3C-E47C453F03CC}">
            <xm:f>NOT(ISERROR(SEARCH("Dependency",G482)))</xm:f>
            <xm:f>"Dependency"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G482</xm:sqref>
        </x14:conditionalFormatting>
        <x14:conditionalFormatting xmlns:xm="http://schemas.microsoft.com/office/excel/2006/main">
          <x14:cfRule type="containsText" priority="55" operator="containsText" id="{A7E9B83C-4D1E-43BC-8F32-A4662E9D2390}">
            <xm:f>NOT(ISERROR(SEARCH("Dependency",I3)))</xm:f>
            <xm:f>"Dependency"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I3:I659</xm:sqref>
        </x14:conditionalFormatting>
        <x14:conditionalFormatting xmlns:xm="http://schemas.microsoft.com/office/excel/2006/main">
          <x14:cfRule type="containsText" priority="50" operator="containsText" id="{314F81D1-5D08-4966-85A9-AA284A2C0699}">
            <xm:f>NOT(ISERROR(SEARCH("Dependency",I278)))</xm:f>
            <xm:f>"Dependency"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I278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D732-C62A-49E9-B26A-E04EDD7A5502}">
  <sheetPr codeName="Sheet3">
    <pageSetUpPr fitToPage="1"/>
  </sheetPr>
  <dimension ref="A1:O803"/>
  <sheetViews>
    <sheetView tabSelected="1" topLeftCell="A776" zoomScale="85" zoomScaleNormal="85" workbookViewId="0">
      <selection activeCell="A804" sqref="A804"/>
    </sheetView>
  </sheetViews>
  <sheetFormatPr defaultRowHeight="15" x14ac:dyDescent="0.25"/>
  <cols>
    <col min="1" max="2" width="17.140625" customWidth="1"/>
    <col min="3" max="3" width="24.85546875" customWidth="1"/>
    <col min="4" max="4" width="18.140625" customWidth="1"/>
    <col min="5" max="5" width="21" bestFit="1" customWidth="1"/>
    <col min="6" max="6" width="57.85546875" customWidth="1"/>
    <col min="7" max="7" width="11.85546875" customWidth="1"/>
    <col min="8" max="8" width="11.28515625" customWidth="1"/>
    <col min="9" max="11" width="12" customWidth="1"/>
    <col min="12" max="12" width="12.28515625" customWidth="1"/>
    <col min="13" max="13" width="11.140625" customWidth="1"/>
    <col min="14" max="14" width="18" bestFit="1" customWidth="1"/>
    <col min="15" max="15" width="36.5703125" bestFit="1" customWidth="1"/>
  </cols>
  <sheetData>
    <row r="1" spans="1:15" x14ac:dyDescent="0.25">
      <c r="A1" s="8" t="s">
        <v>2741</v>
      </c>
      <c r="B1" t="s">
        <v>2742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2743</v>
      </c>
      <c r="J1" t="s">
        <v>2744</v>
      </c>
      <c r="K1" t="s">
        <v>9</v>
      </c>
      <c r="L1" t="s">
        <v>2745</v>
      </c>
      <c r="M1" t="s">
        <v>2746</v>
      </c>
      <c r="N1" t="s">
        <v>2747</v>
      </c>
      <c r="O1" t="s">
        <v>1809</v>
      </c>
    </row>
    <row r="2" spans="1:15" x14ac:dyDescent="0.25">
      <c r="A2" s="8">
        <v>359</v>
      </c>
      <c r="B2" t="s">
        <v>2748</v>
      </c>
      <c r="C2" t="s">
        <v>13</v>
      </c>
      <c r="D2" t="s">
        <v>47</v>
      </c>
      <c r="E2" t="s">
        <v>48</v>
      </c>
      <c r="F2" t="s">
        <v>2749</v>
      </c>
      <c r="G2" s="1">
        <v>44838</v>
      </c>
      <c r="H2" s="1"/>
      <c r="I2" t="s">
        <v>1737</v>
      </c>
      <c r="J2" t="s">
        <v>29</v>
      </c>
      <c r="K2" t="s">
        <v>29</v>
      </c>
      <c r="L2" t="s">
        <v>2750</v>
      </c>
      <c r="M2" s="74">
        <v>1</v>
      </c>
      <c r="N2" s="1">
        <v>44841</v>
      </c>
    </row>
    <row r="3" spans="1:15" x14ac:dyDescent="0.25">
      <c r="A3" s="8">
        <v>2125</v>
      </c>
      <c r="C3" t="s">
        <v>325</v>
      </c>
      <c r="D3" t="s">
        <v>14</v>
      </c>
      <c r="F3" t="s">
        <v>2751</v>
      </c>
      <c r="G3" s="1" t="s">
        <v>2752</v>
      </c>
      <c r="H3" s="1"/>
      <c r="J3" t="s">
        <v>29</v>
      </c>
      <c r="M3" s="74"/>
      <c r="N3" s="1"/>
    </row>
    <row r="4" spans="1:15" x14ac:dyDescent="0.25">
      <c r="A4" s="8">
        <v>3289</v>
      </c>
      <c r="C4" t="s">
        <v>325</v>
      </c>
      <c r="D4" t="s">
        <v>2753</v>
      </c>
      <c r="F4" t="s">
        <v>2754</v>
      </c>
      <c r="G4" s="1">
        <v>44456</v>
      </c>
      <c r="H4" s="1"/>
      <c r="J4" t="s">
        <v>29</v>
      </c>
      <c r="M4" s="74"/>
      <c r="N4" s="1"/>
    </row>
    <row r="5" spans="1:15" x14ac:dyDescent="0.25">
      <c r="A5" s="8">
        <v>3352</v>
      </c>
      <c r="C5" t="s">
        <v>24</v>
      </c>
      <c r="D5" t="s">
        <v>14</v>
      </c>
      <c r="F5" t="s">
        <v>2755</v>
      </c>
      <c r="G5" s="1">
        <v>44013</v>
      </c>
      <c r="H5" s="1"/>
      <c r="J5" t="s">
        <v>29</v>
      </c>
      <c r="M5" s="74"/>
      <c r="N5" s="1"/>
    </row>
    <row r="6" spans="1:15" x14ac:dyDescent="0.25">
      <c r="A6" s="8">
        <v>3374</v>
      </c>
      <c r="C6" t="s">
        <v>2756</v>
      </c>
      <c r="D6" t="s">
        <v>14</v>
      </c>
      <c r="F6" t="s">
        <v>2757</v>
      </c>
      <c r="G6" s="1" t="s">
        <v>2469</v>
      </c>
      <c r="H6" s="1"/>
      <c r="J6" t="s">
        <v>29</v>
      </c>
      <c r="M6" s="74"/>
      <c r="N6" s="1"/>
    </row>
    <row r="7" spans="1:15" x14ac:dyDescent="0.25">
      <c r="A7" s="8">
        <v>3398</v>
      </c>
      <c r="C7" t="s">
        <v>325</v>
      </c>
      <c r="D7" t="s">
        <v>14</v>
      </c>
      <c r="F7" t="s">
        <v>2504</v>
      </c>
      <c r="G7" s="1">
        <v>44272</v>
      </c>
      <c r="H7" s="1"/>
      <c r="J7" t="s">
        <v>29</v>
      </c>
      <c r="M7" s="74"/>
      <c r="N7" s="1"/>
    </row>
    <row r="8" spans="1:15" x14ac:dyDescent="0.25">
      <c r="A8" s="8">
        <v>3400</v>
      </c>
      <c r="C8" t="s">
        <v>220</v>
      </c>
      <c r="D8" t="s">
        <v>253</v>
      </c>
      <c r="F8" t="s">
        <v>2758</v>
      </c>
      <c r="G8" s="1">
        <v>44277</v>
      </c>
      <c r="H8" s="1"/>
      <c r="J8" t="s">
        <v>29</v>
      </c>
      <c r="M8" s="74"/>
      <c r="N8" s="1"/>
    </row>
    <row r="9" spans="1:15" x14ac:dyDescent="0.25">
      <c r="A9" s="8">
        <v>3401</v>
      </c>
      <c r="C9" t="s">
        <v>325</v>
      </c>
      <c r="D9" t="s">
        <v>2759</v>
      </c>
      <c r="F9" t="s">
        <v>2760</v>
      </c>
      <c r="G9" s="1">
        <v>44277</v>
      </c>
      <c r="H9" s="1"/>
      <c r="J9" t="s">
        <v>29</v>
      </c>
      <c r="M9" s="74"/>
      <c r="N9" s="1"/>
    </row>
    <row r="10" spans="1:15" x14ac:dyDescent="0.25">
      <c r="A10" s="8">
        <v>3402</v>
      </c>
      <c r="C10" t="s">
        <v>704</v>
      </c>
      <c r="D10" t="s">
        <v>78</v>
      </c>
      <c r="F10" t="s">
        <v>2761</v>
      </c>
      <c r="G10" s="1">
        <v>44284</v>
      </c>
      <c r="H10" s="1"/>
      <c r="I10" t="s">
        <v>2762</v>
      </c>
      <c r="J10" t="s">
        <v>29</v>
      </c>
      <c r="K10" t="s">
        <v>29</v>
      </c>
      <c r="M10" s="74"/>
      <c r="N10" s="1"/>
    </row>
    <row r="11" spans="1:15" x14ac:dyDescent="0.25">
      <c r="A11" s="8">
        <v>3403</v>
      </c>
      <c r="C11" t="s">
        <v>2763</v>
      </c>
      <c r="D11" t="s">
        <v>253</v>
      </c>
      <c r="F11" t="s">
        <v>2764</v>
      </c>
      <c r="G11" s="1">
        <v>44285</v>
      </c>
      <c r="H11" s="1"/>
      <c r="J11" t="s">
        <v>29</v>
      </c>
      <c r="M11" s="74"/>
      <c r="N11" s="1"/>
    </row>
    <row r="12" spans="1:15" x14ac:dyDescent="0.25">
      <c r="A12" s="8">
        <v>3404</v>
      </c>
      <c r="C12" t="s">
        <v>24</v>
      </c>
      <c r="D12" t="s">
        <v>2765</v>
      </c>
      <c r="F12" t="s">
        <v>2766</v>
      </c>
      <c r="G12" s="1">
        <v>44288</v>
      </c>
      <c r="H12" s="1"/>
      <c r="J12" t="s">
        <v>29</v>
      </c>
      <c r="M12" s="74"/>
      <c r="N12" s="1"/>
    </row>
    <row r="13" spans="1:15" x14ac:dyDescent="0.25">
      <c r="A13" s="8">
        <v>3405</v>
      </c>
      <c r="C13" t="s">
        <v>13</v>
      </c>
      <c r="D13" t="s">
        <v>411</v>
      </c>
      <c r="F13" t="s">
        <v>2767</v>
      </c>
      <c r="G13" s="1">
        <v>44288</v>
      </c>
      <c r="H13" s="1"/>
      <c r="J13" t="s">
        <v>29</v>
      </c>
      <c r="M13" s="74"/>
      <c r="N13" s="1"/>
    </row>
    <row r="14" spans="1:15" x14ac:dyDescent="0.25">
      <c r="A14" s="8">
        <v>3406</v>
      </c>
      <c r="C14" t="s">
        <v>220</v>
      </c>
      <c r="G14" s="1">
        <v>44292</v>
      </c>
      <c r="H14" s="1"/>
      <c r="J14" t="s">
        <v>18</v>
      </c>
      <c r="M14" s="74"/>
      <c r="N14" s="1"/>
    </row>
    <row r="15" spans="1:15" x14ac:dyDescent="0.25">
      <c r="A15" s="8">
        <v>3407</v>
      </c>
      <c r="C15" t="s">
        <v>24</v>
      </c>
      <c r="D15" t="s">
        <v>253</v>
      </c>
      <c r="F15" t="s">
        <v>2768</v>
      </c>
      <c r="G15" s="1">
        <v>44300</v>
      </c>
      <c r="H15" s="1"/>
      <c r="J15" t="s">
        <v>29</v>
      </c>
      <c r="L15" t="s">
        <v>2769</v>
      </c>
      <c r="M15" s="74"/>
      <c r="N15" s="1"/>
    </row>
    <row r="16" spans="1:15" x14ac:dyDescent="0.25">
      <c r="A16" s="8">
        <v>3408</v>
      </c>
      <c r="C16" t="s">
        <v>24</v>
      </c>
      <c r="D16" t="s">
        <v>163</v>
      </c>
      <c r="F16" t="s">
        <v>2770</v>
      </c>
      <c r="G16" s="1">
        <v>44302</v>
      </c>
      <c r="H16" s="1"/>
      <c r="J16" t="s">
        <v>29</v>
      </c>
      <c r="L16" t="s">
        <v>2771</v>
      </c>
      <c r="M16" s="74"/>
      <c r="N16" s="1"/>
    </row>
    <row r="17" spans="1:14" x14ac:dyDescent="0.25">
      <c r="A17" s="8">
        <v>3409</v>
      </c>
      <c r="C17" t="s">
        <v>325</v>
      </c>
      <c r="D17" t="s">
        <v>253</v>
      </c>
      <c r="F17" t="s">
        <v>2772</v>
      </c>
      <c r="G17" s="1">
        <v>44302</v>
      </c>
      <c r="H17" s="1"/>
      <c r="J17" t="s">
        <v>29</v>
      </c>
      <c r="L17" t="s">
        <v>2773</v>
      </c>
      <c r="M17" s="74"/>
      <c r="N17" s="1"/>
    </row>
    <row r="18" spans="1:14" x14ac:dyDescent="0.25">
      <c r="A18" s="8">
        <v>3410</v>
      </c>
      <c r="C18" t="s">
        <v>325</v>
      </c>
      <c r="D18" t="s">
        <v>411</v>
      </c>
      <c r="F18" t="s">
        <v>2774</v>
      </c>
      <c r="G18" s="1">
        <v>44306</v>
      </c>
      <c r="H18" s="1"/>
      <c r="J18" t="s">
        <v>29</v>
      </c>
      <c r="M18" s="74"/>
      <c r="N18" s="1"/>
    </row>
    <row r="19" spans="1:14" x14ac:dyDescent="0.25">
      <c r="A19" s="8">
        <v>3411</v>
      </c>
      <c r="C19" t="s">
        <v>13</v>
      </c>
      <c r="D19" t="s">
        <v>243</v>
      </c>
      <c r="F19" t="s">
        <v>2775</v>
      </c>
      <c r="G19" s="1">
        <v>44307</v>
      </c>
      <c r="H19" s="1"/>
      <c r="J19" t="s">
        <v>29</v>
      </c>
      <c r="M19" s="74"/>
      <c r="N19" s="1"/>
    </row>
    <row r="20" spans="1:14" x14ac:dyDescent="0.25">
      <c r="A20" s="8">
        <v>3412</v>
      </c>
      <c r="C20" t="s">
        <v>135</v>
      </c>
      <c r="D20" t="s">
        <v>2776</v>
      </c>
      <c r="F20" t="s">
        <v>2777</v>
      </c>
      <c r="G20" s="1">
        <v>44316</v>
      </c>
      <c r="H20" s="1"/>
      <c r="I20" t="s">
        <v>2762</v>
      </c>
      <c r="J20" t="s">
        <v>18</v>
      </c>
      <c r="M20" s="74"/>
      <c r="N20" s="1"/>
    </row>
    <row r="21" spans="1:14" x14ac:dyDescent="0.25">
      <c r="A21" s="8">
        <v>3413</v>
      </c>
      <c r="C21" t="s">
        <v>13</v>
      </c>
      <c r="D21" t="s">
        <v>104</v>
      </c>
      <c r="F21" t="s">
        <v>2778</v>
      </c>
      <c r="G21" s="1">
        <v>44322</v>
      </c>
      <c r="H21" s="1"/>
      <c r="J21" t="s">
        <v>29</v>
      </c>
      <c r="M21" s="74"/>
      <c r="N21" s="1"/>
    </row>
    <row r="22" spans="1:14" x14ac:dyDescent="0.25">
      <c r="A22" s="8">
        <v>3414</v>
      </c>
      <c r="D22" t="s">
        <v>479</v>
      </c>
      <c r="F22" t="s">
        <v>2779</v>
      </c>
      <c r="G22" s="1">
        <v>44328</v>
      </c>
      <c r="H22" s="1"/>
      <c r="J22" t="s">
        <v>29</v>
      </c>
      <c r="M22" s="74"/>
      <c r="N22" s="1"/>
    </row>
    <row r="23" spans="1:14" x14ac:dyDescent="0.25">
      <c r="A23" s="8">
        <v>3415</v>
      </c>
      <c r="C23" t="s">
        <v>2780</v>
      </c>
      <c r="D23" t="s">
        <v>1783</v>
      </c>
      <c r="F23" t="s">
        <v>2781</v>
      </c>
      <c r="G23" s="1">
        <v>44335</v>
      </c>
      <c r="H23" s="1"/>
      <c r="J23" t="s">
        <v>29</v>
      </c>
      <c r="M23" s="74"/>
      <c r="N23" s="1"/>
    </row>
    <row r="24" spans="1:14" x14ac:dyDescent="0.25">
      <c r="A24" s="8">
        <v>3416</v>
      </c>
      <c r="C24" t="s">
        <v>13</v>
      </c>
      <c r="D24" t="s">
        <v>310</v>
      </c>
      <c r="F24" t="s">
        <v>2782</v>
      </c>
      <c r="G24" s="1">
        <v>44398</v>
      </c>
      <c r="H24" s="1"/>
      <c r="J24" t="s">
        <v>18</v>
      </c>
      <c r="M24" s="74"/>
      <c r="N24" s="1"/>
    </row>
    <row r="25" spans="1:14" x14ac:dyDescent="0.25">
      <c r="A25" s="8">
        <v>3417</v>
      </c>
      <c r="C25" t="s">
        <v>13</v>
      </c>
      <c r="D25" t="s">
        <v>243</v>
      </c>
      <c r="F25" t="s">
        <v>2783</v>
      </c>
      <c r="G25" s="1">
        <v>44337</v>
      </c>
      <c r="H25" s="1"/>
      <c r="J25" t="s">
        <v>29</v>
      </c>
      <c r="M25" s="74"/>
      <c r="N25" s="1"/>
    </row>
    <row r="26" spans="1:14" x14ac:dyDescent="0.25">
      <c r="A26" s="8">
        <v>3418</v>
      </c>
      <c r="C26" t="s">
        <v>325</v>
      </c>
      <c r="D26" t="s">
        <v>163</v>
      </c>
      <c r="F26" t="s">
        <v>2784</v>
      </c>
      <c r="G26" s="1">
        <v>44337</v>
      </c>
      <c r="H26" s="1"/>
      <c r="J26" t="s">
        <v>18</v>
      </c>
      <c r="M26" s="74"/>
      <c r="N26" s="1"/>
    </row>
    <row r="27" spans="1:14" x14ac:dyDescent="0.25">
      <c r="A27" s="8">
        <v>3419</v>
      </c>
      <c r="C27" t="s">
        <v>2785</v>
      </c>
      <c r="D27" t="s">
        <v>253</v>
      </c>
      <c r="F27" t="s">
        <v>2786</v>
      </c>
      <c r="G27" s="1">
        <v>44341</v>
      </c>
      <c r="H27" s="1"/>
      <c r="J27" t="s">
        <v>29</v>
      </c>
      <c r="L27" t="s">
        <v>2787</v>
      </c>
      <c r="M27" s="74"/>
      <c r="N27" s="1"/>
    </row>
    <row r="28" spans="1:14" x14ac:dyDescent="0.25">
      <c r="A28" s="8">
        <v>3420</v>
      </c>
      <c r="C28" t="s">
        <v>2785</v>
      </c>
      <c r="D28" t="s">
        <v>2788</v>
      </c>
      <c r="F28" t="s">
        <v>2789</v>
      </c>
      <c r="G28" s="1">
        <v>44342</v>
      </c>
      <c r="H28" s="1"/>
      <c r="J28" t="s">
        <v>29</v>
      </c>
      <c r="M28" s="74"/>
      <c r="N28" s="1"/>
    </row>
    <row r="29" spans="1:14" x14ac:dyDescent="0.25">
      <c r="A29" s="8">
        <v>3421</v>
      </c>
      <c r="C29" t="s">
        <v>2790</v>
      </c>
      <c r="D29" t="s">
        <v>78</v>
      </c>
      <c r="F29" t="s">
        <v>2791</v>
      </c>
      <c r="G29" s="1">
        <v>44342</v>
      </c>
      <c r="H29" s="1"/>
      <c r="I29" t="s">
        <v>2762</v>
      </c>
      <c r="J29" t="s">
        <v>18</v>
      </c>
      <c r="M29" s="74"/>
      <c r="N29" s="1"/>
    </row>
    <row r="30" spans="1:14" x14ac:dyDescent="0.25">
      <c r="A30" s="8">
        <v>3422</v>
      </c>
      <c r="C30" t="s">
        <v>2792</v>
      </c>
      <c r="D30" t="s">
        <v>411</v>
      </c>
      <c r="F30" t="s">
        <v>2793</v>
      </c>
      <c r="G30" s="1">
        <v>44357</v>
      </c>
      <c r="H30" s="1"/>
      <c r="J30" t="s">
        <v>29</v>
      </c>
      <c r="M30" s="74"/>
      <c r="N30" s="1"/>
    </row>
    <row r="31" spans="1:14" x14ac:dyDescent="0.25">
      <c r="A31" s="8">
        <v>3423</v>
      </c>
      <c r="D31" t="s">
        <v>1695</v>
      </c>
      <c r="F31" t="s">
        <v>2794</v>
      </c>
      <c r="G31" s="1">
        <v>44361</v>
      </c>
      <c r="H31" s="1"/>
      <c r="J31" t="s">
        <v>18</v>
      </c>
      <c r="K31" t="s">
        <v>29</v>
      </c>
      <c r="L31" t="s">
        <v>2795</v>
      </c>
      <c r="M31" s="74"/>
      <c r="N31" s="1"/>
    </row>
    <row r="32" spans="1:14" x14ac:dyDescent="0.25">
      <c r="A32" s="8">
        <v>3424</v>
      </c>
      <c r="C32" t="s">
        <v>2796</v>
      </c>
      <c r="D32" t="s">
        <v>1783</v>
      </c>
      <c r="F32" t="s">
        <v>2797</v>
      </c>
      <c r="G32" s="1">
        <v>44369</v>
      </c>
      <c r="H32" s="1"/>
      <c r="J32" t="s">
        <v>18</v>
      </c>
      <c r="L32" t="s">
        <v>2798</v>
      </c>
      <c r="M32" s="74"/>
      <c r="N32" s="1"/>
    </row>
    <row r="33" spans="1:14" x14ac:dyDescent="0.25">
      <c r="A33" s="8">
        <v>3425</v>
      </c>
      <c r="C33" t="s">
        <v>2796</v>
      </c>
      <c r="D33" t="s">
        <v>2799</v>
      </c>
      <c r="F33" t="s">
        <v>2800</v>
      </c>
      <c r="G33" s="1">
        <v>44371</v>
      </c>
      <c r="H33" s="1"/>
      <c r="J33" t="s">
        <v>18</v>
      </c>
      <c r="L33" t="s">
        <v>2801</v>
      </c>
      <c r="M33" s="74"/>
      <c r="N33" s="1"/>
    </row>
    <row r="34" spans="1:14" x14ac:dyDescent="0.25">
      <c r="A34" s="8">
        <v>3426</v>
      </c>
      <c r="C34" t="s">
        <v>2802</v>
      </c>
      <c r="D34" t="s">
        <v>243</v>
      </c>
      <c r="F34" t="s">
        <v>2803</v>
      </c>
      <c r="G34" s="1">
        <v>44371</v>
      </c>
      <c r="H34" s="1"/>
      <c r="J34" t="s">
        <v>29</v>
      </c>
      <c r="M34" s="74"/>
      <c r="N34" s="1"/>
    </row>
    <row r="35" spans="1:14" x14ac:dyDescent="0.25">
      <c r="A35" s="8">
        <v>3427</v>
      </c>
      <c r="C35" t="s">
        <v>2785</v>
      </c>
      <c r="D35" t="s">
        <v>298</v>
      </c>
      <c r="F35" t="s">
        <v>2804</v>
      </c>
      <c r="G35" s="1">
        <v>44372</v>
      </c>
      <c r="H35" s="1"/>
      <c r="J35" t="s">
        <v>29</v>
      </c>
      <c r="M35" s="74"/>
      <c r="N35" s="1"/>
    </row>
    <row r="36" spans="1:14" x14ac:dyDescent="0.25">
      <c r="A36" s="8">
        <v>3428</v>
      </c>
      <c r="C36" t="s">
        <v>220</v>
      </c>
      <c r="D36" t="s">
        <v>253</v>
      </c>
      <c r="F36" t="s">
        <v>2805</v>
      </c>
      <c r="G36" s="1">
        <v>44376</v>
      </c>
      <c r="H36" s="1"/>
      <c r="J36" t="s">
        <v>29</v>
      </c>
      <c r="M36" s="74"/>
      <c r="N36" s="1"/>
    </row>
    <row r="37" spans="1:14" x14ac:dyDescent="0.25">
      <c r="A37" s="8">
        <v>3429</v>
      </c>
      <c r="C37" t="s">
        <v>24</v>
      </c>
      <c r="D37" t="s">
        <v>2765</v>
      </c>
      <c r="F37" t="s">
        <v>2806</v>
      </c>
      <c r="G37" s="1">
        <v>44383</v>
      </c>
      <c r="H37" s="1"/>
      <c r="J37" t="s">
        <v>18</v>
      </c>
      <c r="M37" s="74"/>
      <c r="N37" s="1"/>
    </row>
    <row r="38" spans="1:14" x14ac:dyDescent="0.25">
      <c r="A38" s="8">
        <v>3430</v>
      </c>
      <c r="C38" t="s">
        <v>704</v>
      </c>
      <c r="D38" t="s">
        <v>253</v>
      </c>
      <c r="F38" t="s">
        <v>2807</v>
      </c>
      <c r="G38" s="1">
        <v>44384</v>
      </c>
      <c r="H38" s="1"/>
      <c r="I38" t="s">
        <v>2762</v>
      </c>
      <c r="J38" t="s">
        <v>18</v>
      </c>
      <c r="K38" t="s">
        <v>29</v>
      </c>
      <c r="M38" s="74"/>
      <c r="N38" s="1"/>
    </row>
    <row r="39" spans="1:14" x14ac:dyDescent="0.25">
      <c r="A39" s="8">
        <v>3431</v>
      </c>
      <c r="C39" t="s">
        <v>220</v>
      </c>
      <c r="D39" t="s">
        <v>411</v>
      </c>
      <c r="F39" t="s">
        <v>2808</v>
      </c>
      <c r="G39" s="1">
        <v>44391</v>
      </c>
      <c r="H39" s="1"/>
      <c r="J39" t="s">
        <v>18</v>
      </c>
      <c r="M39" s="74"/>
      <c r="N39" s="1"/>
    </row>
    <row r="40" spans="1:14" x14ac:dyDescent="0.25">
      <c r="A40" s="8">
        <v>3432</v>
      </c>
      <c r="C40" t="s">
        <v>2796</v>
      </c>
      <c r="D40" t="s">
        <v>411</v>
      </c>
      <c r="F40" t="s">
        <v>2809</v>
      </c>
      <c r="G40" s="1">
        <v>44393</v>
      </c>
      <c r="H40" s="1"/>
      <c r="J40" t="s">
        <v>18</v>
      </c>
      <c r="L40" t="s">
        <v>2810</v>
      </c>
      <c r="M40" s="74"/>
      <c r="N40" s="1"/>
    </row>
    <row r="41" spans="1:14" x14ac:dyDescent="0.25">
      <c r="A41" s="8">
        <v>3433</v>
      </c>
      <c r="C41" t="s">
        <v>13</v>
      </c>
      <c r="D41" t="s">
        <v>2318</v>
      </c>
      <c r="F41" t="s">
        <v>2811</v>
      </c>
      <c r="G41" s="1">
        <v>44397</v>
      </c>
      <c r="H41" s="1"/>
      <c r="J41" t="s">
        <v>29</v>
      </c>
      <c r="M41" s="74"/>
      <c r="N41" s="1"/>
    </row>
    <row r="42" spans="1:14" x14ac:dyDescent="0.25">
      <c r="A42" s="8">
        <v>3434</v>
      </c>
      <c r="C42" t="s">
        <v>2796</v>
      </c>
      <c r="D42" t="s">
        <v>2352</v>
      </c>
      <c r="F42" t="s">
        <v>2812</v>
      </c>
      <c r="G42" s="1">
        <v>44400</v>
      </c>
      <c r="H42" s="1"/>
      <c r="J42" t="s">
        <v>18</v>
      </c>
      <c r="M42" s="74"/>
      <c r="N42" s="1"/>
    </row>
    <row r="43" spans="1:14" x14ac:dyDescent="0.25">
      <c r="A43" s="8">
        <v>3435</v>
      </c>
      <c r="C43" t="s">
        <v>714</v>
      </c>
      <c r="D43" t="s">
        <v>2813</v>
      </c>
      <c r="F43" t="s">
        <v>2814</v>
      </c>
      <c r="G43" s="1">
        <v>44400</v>
      </c>
      <c r="H43" s="1"/>
      <c r="J43" t="s">
        <v>29</v>
      </c>
      <c r="L43" t="s">
        <v>2815</v>
      </c>
      <c r="M43" s="74"/>
      <c r="N43" s="1"/>
    </row>
    <row r="44" spans="1:14" x14ac:dyDescent="0.25">
      <c r="A44" s="8">
        <v>3436</v>
      </c>
      <c r="C44" t="s">
        <v>499</v>
      </c>
      <c r="D44" t="s">
        <v>1783</v>
      </c>
      <c r="F44" t="s">
        <v>2816</v>
      </c>
      <c r="G44" s="1">
        <v>44403</v>
      </c>
      <c r="H44" s="1"/>
      <c r="J44" t="s">
        <v>29</v>
      </c>
      <c r="L44" t="s">
        <v>2817</v>
      </c>
      <c r="M44" s="74"/>
      <c r="N44" s="1"/>
    </row>
    <row r="45" spans="1:14" x14ac:dyDescent="0.25">
      <c r="A45" s="8">
        <v>3437</v>
      </c>
      <c r="C45" t="s">
        <v>2818</v>
      </c>
      <c r="D45" t="s">
        <v>32</v>
      </c>
      <c r="F45" t="s">
        <v>2819</v>
      </c>
      <c r="G45" s="1">
        <v>44403</v>
      </c>
      <c r="H45" s="1"/>
      <c r="J45" t="s">
        <v>29</v>
      </c>
      <c r="M45" s="74"/>
      <c r="N45" s="1"/>
    </row>
    <row r="46" spans="1:14" x14ac:dyDescent="0.25">
      <c r="A46" s="8">
        <v>3438</v>
      </c>
      <c r="C46" t="s">
        <v>2818</v>
      </c>
      <c r="D46" t="s">
        <v>2788</v>
      </c>
      <c r="F46" t="s">
        <v>2820</v>
      </c>
      <c r="G46" s="1">
        <v>44403</v>
      </c>
      <c r="H46" s="1"/>
      <c r="J46" t="s">
        <v>29</v>
      </c>
      <c r="L46" t="s">
        <v>2821</v>
      </c>
      <c r="M46" s="74"/>
      <c r="N46" s="1"/>
    </row>
    <row r="47" spans="1:14" x14ac:dyDescent="0.25">
      <c r="A47" s="8">
        <v>3439</v>
      </c>
      <c r="C47" t="s">
        <v>2822</v>
      </c>
      <c r="D47" t="s">
        <v>298</v>
      </c>
      <c r="F47" t="s">
        <v>2823</v>
      </c>
      <c r="G47" s="1">
        <v>44410</v>
      </c>
      <c r="H47" s="1"/>
      <c r="J47" t="s">
        <v>29</v>
      </c>
      <c r="L47" t="s">
        <v>2824</v>
      </c>
      <c r="M47" s="74"/>
      <c r="N47" s="1"/>
    </row>
    <row r="48" spans="1:14" x14ac:dyDescent="0.25">
      <c r="A48" s="8">
        <v>3440</v>
      </c>
      <c r="C48" t="s">
        <v>220</v>
      </c>
      <c r="D48" t="s">
        <v>253</v>
      </c>
      <c r="F48" t="s">
        <v>2825</v>
      </c>
      <c r="G48" s="1">
        <v>44411</v>
      </c>
      <c r="H48" s="1"/>
      <c r="J48" t="s">
        <v>29</v>
      </c>
      <c r="L48" t="s">
        <v>2826</v>
      </c>
      <c r="M48" s="74"/>
      <c r="N48" s="1"/>
    </row>
    <row r="49" spans="1:14" x14ac:dyDescent="0.25">
      <c r="A49" s="8">
        <v>3441</v>
      </c>
      <c r="C49" t="s">
        <v>220</v>
      </c>
      <c r="D49" t="s">
        <v>104</v>
      </c>
      <c r="F49" t="s">
        <v>2827</v>
      </c>
      <c r="G49" s="1">
        <v>44417</v>
      </c>
      <c r="H49" s="1"/>
      <c r="J49" t="s">
        <v>29</v>
      </c>
      <c r="L49" t="s">
        <v>2828</v>
      </c>
      <c r="M49" s="74"/>
      <c r="N49" s="1"/>
    </row>
    <row r="50" spans="1:14" x14ac:dyDescent="0.25">
      <c r="A50" s="8">
        <v>3442</v>
      </c>
      <c r="C50" t="s">
        <v>704</v>
      </c>
      <c r="D50" t="s">
        <v>104</v>
      </c>
      <c r="F50" t="s">
        <v>2829</v>
      </c>
      <c r="G50" s="1">
        <v>44418</v>
      </c>
      <c r="H50" s="1"/>
      <c r="I50" t="s">
        <v>2762</v>
      </c>
      <c r="J50" t="s">
        <v>29</v>
      </c>
      <c r="K50" t="s">
        <v>29</v>
      </c>
      <c r="M50" s="74"/>
      <c r="N50" s="1"/>
    </row>
    <row r="51" spans="1:14" x14ac:dyDescent="0.25">
      <c r="A51" s="8">
        <v>3443</v>
      </c>
      <c r="C51" t="s">
        <v>13</v>
      </c>
      <c r="D51" t="s">
        <v>2318</v>
      </c>
      <c r="F51" t="s">
        <v>2830</v>
      </c>
      <c r="G51" s="1">
        <v>44419</v>
      </c>
      <c r="H51" s="1"/>
      <c r="J51" t="s">
        <v>29</v>
      </c>
      <c r="M51" s="74"/>
      <c r="N51" s="1"/>
    </row>
    <row r="52" spans="1:14" x14ac:dyDescent="0.25">
      <c r="A52" s="8">
        <v>3444</v>
      </c>
      <c r="C52" t="s">
        <v>499</v>
      </c>
      <c r="D52" t="s">
        <v>14</v>
      </c>
      <c r="F52" t="s">
        <v>2831</v>
      </c>
      <c r="G52" s="1">
        <v>44421</v>
      </c>
      <c r="H52" s="1"/>
      <c r="J52" t="s">
        <v>29</v>
      </c>
      <c r="M52" s="74">
        <v>100</v>
      </c>
      <c r="N52" s="1">
        <v>45023</v>
      </c>
    </row>
    <row r="53" spans="1:14" x14ac:dyDescent="0.25">
      <c r="A53" s="8">
        <v>3445</v>
      </c>
      <c r="C53" t="s">
        <v>325</v>
      </c>
      <c r="D53" t="s">
        <v>104</v>
      </c>
      <c r="F53" t="s">
        <v>2832</v>
      </c>
      <c r="G53" s="1">
        <v>44421</v>
      </c>
      <c r="H53" s="1"/>
      <c r="J53" t="s">
        <v>29</v>
      </c>
      <c r="M53" s="74"/>
      <c r="N53" s="1"/>
    </row>
    <row r="54" spans="1:14" x14ac:dyDescent="0.25">
      <c r="A54" s="8">
        <v>3446</v>
      </c>
      <c r="C54" t="s">
        <v>325</v>
      </c>
      <c r="D54" t="s">
        <v>32</v>
      </c>
      <c r="F54" t="s">
        <v>2833</v>
      </c>
      <c r="G54" s="1">
        <v>44409</v>
      </c>
      <c r="H54" s="1"/>
      <c r="J54" t="s">
        <v>29</v>
      </c>
      <c r="M54" s="74"/>
      <c r="N54" s="1"/>
    </row>
    <row r="55" spans="1:14" x14ac:dyDescent="0.25">
      <c r="A55" s="8">
        <v>3447</v>
      </c>
      <c r="D55" t="s">
        <v>253</v>
      </c>
      <c r="F55" t="s">
        <v>2834</v>
      </c>
      <c r="G55" s="1">
        <v>44432</v>
      </c>
      <c r="H55" s="1"/>
      <c r="I55" t="s">
        <v>2762</v>
      </c>
      <c r="J55" t="s">
        <v>18</v>
      </c>
      <c r="K55" t="s">
        <v>29</v>
      </c>
      <c r="M55" s="74"/>
      <c r="N55" s="1"/>
    </row>
    <row r="56" spans="1:14" x14ac:dyDescent="0.25">
      <c r="A56" s="8">
        <v>3448</v>
      </c>
      <c r="C56" t="s">
        <v>325</v>
      </c>
      <c r="D56" t="s">
        <v>2547</v>
      </c>
      <c r="F56" t="s">
        <v>2835</v>
      </c>
      <c r="G56" s="1">
        <v>44434</v>
      </c>
      <c r="H56" s="1"/>
      <c r="J56" t="s">
        <v>18</v>
      </c>
      <c r="M56" s="74"/>
      <c r="N56" s="1"/>
    </row>
    <row r="57" spans="1:14" x14ac:dyDescent="0.25">
      <c r="A57" s="8">
        <v>3449</v>
      </c>
      <c r="C57" t="s">
        <v>499</v>
      </c>
      <c r="D57" t="s">
        <v>2836</v>
      </c>
      <c r="F57" t="s">
        <v>2837</v>
      </c>
      <c r="G57" s="1">
        <v>44439</v>
      </c>
      <c r="H57" s="1"/>
      <c r="J57" t="s">
        <v>18</v>
      </c>
      <c r="M57" s="74"/>
      <c r="N57" s="1"/>
    </row>
    <row r="58" spans="1:14" x14ac:dyDescent="0.25">
      <c r="A58" s="8">
        <v>3450</v>
      </c>
      <c r="C58" t="s">
        <v>13</v>
      </c>
      <c r="D58" t="s">
        <v>2352</v>
      </c>
      <c r="F58" t="s">
        <v>2838</v>
      </c>
      <c r="G58" s="1">
        <v>44439</v>
      </c>
      <c r="H58" s="1"/>
      <c r="J58" t="s">
        <v>29</v>
      </c>
      <c r="L58" t="s">
        <v>2839</v>
      </c>
      <c r="M58" s="74"/>
      <c r="N58" s="1"/>
    </row>
    <row r="59" spans="1:14" x14ac:dyDescent="0.25">
      <c r="A59" s="8">
        <v>3451</v>
      </c>
      <c r="C59" t="s">
        <v>325</v>
      </c>
      <c r="D59" t="s">
        <v>2840</v>
      </c>
      <c r="F59" t="s">
        <v>2841</v>
      </c>
      <c r="G59" s="1">
        <v>44440</v>
      </c>
      <c r="H59" s="1"/>
      <c r="J59" t="s">
        <v>29</v>
      </c>
      <c r="L59" t="s">
        <v>2842</v>
      </c>
      <c r="M59" s="74"/>
      <c r="N59" s="1"/>
    </row>
    <row r="60" spans="1:14" x14ac:dyDescent="0.25">
      <c r="A60" s="8">
        <v>3452</v>
      </c>
      <c r="C60" t="s">
        <v>325</v>
      </c>
      <c r="D60" t="s">
        <v>25</v>
      </c>
      <c r="F60" t="s">
        <v>2843</v>
      </c>
      <c r="G60" s="1">
        <v>44456</v>
      </c>
      <c r="H60" s="1"/>
      <c r="J60" t="s">
        <v>29</v>
      </c>
      <c r="M60" s="74"/>
      <c r="N60" s="1"/>
    </row>
    <row r="61" spans="1:14" x14ac:dyDescent="0.25">
      <c r="A61" s="8">
        <v>3453</v>
      </c>
      <c r="C61" t="s">
        <v>13</v>
      </c>
      <c r="D61" t="s">
        <v>104</v>
      </c>
      <c r="F61" t="s">
        <v>2844</v>
      </c>
      <c r="G61" s="1">
        <v>44456</v>
      </c>
      <c r="H61" s="1"/>
      <c r="J61" t="s">
        <v>29</v>
      </c>
      <c r="M61" s="74"/>
      <c r="N61" s="1"/>
    </row>
    <row r="62" spans="1:14" x14ac:dyDescent="0.25">
      <c r="A62" s="8">
        <v>3454</v>
      </c>
      <c r="C62" t="s">
        <v>325</v>
      </c>
      <c r="D62" t="s">
        <v>32</v>
      </c>
      <c r="F62" t="s">
        <v>2845</v>
      </c>
      <c r="G62" s="1">
        <v>44461</v>
      </c>
      <c r="H62" s="1"/>
      <c r="J62" t="s">
        <v>29</v>
      </c>
      <c r="M62" s="74"/>
      <c r="N62" s="1"/>
    </row>
    <row r="63" spans="1:14" x14ac:dyDescent="0.25">
      <c r="A63" s="8">
        <v>3455</v>
      </c>
      <c r="C63" t="s">
        <v>2796</v>
      </c>
      <c r="D63" t="s">
        <v>2352</v>
      </c>
      <c r="F63" t="s">
        <v>2846</v>
      </c>
      <c r="G63" s="1">
        <v>44466</v>
      </c>
      <c r="H63" s="1"/>
      <c r="J63" t="s">
        <v>18</v>
      </c>
      <c r="M63" s="74"/>
      <c r="N63" s="1"/>
    </row>
    <row r="64" spans="1:14" x14ac:dyDescent="0.25">
      <c r="A64" s="8">
        <v>3456</v>
      </c>
      <c r="C64" t="s">
        <v>2796</v>
      </c>
      <c r="D64" t="s">
        <v>2352</v>
      </c>
      <c r="F64" t="s">
        <v>2847</v>
      </c>
      <c r="G64" s="1">
        <v>44467</v>
      </c>
      <c r="H64" s="1"/>
      <c r="J64" t="s">
        <v>18</v>
      </c>
      <c r="L64" t="s">
        <v>2848</v>
      </c>
      <c r="M64" s="74"/>
      <c r="N64" s="1"/>
    </row>
    <row r="65" spans="1:14" x14ac:dyDescent="0.25">
      <c r="A65" s="8">
        <v>3457</v>
      </c>
      <c r="C65" t="s">
        <v>325</v>
      </c>
      <c r="D65" t="s">
        <v>32</v>
      </c>
      <c r="F65" t="s">
        <v>2849</v>
      </c>
      <c r="G65" s="1">
        <v>44473</v>
      </c>
      <c r="H65" s="1"/>
      <c r="J65" t="s">
        <v>29</v>
      </c>
      <c r="M65" s="74"/>
      <c r="N65" s="1"/>
    </row>
    <row r="66" spans="1:14" x14ac:dyDescent="0.25">
      <c r="A66" s="8">
        <v>3458</v>
      </c>
      <c r="D66" t="s">
        <v>163</v>
      </c>
      <c r="F66" t="s">
        <v>2850</v>
      </c>
      <c r="G66" s="1">
        <v>44475</v>
      </c>
      <c r="H66" s="1"/>
      <c r="J66" t="s">
        <v>18</v>
      </c>
      <c r="K66" t="s">
        <v>29</v>
      </c>
      <c r="M66" s="74"/>
      <c r="N66" s="1"/>
    </row>
    <row r="67" spans="1:14" x14ac:dyDescent="0.25">
      <c r="A67" s="8">
        <v>3459</v>
      </c>
      <c r="C67" t="s">
        <v>2851</v>
      </c>
      <c r="D67" t="s">
        <v>2852</v>
      </c>
      <c r="F67" t="s">
        <v>2853</v>
      </c>
      <c r="G67" s="1">
        <v>44475</v>
      </c>
      <c r="H67" s="1"/>
      <c r="J67" t="s">
        <v>29</v>
      </c>
      <c r="M67" s="74"/>
      <c r="N67" s="1"/>
    </row>
    <row r="68" spans="1:14" x14ac:dyDescent="0.25">
      <c r="A68" s="8">
        <v>3460</v>
      </c>
      <c r="C68" t="s">
        <v>2785</v>
      </c>
      <c r="D68" t="s">
        <v>25</v>
      </c>
      <c r="F68" t="s">
        <v>2854</v>
      </c>
      <c r="G68" s="1">
        <v>44475</v>
      </c>
      <c r="H68" s="1"/>
      <c r="J68" t="s">
        <v>29</v>
      </c>
      <c r="M68" s="74"/>
      <c r="N68" s="1"/>
    </row>
    <row r="69" spans="1:14" x14ac:dyDescent="0.25">
      <c r="A69" s="8">
        <v>3461</v>
      </c>
      <c r="C69" t="s">
        <v>2818</v>
      </c>
      <c r="D69" t="s">
        <v>25</v>
      </c>
      <c r="F69" t="s">
        <v>2855</v>
      </c>
      <c r="G69" s="1">
        <v>44475</v>
      </c>
      <c r="H69" s="1"/>
      <c r="J69" t="s">
        <v>18</v>
      </c>
      <c r="M69" s="74"/>
      <c r="N69" s="1"/>
    </row>
    <row r="70" spans="1:14" x14ac:dyDescent="0.25">
      <c r="A70" s="8">
        <v>3462</v>
      </c>
      <c r="C70" t="s">
        <v>325</v>
      </c>
      <c r="D70" t="s">
        <v>253</v>
      </c>
      <c r="F70" t="s">
        <v>2856</v>
      </c>
      <c r="G70" s="1">
        <v>44477</v>
      </c>
      <c r="H70" s="1"/>
      <c r="J70" t="s">
        <v>29</v>
      </c>
      <c r="M70" s="74"/>
      <c r="N70" s="1"/>
    </row>
    <row r="71" spans="1:14" x14ac:dyDescent="0.25">
      <c r="A71" s="8">
        <v>3463</v>
      </c>
      <c r="C71" t="s">
        <v>325</v>
      </c>
      <c r="D71" t="s">
        <v>2857</v>
      </c>
      <c r="F71" t="s">
        <v>2858</v>
      </c>
      <c r="G71" s="1">
        <v>44480</v>
      </c>
      <c r="H71" s="1"/>
      <c r="J71" t="s">
        <v>29</v>
      </c>
      <c r="M71" s="74"/>
      <c r="N71" s="1"/>
    </row>
    <row r="72" spans="1:14" x14ac:dyDescent="0.25">
      <c r="A72" s="8">
        <v>3464</v>
      </c>
      <c r="C72" t="s">
        <v>2796</v>
      </c>
      <c r="D72" t="s">
        <v>1716</v>
      </c>
      <c r="F72" t="s">
        <v>2859</v>
      </c>
      <c r="G72" s="1">
        <v>44483</v>
      </c>
      <c r="H72" s="1"/>
      <c r="J72" t="s">
        <v>18</v>
      </c>
      <c r="L72" t="s">
        <v>2860</v>
      </c>
      <c r="M72" s="74"/>
      <c r="N72" s="1"/>
    </row>
    <row r="73" spans="1:14" x14ac:dyDescent="0.25">
      <c r="A73" s="8">
        <v>3465</v>
      </c>
      <c r="C73" t="s">
        <v>31</v>
      </c>
      <c r="D73" t="s">
        <v>25</v>
      </c>
      <c r="F73" t="s">
        <v>2861</v>
      </c>
      <c r="G73" s="1">
        <v>44487</v>
      </c>
      <c r="H73" s="1"/>
      <c r="J73" t="s">
        <v>18</v>
      </c>
      <c r="M73" s="74"/>
      <c r="N73" s="1"/>
    </row>
    <row r="74" spans="1:14" x14ac:dyDescent="0.25">
      <c r="A74" s="8">
        <v>3466</v>
      </c>
      <c r="C74" t="s">
        <v>220</v>
      </c>
      <c r="D74" t="s">
        <v>253</v>
      </c>
      <c r="F74" t="s">
        <v>2862</v>
      </c>
      <c r="G74" s="1">
        <v>44491</v>
      </c>
      <c r="H74" s="1"/>
      <c r="J74" t="s">
        <v>29</v>
      </c>
      <c r="M74" s="74"/>
      <c r="N74" s="1"/>
    </row>
    <row r="75" spans="1:14" x14ac:dyDescent="0.25">
      <c r="A75" s="8">
        <v>3467</v>
      </c>
      <c r="C75" t="s">
        <v>714</v>
      </c>
      <c r="D75" t="s">
        <v>2352</v>
      </c>
      <c r="F75" t="s">
        <v>2863</v>
      </c>
      <c r="G75" s="1">
        <v>44495</v>
      </c>
      <c r="H75" s="1"/>
      <c r="I75" t="s">
        <v>1737</v>
      </c>
      <c r="J75" t="s">
        <v>29</v>
      </c>
      <c r="M75" s="74">
        <v>100</v>
      </c>
      <c r="N75" s="1">
        <v>44537</v>
      </c>
    </row>
    <row r="76" spans="1:14" x14ac:dyDescent="0.25">
      <c r="A76" s="8">
        <v>3468</v>
      </c>
      <c r="C76" t="s">
        <v>2864</v>
      </c>
      <c r="D76" t="s">
        <v>104</v>
      </c>
      <c r="F76" t="s">
        <v>2865</v>
      </c>
      <c r="G76" s="1">
        <v>44502</v>
      </c>
      <c r="H76" s="1"/>
      <c r="J76" t="s">
        <v>29</v>
      </c>
      <c r="M76" s="74"/>
      <c r="N76" s="1"/>
    </row>
    <row r="77" spans="1:14" x14ac:dyDescent="0.25">
      <c r="A77" s="8">
        <v>3469</v>
      </c>
      <c r="C77" t="s">
        <v>2796</v>
      </c>
      <c r="D77" t="s">
        <v>126</v>
      </c>
      <c r="F77" t="s">
        <v>2866</v>
      </c>
      <c r="G77" s="1">
        <v>44505</v>
      </c>
      <c r="H77" s="1"/>
      <c r="J77" t="s">
        <v>29</v>
      </c>
      <c r="M77" s="74"/>
      <c r="N77" s="1"/>
    </row>
    <row r="78" spans="1:14" x14ac:dyDescent="0.25">
      <c r="A78" s="8">
        <v>3470</v>
      </c>
      <c r="C78" t="s">
        <v>2796</v>
      </c>
      <c r="D78" t="s">
        <v>126</v>
      </c>
      <c r="F78" t="s">
        <v>2867</v>
      </c>
      <c r="G78" s="1">
        <v>44505</v>
      </c>
      <c r="H78" s="1"/>
      <c r="J78" t="s">
        <v>29</v>
      </c>
      <c r="M78" s="74"/>
      <c r="N78" s="1"/>
    </row>
    <row r="79" spans="1:14" x14ac:dyDescent="0.25">
      <c r="A79" s="8">
        <v>3471</v>
      </c>
      <c r="C79" t="s">
        <v>325</v>
      </c>
      <c r="D79" t="s">
        <v>411</v>
      </c>
      <c r="F79" t="s">
        <v>2868</v>
      </c>
      <c r="G79" s="1">
        <v>44508</v>
      </c>
      <c r="H79" s="1"/>
      <c r="J79" t="s">
        <v>29</v>
      </c>
      <c r="L79" t="s">
        <v>2869</v>
      </c>
      <c r="M79" s="74"/>
      <c r="N79" s="1"/>
    </row>
    <row r="80" spans="1:14" x14ac:dyDescent="0.25">
      <c r="A80" s="8">
        <v>3472</v>
      </c>
      <c r="C80" t="s">
        <v>2796</v>
      </c>
      <c r="D80" t="s">
        <v>2765</v>
      </c>
      <c r="F80" t="s">
        <v>2870</v>
      </c>
      <c r="G80" s="1">
        <v>44515</v>
      </c>
      <c r="H80" s="1"/>
      <c r="J80" t="s">
        <v>29</v>
      </c>
      <c r="L80">
        <v>4010954</v>
      </c>
      <c r="M80" s="74"/>
      <c r="N80" s="1"/>
    </row>
    <row r="81" spans="1:14" x14ac:dyDescent="0.25">
      <c r="A81" s="8">
        <v>3473</v>
      </c>
      <c r="C81" t="s">
        <v>2796</v>
      </c>
      <c r="D81" t="s">
        <v>2352</v>
      </c>
      <c r="F81" t="s">
        <v>2871</v>
      </c>
      <c r="G81" s="1">
        <v>44518</v>
      </c>
      <c r="H81" s="1"/>
      <c r="J81" t="s">
        <v>29</v>
      </c>
      <c r="M81" s="74"/>
      <c r="N81" s="1"/>
    </row>
    <row r="82" spans="1:14" x14ac:dyDescent="0.25">
      <c r="A82" s="8">
        <v>3474</v>
      </c>
      <c r="C82" t="s">
        <v>325</v>
      </c>
      <c r="D82" t="s">
        <v>25</v>
      </c>
      <c r="F82" t="s">
        <v>2872</v>
      </c>
      <c r="G82" s="1">
        <v>44518</v>
      </c>
      <c r="H82" s="1"/>
      <c r="J82" t="s">
        <v>18</v>
      </c>
      <c r="M82" s="74"/>
      <c r="N82" s="1"/>
    </row>
    <row r="83" spans="1:14" x14ac:dyDescent="0.25">
      <c r="A83" s="8">
        <v>3475</v>
      </c>
      <c r="C83" t="s">
        <v>2796</v>
      </c>
      <c r="D83" t="s">
        <v>2873</v>
      </c>
      <c r="F83" t="s">
        <v>2874</v>
      </c>
      <c r="G83" s="1">
        <v>44519</v>
      </c>
      <c r="H83" s="1"/>
      <c r="J83" t="s">
        <v>29</v>
      </c>
      <c r="M83" s="74" t="s">
        <v>2875</v>
      </c>
      <c r="N83" s="1" t="s">
        <v>2876</v>
      </c>
    </row>
    <row r="84" spans="1:14" x14ac:dyDescent="0.25">
      <c r="A84" s="8">
        <v>3476</v>
      </c>
      <c r="C84" t="s">
        <v>2877</v>
      </c>
      <c r="D84" t="s">
        <v>1695</v>
      </c>
      <c r="F84" t="s">
        <v>2878</v>
      </c>
      <c r="G84" s="1">
        <v>44522</v>
      </c>
      <c r="H84" s="1"/>
      <c r="J84" t="s">
        <v>29</v>
      </c>
      <c r="M84" s="74"/>
      <c r="N84" s="1"/>
    </row>
    <row r="85" spans="1:14" x14ac:dyDescent="0.25">
      <c r="A85" s="8">
        <v>3477</v>
      </c>
      <c r="C85" t="s">
        <v>325</v>
      </c>
      <c r="D85" t="s">
        <v>253</v>
      </c>
      <c r="F85" t="s">
        <v>2879</v>
      </c>
      <c r="G85" s="1">
        <v>44526</v>
      </c>
      <c r="H85" s="1"/>
      <c r="J85" t="s">
        <v>29</v>
      </c>
      <c r="M85" s="74"/>
      <c r="N85" s="1"/>
    </row>
    <row r="86" spans="1:14" x14ac:dyDescent="0.25">
      <c r="A86" s="8">
        <v>3478</v>
      </c>
      <c r="D86" t="s">
        <v>163</v>
      </c>
      <c r="F86" t="s">
        <v>2880</v>
      </c>
      <c r="G86" s="1">
        <v>44530</v>
      </c>
      <c r="H86" s="1"/>
      <c r="J86" t="s">
        <v>18</v>
      </c>
      <c r="K86" t="s">
        <v>29</v>
      </c>
      <c r="M86" s="74"/>
      <c r="N86" s="1"/>
    </row>
    <row r="87" spans="1:14" x14ac:dyDescent="0.25">
      <c r="A87" s="8">
        <v>3479</v>
      </c>
      <c r="C87" t="s">
        <v>2796</v>
      </c>
      <c r="D87" t="s">
        <v>32</v>
      </c>
      <c r="F87" t="s">
        <v>2881</v>
      </c>
      <c r="G87" s="1">
        <v>44531</v>
      </c>
      <c r="H87" s="1"/>
      <c r="I87" t="s">
        <v>1737</v>
      </c>
      <c r="J87" t="s">
        <v>29</v>
      </c>
      <c r="M87" s="74">
        <v>100</v>
      </c>
      <c r="N87" s="1">
        <v>44922</v>
      </c>
    </row>
    <row r="88" spans="1:14" x14ac:dyDescent="0.25">
      <c r="A88" s="8">
        <v>3480</v>
      </c>
      <c r="C88" t="s">
        <v>325</v>
      </c>
      <c r="D88" t="s">
        <v>2662</v>
      </c>
      <c r="F88" t="s">
        <v>2882</v>
      </c>
      <c r="G88" s="1">
        <v>44531</v>
      </c>
      <c r="H88" s="1"/>
      <c r="I88" t="s">
        <v>1737</v>
      </c>
      <c r="J88" t="s">
        <v>29</v>
      </c>
      <c r="M88" s="74">
        <v>100</v>
      </c>
      <c r="N88" s="1">
        <v>44910</v>
      </c>
    </row>
    <row r="89" spans="1:14" x14ac:dyDescent="0.25">
      <c r="A89" s="8">
        <v>3481</v>
      </c>
      <c r="C89" t="s">
        <v>220</v>
      </c>
      <c r="D89" t="s">
        <v>298</v>
      </c>
      <c r="F89" t="s">
        <v>2883</v>
      </c>
      <c r="G89" s="1">
        <v>44531</v>
      </c>
      <c r="H89" s="1"/>
      <c r="J89" t="s">
        <v>18</v>
      </c>
      <c r="L89" t="s">
        <v>2884</v>
      </c>
      <c r="M89" s="74"/>
      <c r="N89" s="1"/>
    </row>
    <row r="90" spans="1:14" x14ac:dyDescent="0.25">
      <c r="A90" s="8">
        <v>3482</v>
      </c>
      <c r="C90" t="s">
        <v>2885</v>
      </c>
      <c r="D90" t="s">
        <v>253</v>
      </c>
      <c r="F90" t="s">
        <v>2886</v>
      </c>
      <c r="G90" s="1">
        <v>44531</v>
      </c>
      <c r="H90" s="1"/>
      <c r="I90" t="s">
        <v>1737</v>
      </c>
      <c r="J90" t="s">
        <v>29</v>
      </c>
      <c r="L90" t="s">
        <v>2887</v>
      </c>
      <c r="M90" s="74">
        <v>100</v>
      </c>
      <c r="N90" s="1">
        <v>44918</v>
      </c>
    </row>
    <row r="91" spans="1:14" x14ac:dyDescent="0.25">
      <c r="A91" s="8">
        <v>3483</v>
      </c>
      <c r="C91" t="s">
        <v>2888</v>
      </c>
      <c r="F91" t="s">
        <v>2889</v>
      </c>
      <c r="G91" s="1">
        <v>44531</v>
      </c>
      <c r="H91" s="1"/>
      <c r="J91" t="s">
        <v>18</v>
      </c>
      <c r="M91" s="74"/>
      <c r="N91" s="1"/>
    </row>
    <row r="92" spans="1:14" x14ac:dyDescent="0.25">
      <c r="A92" s="8">
        <v>3484</v>
      </c>
      <c r="C92" t="s">
        <v>2756</v>
      </c>
      <c r="D92" t="s">
        <v>479</v>
      </c>
      <c r="F92" t="s">
        <v>2890</v>
      </c>
      <c r="G92" s="1">
        <v>44532</v>
      </c>
      <c r="H92" s="1"/>
      <c r="J92" t="s">
        <v>18</v>
      </c>
      <c r="M92" s="74"/>
      <c r="N92" s="1"/>
    </row>
    <row r="93" spans="1:14" x14ac:dyDescent="0.25">
      <c r="A93" s="8">
        <v>3485</v>
      </c>
      <c r="C93" t="s">
        <v>2756</v>
      </c>
      <c r="D93" t="s">
        <v>2891</v>
      </c>
      <c r="F93" t="s">
        <v>2892</v>
      </c>
      <c r="G93" s="1">
        <v>44532</v>
      </c>
      <c r="H93" s="1"/>
      <c r="J93" t="s">
        <v>18</v>
      </c>
      <c r="M93" s="74"/>
      <c r="N93" s="1"/>
    </row>
    <row r="94" spans="1:14" x14ac:dyDescent="0.25">
      <c r="A94" s="8">
        <v>3486</v>
      </c>
      <c r="C94" t="s">
        <v>2756</v>
      </c>
      <c r="D94" t="s">
        <v>411</v>
      </c>
      <c r="F94" t="s">
        <v>2892</v>
      </c>
      <c r="G94" s="1">
        <v>44532</v>
      </c>
      <c r="H94" s="1"/>
      <c r="J94" t="s">
        <v>18</v>
      </c>
      <c r="M94" s="74"/>
      <c r="N94" s="1"/>
    </row>
    <row r="95" spans="1:14" x14ac:dyDescent="0.25">
      <c r="A95" s="8">
        <v>3487</v>
      </c>
      <c r="C95" t="s">
        <v>2756</v>
      </c>
      <c r="D95" t="s">
        <v>2893</v>
      </c>
      <c r="F95" t="s">
        <v>2892</v>
      </c>
      <c r="G95" s="1">
        <v>44532</v>
      </c>
      <c r="H95" s="1"/>
      <c r="J95" t="s">
        <v>18</v>
      </c>
      <c r="M95" s="74"/>
      <c r="N95" s="1"/>
    </row>
    <row r="96" spans="1:14" x14ac:dyDescent="0.25">
      <c r="A96" s="8">
        <v>3488</v>
      </c>
      <c r="C96" t="s">
        <v>499</v>
      </c>
      <c r="D96" t="s">
        <v>329</v>
      </c>
      <c r="F96" t="s">
        <v>2894</v>
      </c>
      <c r="G96" s="1">
        <v>44536</v>
      </c>
      <c r="H96" s="1"/>
      <c r="J96" t="s">
        <v>18</v>
      </c>
      <c r="M96" s="74"/>
      <c r="N96" s="1"/>
    </row>
    <row r="97" spans="1:14" x14ac:dyDescent="0.25">
      <c r="A97" s="8">
        <v>3489</v>
      </c>
      <c r="C97" t="s">
        <v>220</v>
      </c>
      <c r="D97" t="s">
        <v>253</v>
      </c>
      <c r="F97" t="s">
        <v>2895</v>
      </c>
      <c r="G97" s="1">
        <v>44538</v>
      </c>
      <c r="H97" s="1"/>
      <c r="J97" t="s">
        <v>29</v>
      </c>
      <c r="M97" s="74"/>
      <c r="N97" s="1"/>
    </row>
    <row r="98" spans="1:14" x14ac:dyDescent="0.25">
      <c r="A98" s="8">
        <v>3490</v>
      </c>
      <c r="C98" t="s">
        <v>325</v>
      </c>
      <c r="D98" t="s">
        <v>2896</v>
      </c>
      <c r="F98" t="s">
        <v>2897</v>
      </c>
      <c r="G98" s="1">
        <v>44539</v>
      </c>
      <c r="H98" s="1"/>
      <c r="J98" t="s">
        <v>29</v>
      </c>
      <c r="M98" s="74"/>
      <c r="N98" s="1"/>
    </row>
    <row r="99" spans="1:14" x14ac:dyDescent="0.25">
      <c r="A99" s="8">
        <v>3491</v>
      </c>
      <c r="C99" t="s">
        <v>220</v>
      </c>
      <c r="D99" t="s">
        <v>253</v>
      </c>
      <c r="F99" t="s">
        <v>2898</v>
      </c>
      <c r="G99" s="1">
        <v>44545</v>
      </c>
      <c r="H99" s="1"/>
      <c r="I99" t="s">
        <v>1737</v>
      </c>
      <c r="J99" t="s">
        <v>29</v>
      </c>
      <c r="L99" t="s">
        <v>2899</v>
      </c>
      <c r="M99" s="74">
        <v>100</v>
      </c>
      <c r="N99" s="1">
        <v>44918</v>
      </c>
    </row>
    <row r="100" spans="1:14" x14ac:dyDescent="0.25">
      <c r="A100" s="8">
        <v>3492</v>
      </c>
      <c r="C100" t="s">
        <v>24</v>
      </c>
      <c r="D100" t="s">
        <v>931</v>
      </c>
      <c r="F100" t="s">
        <v>2900</v>
      </c>
      <c r="G100" s="1">
        <v>44545</v>
      </c>
      <c r="H100" s="1"/>
      <c r="J100" t="s">
        <v>29</v>
      </c>
      <c r="M100" s="74"/>
      <c r="N100" s="1"/>
    </row>
    <row r="101" spans="1:14" x14ac:dyDescent="0.25">
      <c r="A101" s="8">
        <v>3493</v>
      </c>
      <c r="C101" t="s">
        <v>2796</v>
      </c>
      <c r="D101" t="s">
        <v>247</v>
      </c>
      <c r="F101" t="s">
        <v>2901</v>
      </c>
      <c r="G101" s="1">
        <v>44546</v>
      </c>
      <c r="H101" s="1"/>
      <c r="J101" t="s">
        <v>29</v>
      </c>
      <c r="M101" s="74"/>
      <c r="N101" s="1"/>
    </row>
    <row r="102" spans="1:14" x14ac:dyDescent="0.25">
      <c r="A102" s="8">
        <v>3494</v>
      </c>
      <c r="C102" t="s">
        <v>2902</v>
      </c>
      <c r="D102" t="s">
        <v>1736</v>
      </c>
      <c r="F102" t="s">
        <v>2903</v>
      </c>
      <c r="G102" s="1">
        <v>44547</v>
      </c>
      <c r="H102" s="1"/>
      <c r="J102" t="s">
        <v>29</v>
      </c>
      <c r="M102" s="74"/>
      <c r="N102" s="1"/>
    </row>
    <row r="103" spans="1:14" x14ac:dyDescent="0.25">
      <c r="A103" s="8">
        <v>3495</v>
      </c>
      <c r="C103" t="s">
        <v>704</v>
      </c>
      <c r="D103" t="s">
        <v>1783</v>
      </c>
      <c r="F103" t="s">
        <v>2904</v>
      </c>
      <c r="G103" s="1">
        <v>44550</v>
      </c>
      <c r="H103" s="1"/>
      <c r="I103" t="s">
        <v>2762</v>
      </c>
      <c r="J103" t="s">
        <v>29</v>
      </c>
      <c r="K103" t="s">
        <v>29</v>
      </c>
      <c r="L103">
        <v>21221</v>
      </c>
      <c r="M103" s="74"/>
      <c r="N103" s="1"/>
    </row>
    <row r="104" spans="1:14" x14ac:dyDescent="0.25">
      <c r="A104" s="8">
        <v>3496</v>
      </c>
      <c r="C104" t="s">
        <v>220</v>
      </c>
      <c r="D104" t="s">
        <v>411</v>
      </c>
      <c r="F104" t="s">
        <v>2905</v>
      </c>
      <c r="G104" s="1">
        <v>44550</v>
      </c>
      <c r="H104" s="1"/>
      <c r="J104" t="s">
        <v>29</v>
      </c>
      <c r="M104" s="74"/>
      <c r="N104" s="1"/>
    </row>
    <row r="105" spans="1:14" x14ac:dyDescent="0.25">
      <c r="A105" s="8">
        <v>3497</v>
      </c>
      <c r="C105" t="s">
        <v>24</v>
      </c>
      <c r="D105" t="s">
        <v>2352</v>
      </c>
      <c r="F105" t="s">
        <v>2906</v>
      </c>
      <c r="G105" s="1">
        <v>44557</v>
      </c>
      <c r="H105" s="1"/>
      <c r="I105" t="s">
        <v>1737</v>
      </c>
      <c r="J105" t="s">
        <v>29</v>
      </c>
      <c r="M105" s="74">
        <v>100</v>
      </c>
      <c r="N105" s="1">
        <v>44915</v>
      </c>
    </row>
    <row r="106" spans="1:14" x14ac:dyDescent="0.25">
      <c r="A106" s="8">
        <v>3498</v>
      </c>
      <c r="C106" t="s">
        <v>2796</v>
      </c>
      <c r="D106" t="s">
        <v>1777</v>
      </c>
      <c r="F106" t="s">
        <v>2907</v>
      </c>
      <c r="G106" s="1">
        <v>44567</v>
      </c>
      <c r="H106" s="1"/>
      <c r="J106" t="s">
        <v>18</v>
      </c>
      <c r="M106" s="74"/>
      <c r="N106" s="1"/>
    </row>
    <row r="107" spans="1:14" x14ac:dyDescent="0.25">
      <c r="A107" s="8">
        <v>3499</v>
      </c>
      <c r="C107" t="s">
        <v>2851</v>
      </c>
      <c r="D107" t="s">
        <v>104</v>
      </c>
      <c r="F107" t="s">
        <v>2908</v>
      </c>
      <c r="G107" s="1">
        <v>44571</v>
      </c>
      <c r="H107" s="1"/>
      <c r="J107" t="s">
        <v>18</v>
      </c>
      <c r="M107" s="74"/>
      <c r="N107" s="1"/>
    </row>
    <row r="108" spans="1:14" x14ac:dyDescent="0.25">
      <c r="A108" s="8">
        <v>3500</v>
      </c>
      <c r="C108" t="s">
        <v>325</v>
      </c>
      <c r="D108" t="s">
        <v>2909</v>
      </c>
      <c r="F108" t="s">
        <v>2910</v>
      </c>
      <c r="G108" s="1">
        <v>44572</v>
      </c>
      <c r="H108" s="1"/>
      <c r="J108" t="s">
        <v>18</v>
      </c>
      <c r="M108" s="74"/>
      <c r="N108" s="1"/>
    </row>
    <row r="109" spans="1:14" x14ac:dyDescent="0.25">
      <c r="A109" s="8">
        <v>3501</v>
      </c>
      <c r="C109" t="s">
        <v>2911</v>
      </c>
      <c r="D109" t="s">
        <v>1716</v>
      </c>
      <c r="F109" t="s">
        <v>2912</v>
      </c>
      <c r="G109" s="1">
        <v>44580</v>
      </c>
      <c r="H109" s="1"/>
      <c r="I109" t="s">
        <v>1737</v>
      </c>
      <c r="J109" t="s">
        <v>29</v>
      </c>
      <c r="M109" s="74">
        <v>1</v>
      </c>
      <c r="N109" s="1">
        <v>44882</v>
      </c>
    </row>
    <row r="110" spans="1:14" x14ac:dyDescent="0.25">
      <c r="A110" s="8">
        <v>3502</v>
      </c>
      <c r="C110" t="s">
        <v>2913</v>
      </c>
      <c r="D110" t="s">
        <v>253</v>
      </c>
      <c r="F110" t="s">
        <v>2914</v>
      </c>
      <c r="G110" s="1">
        <v>44580</v>
      </c>
      <c r="H110" s="1"/>
      <c r="J110" t="s">
        <v>18</v>
      </c>
      <c r="M110" s="74"/>
      <c r="N110" s="1"/>
    </row>
    <row r="111" spans="1:14" x14ac:dyDescent="0.25">
      <c r="A111" s="8">
        <v>3503</v>
      </c>
      <c r="C111" t="s">
        <v>433</v>
      </c>
      <c r="D111" t="s">
        <v>2915</v>
      </c>
      <c r="F111" t="s">
        <v>2916</v>
      </c>
      <c r="G111" s="1">
        <v>44580</v>
      </c>
      <c r="H111" s="1"/>
      <c r="J111" t="s">
        <v>18</v>
      </c>
      <c r="M111" s="74"/>
      <c r="N111" s="1"/>
    </row>
    <row r="112" spans="1:14" x14ac:dyDescent="0.25">
      <c r="A112" s="8">
        <v>3504</v>
      </c>
      <c r="C112" t="s">
        <v>433</v>
      </c>
      <c r="D112" t="s">
        <v>766</v>
      </c>
      <c r="F112" t="s">
        <v>2917</v>
      </c>
      <c r="G112" s="1">
        <v>44582</v>
      </c>
      <c r="H112" s="1"/>
      <c r="J112" t="s">
        <v>18</v>
      </c>
      <c r="M112" s="74"/>
      <c r="N112" s="1"/>
    </row>
    <row r="113" spans="1:15" x14ac:dyDescent="0.25">
      <c r="A113" s="8">
        <v>3505</v>
      </c>
      <c r="C113" t="s">
        <v>433</v>
      </c>
      <c r="D113" t="s">
        <v>253</v>
      </c>
      <c r="F113" t="s">
        <v>2918</v>
      </c>
      <c r="G113" s="1">
        <v>44585</v>
      </c>
      <c r="H113" s="1"/>
      <c r="I113" t="s">
        <v>1737</v>
      </c>
      <c r="J113" t="s">
        <v>29</v>
      </c>
      <c r="M113" s="74">
        <v>100</v>
      </c>
      <c r="N113" s="1">
        <v>44914</v>
      </c>
    </row>
    <row r="114" spans="1:15" x14ac:dyDescent="0.25">
      <c r="A114" s="8">
        <v>3506</v>
      </c>
      <c r="C114" t="s">
        <v>325</v>
      </c>
      <c r="D114" t="s">
        <v>2919</v>
      </c>
      <c r="F114" t="s">
        <v>2920</v>
      </c>
      <c r="G114" s="1">
        <v>44585</v>
      </c>
      <c r="H114" s="1"/>
      <c r="J114" t="s">
        <v>29</v>
      </c>
      <c r="M114" s="74">
        <v>100</v>
      </c>
      <c r="N114" s="1">
        <v>44742</v>
      </c>
    </row>
    <row r="115" spans="1:15" x14ac:dyDescent="0.25">
      <c r="A115" s="8">
        <v>3507</v>
      </c>
      <c r="C115" t="s">
        <v>2921</v>
      </c>
      <c r="D115" t="s">
        <v>2921</v>
      </c>
      <c r="F115" t="s">
        <v>2921</v>
      </c>
      <c r="G115" s="1" t="s">
        <v>2921</v>
      </c>
      <c r="H115" s="1"/>
      <c r="J115" t="s">
        <v>18</v>
      </c>
      <c r="M115" s="74"/>
      <c r="N115" s="1"/>
    </row>
    <row r="116" spans="1:15" x14ac:dyDescent="0.25">
      <c r="A116" s="8">
        <v>3508</v>
      </c>
      <c r="C116" t="s">
        <v>135</v>
      </c>
      <c r="D116" t="s">
        <v>136</v>
      </c>
      <c r="F116" t="s">
        <v>2922</v>
      </c>
      <c r="G116" s="1">
        <v>44587</v>
      </c>
      <c r="H116" s="1"/>
      <c r="I116" t="s">
        <v>1737</v>
      </c>
      <c r="J116" t="s">
        <v>29</v>
      </c>
      <c r="M116" s="74">
        <v>1</v>
      </c>
      <c r="N116" s="1" t="s">
        <v>2923</v>
      </c>
    </row>
    <row r="117" spans="1:15" x14ac:dyDescent="0.25">
      <c r="A117" s="8">
        <v>3509</v>
      </c>
      <c r="C117" t="s">
        <v>135</v>
      </c>
      <c r="D117" t="s">
        <v>25</v>
      </c>
      <c r="F117" t="s">
        <v>2924</v>
      </c>
      <c r="G117" s="1">
        <v>44589</v>
      </c>
      <c r="H117" s="1"/>
      <c r="J117" t="s">
        <v>18</v>
      </c>
      <c r="M117" s="74"/>
      <c r="N117" s="1"/>
    </row>
    <row r="118" spans="1:15" x14ac:dyDescent="0.25">
      <c r="A118" s="8">
        <v>3510</v>
      </c>
      <c r="C118" t="s">
        <v>2925</v>
      </c>
      <c r="D118" t="s">
        <v>2840</v>
      </c>
      <c r="F118" t="s">
        <v>2926</v>
      </c>
      <c r="G118" s="1">
        <v>44594</v>
      </c>
      <c r="H118" s="1"/>
      <c r="J118" t="s">
        <v>29</v>
      </c>
      <c r="M118" s="74"/>
      <c r="N118" s="1"/>
    </row>
    <row r="119" spans="1:15" x14ac:dyDescent="0.25">
      <c r="A119" s="8">
        <v>3511</v>
      </c>
      <c r="C119" t="s">
        <v>325</v>
      </c>
      <c r="D119" t="s">
        <v>411</v>
      </c>
      <c r="F119" t="s">
        <v>2927</v>
      </c>
      <c r="G119" s="1">
        <v>44599</v>
      </c>
      <c r="H119" s="1"/>
      <c r="J119" t="s">
        <v>29</v>
      </c>
      <c r="M119" s="74"/>
      <c r="N119" s="1"/>
    </row>
    <row r="120" spans="1:15" x14ac:dyDescent="0.25">
      <c r="A120" s="8">
        <v>3512</v>
      </c>
      <c r="C120" t="s">
        <v>220</v>
      </c>
      <c r="D120" t="s">
        <v>1777</v>
      </c>
      <c r="F120" t="s">
        <v>2928</v>
      </c>
      <c r="G120" s="1">
        <v>44606</v>
      </c>
      <c r="H120" s="1"/>
      <c r="J120" t="s">
        <v>29</v>
      </c>
      <c r="M120" s="74">
        <v>100</v>
      </c>
      <c r="N120" s="1" t="s">
        <v>2929</v>
      </c>
    </row>
    <row r="121" spans="1:15" x14ac:dyDescent="0.25">
      <c r="A121" s="8">
        <v>3513</v>
      </c>
      <c r="C121" t="s">
        <v>433</v>
      </c>
      <c r="D121" t="s">
        <v>2352</v>
      </c>
      <c r="F121" t="s">
        <v>2930</v>
      </c>
      <c r="G121" s="1">
        <v>44608</v>
      </c>
      <c r="H121" s="1"/>
      <c r="J121" t="s">
        <v>18</v>
      </c>
      <c r="M121" s="74"/>
      <c r="N121" s="1"/>
    </row>
    <row r="122" spans="1:15" x14ac:dyDescent="0.25">
      <c r="A122" s="8">
        <v>3514</v>
      </c>
      <c r="C122" t="s">
        <v>433</v>
      </c>
      <c r="D122" t="s">
        <v>2931</v>
      </c>
      <c r="F122" t="s">
        <v>2932</v>
      </c>
      <c r="G122" s="1">
        <v>44610</v>
      </c>
      <c r="H122" s="1"/>
      <c r="J122" t="s">
        <v>18</v>
      </c>
      <c r="M122" s="74"/>
      <c r="N122" s="1"/>
    </row>
    <row r="123" spans="1:15" x14ac:dyDescent="0.25">
      <c r="A123" s="8">
        <v>3515</v>
      </c>
      <c r="C123" t="s">
        <v>24</v>
      </c>
      <c r="D123" t="s">
        <v>1777</v>
      </c>
      <c r="F123" t="s">
        <v>2933</v>
      </c>
      <c r="G123" s="1">
        <v>44610</v>
      </c>
      <c r="H123" s="1"/>
      <c r="I123" t="s">
        <v>1737</v>
      </c>
      <c r="J123" t="s">
        <v>29</v>
      </c>
      <c r="K123" t="s">
        <v>29</v>
      </c>
      <c r="M123" s="74">
        <v>1</v>
      </c>
      <c r="N123" s="1" t="s">
        <v>2934</v>
      </c>
      <c r="O123" t="s">
        <v>2935</v>
      </c>
    </row>
    <row r="124" spans="1:15" x14ac:dyDescent="0.25">
      <c r="A124" s="8">
        <v>3516</v>
      </c>
      <c r="C124" t="s">
        <v>325</v>
      </c>
      <c r="D124" t="s">
        <v>253</v>
      </c>
      <c r="F124" t="s">
        <v>2936</v>
      </c>
      <c r="G124" s="1">
        <v>44612</v>
      </c>
      <c r="H124" s="1"/>
      <c r="I124" t="s">
        <v>1737</v>
      </c>
      <c r="J124" t="s">
        <v>29</v>
      </c>
      <c r="M124" s="74">
        <v>1</v>
      </c>
      <c r="N124" s="1" t="s">
        <v>2937</v>
      </c>
    </row>
    <row r="125" spans="1:15" x14ac:dyDescent="0.25">
      <c r="A125" s="8">
        <v>3517</v>
      </c>
      <c r="C125" t="s">
        <v>220</v>
      </c>
      <c r="D125" t="s">
        <v>32</v>
      </c>
      <c r="F125" t="s">
        <v>2938</v>
      </c>
      <c r="G125" s="1">
        <v>44620</v>
      </c>
      <c r="H125" s="1"/>
      <c r="J125" t="s">
        <v>29</v>
      </c>
      <c r="M125" s="74"/>
      <c r="N125" s="1"/>
    </row>
    <row r="126" spans="1:15" x14ac:dyDescent="0.25">
      <c r="A126" s="8">
        <v>3518</v>
      </c>
      <c r="C126" t="s">
        <v>714</v>
      </c>
      <c r="D126" t="s">
        <v>2352</v>
      </c>
      <c r="F126" t="s">
        <v>2939</v>
      </c>
      <c r="G126" s="1">
        <v>44620</v>
      </c>
      <c r="H126" s="1"/>
      <c r="J126" t="s">
        <v>18</v>
      </c>
      <c r="M126" s="74"/>
      <c r="N126" s="1"/>
    </row>
    <row r="127" spans="1:15" x14ac:dyDescent="0.25">
      <c r="A127" s="8">
        <v>3519</v>
      </c>
      <c r="C127" t="s">
        <v>2940</v>
      </c>
      <c r="D127" t="s">
        <v>47</v>
      </c>
      <c r="F127" t="s">
        <v>2941</v>
      </c>
      <c r="G127" s="1">
        <v>44621</v>
      </c>
      <c r="H127" s="1"/>
      <c r="J127" t="s">
        <v>29</v>
      </c>
      <c r="M127" s="74"/>
      <c r="N127" s="1"/>
    </row>
    <row r="128" spans="1:15" x14ac:dyDescent="0.25">
      <c r="A128" s="8">
        <v>3520</v>
      </c>
      <c r="C128" t="s">
        <v>2756</v>
      </c>
      <c r="D128" t="s">
        <v>14</v>
      </c>
      <c r="F128" t="s">
        <v>2272</v>
      </c>
      <c r="G128" s="1">
        <v>44623</v>
      </c>
      <c r="H128" s="1"/>
      <c r="J128" t="s">
        <v>29</v>
      </c>
      <c r="M128" s="74"/>
      <c r="N128" s="1"/>
    </row>
    <row r="129" spans="1:14" x14ac:dyDescent="0.25">
      <c r="A129" s="8">
        <v>3521</v>
      </c>
      <c r="C129" t="s">
        <v>220</v>
      </c>
      <c r="D129" t="s">
        <v>253</v>
      </c>
      <c r="F129" t="s">
        <v>2942</v>
      </c>
      <c r="G129" s="1">
        <v>44627</v>
      </c>
      <c r="H129" s="1"/>
      <c r="J129" t="s">
        <v>18</v>
      </c>
      <c r="L129" t="s">
        <v>2943</v>
      </c>
      <c r="M129" s="74"/>
      <c r="N129" s="1"/>
    </row>
    <row r="130" spans="1:14" x14ac:dyDescent="0.25">
      <c r="A130" s="8">
        <v>3522</v>
      </c>
      <c r="C130" t="s">
        <v>2507</v>
      </c>
      <c r="D130" t="s">
        <v>298</v>
      </c>
      <c r="F130" t="s">
        <v>2944</v>
      </c>
      <c r="G130" s="1">
        <v>44634</v>
      </c>
      <c r="H130" s="1"/>
      <c r="J130" t="s">
        <v>29</v>
      </c>
      <c r="M130" s="74"/>
      <c r="N130" s="1"/>
    </row>
    <row r="131" spans="1:14" x14ac:dyDescent="0.25">
      <c r="A131" s="8">
        <v>3523</v>
      </c>
      <c r="B131" t="s">
        <v>2945</v>
      </c>
      <c r="C131" t="s">
        <v>24</v>
      </c>
      <c r="D131" t="s">
        <v>126</v>
      </c>
      <c r="F131" t="s">
        <v>2946</v>
      </c>
      <c r="G131" s="1">
        <v>44636</v>
      </c>
      <c r="H131" s="1"/>
      <c r="I131" t="s">
        <v>1737</v>
      </c>
      <c r="J131" t="s">
        <v>29</v>
      </c>
      <c r="L131" t="s">
        <v>931</v>
      </c>
      <c r="M131" s="74">
        <v>100</v>
      </c>
      <c r="N131" s="1" t="s">
        <v>2947</v>
      </c>
    </row>
    <row r="132" spans="1:14" x14ac:dyDescent="0.25">
      <c r="A132" s="8">
        <v>3524</v>
      </c>
      <c r="C132" t="s">
        <v>325</v>
      </c>
      <c r="D132" t="s">
        <v>163</v>
      </c>
      <c r="F132" t="s">
        <v>2948</v>
      </c>
      <c r="G132" s="1">
        <v>44636</v>
      </c>
      <c r="H132" s="1"/>
      <c r="J132" t="s">
        <v>29</v>
      </c>
      <c r="M132" s="74"/>
      <c r="N132" s="1"/>
    </row>
    <row r="133" spans="1:14" x14ac:dyDescent="0.25">
      <c r="A133" s="8">
        <v>3525</v>
      </c>
      <c r="D133" t="s">
        <v>2949</v>
      </c>
      <c r="F133" t="s">
        <v>2950</v>
      </c>
      <c r="G133" s="1">
        <v>44637</v>
      </c>
      <c r="H133" s="1"/>
      <c r="J133" t="s">
        <v>18</v>
      </c>
      <c r="K133" t="s">
        <v>29</v>
      </c>
      <c r="M133" s="74"/>
      <c r="N133" s="1"/>
    </row>
    <row r="134" spans="1:14" x14ac:dyDescent="0.25">
      <c r="A134" s="8">
        <v>3526</v>
      </c>
      <c r="C134" t="s">
        <v>220</v>
      </c>
      <c r="D134" t="s">
        <v>253</v>
      </c>
      <c r="F134" t="s">
        <v>2951</v>
      </c>
      <c r="G134" s="1">
        <v>44637</v>
      </c>
      <c r="H134" s="1"/>
      <c r="I134" t="s">
        <v>2952</v>
      </c>
      <c r="J134" t="s">
        <v>29</v>
      </c>
      <c r="K134" t="s">
        <v>29</v>
      </c>
      <c r="M134" s="74">
        <v>0.35</v>
      </c>
      <c r="N134" s="1">
        <v>44887</v>
      </c>
    </row>
    <row r="135" spans="1:14" x14ac:dyDescent="0.25">
      <c r="A135" s="8">
        <v>3527</v>
      </c>
      <c r="C135" t="s">
        <v>220</v>
      </c>
      <c r="D135" t="s">
        <v>25</v>
      </c>
      <c r="F135" t="s">
        <v>2953</v>
      </c>
      <c r="G135" s="1">
        <v>44641</v>
      </c>
      <c r="H135" s="1"/>
      <c r="J135" t="s">
        <v>18</v>
      </c>
      <c r="M135" s="74"/>
      <c r="N135" s="1"/>
    </row>
    <row r="136" spans="1:14" x14ac:dyDescent="0.25">
      <c r="A136" s="8">
        <v>3528</v>
      </c>
      <c r="C136" t="s">
        <v>2954</v>
      </c>
      <c r="D136" t="s">
        <v>104</v>
      </c>
      <c r="F136" t="s">
        <v>2955</v>
      </c>
      <c r="G136" s="1">
        <v>44642</v>
      </c>
      <c r="H136" s="1"/>
      <c r="J136" t="s">
        <v>29</v>
      </c>
      <c r="M136" s="74"/>
      <c r="N136" s="1"/>
    </row>
    <row r="137" spans="1:14" x14ac:dyDescent="0.25">
      <c r="A137" s="8">
        <v>3529</v>
      </c>
      <c r="C137" t="s">
        <v>2956</v>
      </c>
      <c r="D137" t="s">
        <v>1716</v>
      </c>
      <c r="F137" t="s">
        <v>2957</v>
      </c>
      <c r="G137" s="1">
        <v>44645</v>
      </c>
      <c r="H137" s="1"/>
      <c r="I137" t="s">
        <v>1737</v>
      </c>
      <c r="J137" t="s">
        <v>29</v>
      </c>
      <c r="M137" s="74">
        <v>1</v>
      </c>
      <c r="N137" s="1" t="s">
        <v>2958</v>
      </c>
    </row>
    <row r="138" spans="1:14" x14ac:dyDescent="0.25">
      <c r="A138" s="8">
        <v>3530</v>
      </c>
      <c r="C138" t="s">
        <v>220</v>
      </c>
      <c r="D138" t="s">
        <v>2915</v>
      </c>
      <c r="F138" t="s">
        <v>2959</v>
      </c>
      <c r="G138" s="1">
        <v>44657</v>
      </c>
      <c r="H138" s="1"/>
      <c r="I138" t="s">
        <v>1737</v>
      </c>
      <c r="J138" t="s">
        <v>29</v>
      </c>
      <c r="M138" s="74">
        <v>100</v>
      </c>
      <c r="N138" s="1">
        <v>45076</v>
      </c>
    </row>
    <row r="139" spans="1:14" x14ac:dyDescent="0.25">
      <c r="A139" s="8">
        <v>3531</v>
      </c>
      <c r="C139" t="s">
        <v>325</v>
      </c>
      <c r="D139" t="s">
        <v>2919</v>
      </c>
      <c r="F139" t="s">
        <v>2960</v>
      </c>
      <c r="G139" s="1">
        <v>44658</v>
      </c>
      <c r="H139" s="1"/>
      <c r="J139" t="s">
        <v>29</v>
      </c>
      <c r="M139" s="74"/>
      <c r="N139" s="1"/>
    </row>
    <row r="140" spans="1:14" x14ac:dyDescent="0.25">
      <c r="A140" s="8">
        <v>3532</v>
      </c>
      <c r="C140" t="s">
        <v>2888</v>
      </c>
      <c r="D140" t="s">
        <v>411</v>
      </c>
      <c r="F140" t="s">
        <v>2961</v>
      </c>
      <c r="G140" s="1">
        <v>44658</v>
      </c>
      <c r="H140" s="1"/>
      <c r="J140" t="s">
        <v>29</v>
      </c>
      <c r="M140" s="74"/>
      <c r="N140" s="1"/>
    </row>
    <row r="141" spans="1:14" x14ac:dyDescent="0.25">
      <c r="A141" s="8">
        <v>3533</v>
      </c>
      <c r="C141" t="s">
        <v>704</v>
      </c>
      <c r="D141" t="s">
        <v>1695</v>
      </c>
      <c r="F141" t="s">
        <v>2962</v>
      </c>
      <c r="G141" s="1">
        <v>44659</v>
      </c>
      <c r="H141" s="1"/>
      <c r="I141" t="s">
        <v>2762</v>
      </c>
      <c r="J141" t="s">
        <v>18</v>
      </c>
      <c r="K141" t="s">
        <v>29</v>
      </c>
      <c r="L141">
        <v>12016</v>
      </c>
      <c r="M141" s="74">
        <v>1</v>
      </c>
      <c r="N141" s="1">
        <v>44846</v>
      </c>
    </row>
    <row r="142" spans="1:14" x14ac:dyDescent="0.25">
      <c r="A142" s="8">
        <v>3534</v>
      </c>
      <c r="C142" t="s">
        <v>24</v>
      </c>
      <c r="D142" t="s">
        <v>126</v>
      </c>
      <c r="F142" t="s">
        <v>2963</v>
      </c>
      <c r="G142" s="1">
        <v>44670</v>
      </c>
      <c r="H142" s="1"/>
      <c r="J142" t="s">
        <v>29</v>
      </c>
      <c r="M142" s="74"/>
      <c r="N142" s="1"/>
    </row>
    <row r="143" spans="1:14" x14ac:dyDescent="0.25">
      <c r="A143" s="8">
        <v>3535</v>
      </c>
      <c r="C143" t="s">
        <v>31</v>
      </c>
      <c r="D143" t="s">
        <v>163</v>
      </c>
      <c r="F143" t="s">
        <v>2964</v>
      </c>
      <c r="G143" s="1">
        <v>44671</v>
      </c>
      <c r="H143" s="1"/>
      <c r="J143" t="s">
        <v>18</v>
      </c>
      <c r="M143" s="74"/>
      <c r="N143" s="1"/>
    </row>
    <row r="144" spans="1:14" x14ac:dyDescent="0.25">
      <c r="A144" s="8">
        <v>3536</v>
      </c>
      <c r="C144" t="s">
        <v>220</v>
      </c>
      <c r="D144" t="s">
        <v>298</v>
      </c>
      <c r="F144" t="s">
        <v>2965</v>
      </c>
      <c r="G144" s="1">
        <v>44676</v>
      </c>
      <c r="H144" s="1"/>
      <c r="I144" t="s">
        <v>2952</v>
      </c>
      <c r="J144" t="s">
        <v>29</v>
      </c>
      <c r="M144" s="74">
        <v>0.6</v>
      </c>
      <c r="N144" s="1">
        <v>44910</v>
      </c>
    </row>
    <row r="145" spans="1:15" x14ac:dyDescent="0.25">
      <c r="A145" s="8">
        <v>3537</v>
      </c>
      <c r="C145" t="s">
        <v>24</v>
      </c>
      <c r="D145" t="s">
        <v>126</v>
      </c>
      <c r="F145" t="s">
        <v>2966</v>
      </c>
      <c r="G145" s="1">
        <v>44677</v>
      </c>
      <c r="H145" s="1"/>
      <c r="J145" t="s">
        <v>29</v>
      </c>
      <c r="L145" t="s">
        <v>2967</v>
      </c>
      <c r="M145" s="74"/>
      <c r="N145" s="1"/>
    </row>
    <row r="146" spans="1:15" x14ac:dyDescent="0.25">
      <c r="A146" s="8">
        <v>3538</v>
      </c>
      <c r="C146" t="s">
        <v>325</v>
      </c>
      <c r="D146" t="s">
        <v>2968</v>
      </c>
      <c r="F146" t="s">
        <v>2969</v>
      </c>
      <c r="G146" s="1">
        <v>44679</v>
      </c>
      <c r="H146" s="1"/>
      <c r="J146" t="s">
        <v>18</v>
      </c>
      <c r="M146" s="74"/>
      <c r="N146" s="1"/>
    </row>
    <row r="147" spans="1:15" x14ac:dyDescent="0.25">
      <c r="A147" s="8">
        <v>3539</v>
      </c>
      <c r="C147" t="s">
        <v>2921</v>
      </c>
      <c r="D147" t="s">
        <v>2921</v>
      </c>
      <c r="F147" t="s">
        <v>2921</v>
      </c>
      <c r="G147" s="1" t="s">
        <v>2921</v>
      </c>
      <c r="H147" s="1"/>
      <c r="J147" t="s">
        <v>29</v>
      </c>
      <c r="M147" s="74"/>
      <c r="N147" s="1"/>
    </row>
    <row r="148" spans="1:15" x14ac:dyDescent="0.25">
      <c r="A148" s="8">
        <v>3540</v>
      </c>
      <c r="C148" t="s">
        <v>499</v>
      </c>
      <c r="D148" t="s">
        <v>1783</v>
      </c>
      <c r="F148" t="s">
        <v>2970</v>
      </c>
      <c r="G148" s="1">
        <v>44680</v>
      </c>
      <c r="H148" s="1"/>
      <c r="I148" t="s">
        <v>2762</v>
      </c>
      <c r="J148" t="s">
        <v>18</v>
      </c>
      <c r="M148" s="74">
        <v>1</v>
      </c>
      <c r="N148" s="1">
        <v>44838</v>
      </c>
    </row>
    <row r="149" spans="1:15" x14ac:dyDescent="0.25">
      <c r="A149" s="8">
        <v>3541</v>
      </c>
      <c r="C149" t="s">
        <v>220</v>
      </c>
      <c r="D149" t="s">
        <v>25</v>
      </c>
      <c r="F149" t="s">
        <v>2971</v>
      </c>
      <c r="G149" s="1">
        <v>44683</v>
      </c>
      <c r="H149" s="1"/>
      <c r="J149" t="s">
        <v>18</v>
      </c>
      <c r="L149" t="s">
        <v>2972</v>
      </c>
      <c r="M149" s="74"/>
      <c r="N149" s="1"/>
    </row>
    <row r="150" spans="1:15" x14ac:dyDescent="0.25">
      <c r="A150" s="8">
        <v>3542</v>
      </c>
      <c r="C150" t="s">
        <v>2507</v>
      </c>
      <c r="D150" t="s">
        <v>253</v>
      </c>
      <c r="F150" t="s">
        <v>2973</v>
      </c>
      <c r="G150" s="1">
        <v>44683</v>
      </c>
      <c r="H150" s="1"/>
      <c r="J150" t="s">
        <v>18</v>
      </c>
      <c r="L150" t="s">
        <v>2974</v>
      </c>
      <c r="M150" s="74"/>
      <c r="N150" s="1"/>
    </row>
    <row r="151" spans="1:15" x14ac:dyDescent="0.25">
      <c r="A151" s="8">
        <v>3543</v>
      </c>
      <c r="C151" t="s">
        <v>2940</v>
      </c>
      <c r="D151" t="s">
        <v>2975</v>
      </c>
      <c r="F151" t="s">
        <v>2976</v>
      </c>
      <c r="G151" s="1">
        <v>44683</v>
      </c>
      <c r="H151" s="1"/>
      <c r="J151" t="s">
        <v>18</v>
      </c>
      <c r="M151" s="74"/>
      <c r="N151" s="1"/>
    </row>
    <row r="152" spans="1:15" x14ac:dyDescent="0.25">
      <c r="A152" s="8">
        <v>3544</v>
      </c>
      <c r="C152" t="s">
        <v>24</v>
      </c>
      <c r="D152" t="s">
        <v>1777</v>
      </c>
      <c r="F152" t="s">
        <v>2977</v>
      </c>
      <c r="G152" s="1">
        <v>44684</v>
      </c>
      <c r="H152" s="1"/>
      <c r="J152" t="s">
        <v>18</v>
      </c>
      <c r="M152" s="74"/>
      <c r="N152" s="1"/>
    </row>
    <row r="153" spans="1:15" x14ac:dyDescent="0.25">
      <c r="A153" s="8">
        <v>3545</v>
      </c>
      <c r="C153" t="s">
        <v>2507</v>
      </c>
      <c r="D153" t="s">
        <v>2978</v>
      </c>
      <c r="F153" t="s">
        <v>2979</v>
      </c>
      <c r="G153" s="1">
        <v>44685</v>
      </c>
      <c r="H153" s="1"/>
      <c r="J153" t="s">
        <v>18</v>
      </c>
      <c r="L153" t="s">
        <v>2980</v>
      </c>
      <c r="M153" s="74"/>
      <c r="N153" s="1"/>
    </row>
    <row r="154" spans="1:15" x14ac:dyDescent="0.25">
      <c r="A154" s="8">
        <v>3546</v>
      </c>
      <c r="C154" t="s">
        <v>24</v>
      </c>
      <c r="D154" t="s">
        <v>2352</v>
      </c>
      <c r="F154" t="s">
        <v>2981</v>
      </c>
      <c r="G154" s="1">
        <v>44686</v>
      </c>
      <c r="H154" s="1"/>
      <c r="I154" t="s">
        <v>2762</v>
      </c>
      <c r="J154" t="s">
        <v>29</v>
      </c>
      <c r="M154" s="74"/>
      <c r="N154" s="1"/>
      <c r="O154" t="s">
        <v>2982</v>
      </c>
    </row>
    <row r="155" spans="1:15" x14ac:dyDescent="0.25">
      <c r="A155" s="8">
        <v>3547</v>
      </c>
      <c r="C155" t="s">
        <v>220</v>
      </c>
      <c r="D155" t="s">
        <v>32</v>
      </c>
      <c r="F155" t="s">
        <v>2983</v>
      </c>
      <c r="G155" s="1">
        <v>44686</v>
      </c>
      <c r="H155" s="1"/>
      <c r="I155" t="s">
        <v>1737</v>
      </c>
      <c r="J155" t="s">
        <v>18</v>
      </c>
      <c r="M155" s="74">
        <v>100</v>
      </c>
      <c r="N155" s="1">
        <v>44923</v>
      </c>
    </row>
    <row r="156" spans="1:15" x14ac:dyDescent="0.25">
      <c r="A156" s="8">
        <v>3548</v>
      </c>
      <c r="C156" t="s">
        <v>24</v>
      </c>
      <c r="D156" t="s">
        <v>1777</v>
      </c>
      <c r="F156" t="s">
        <v>2984</v>
      </c>
      <c r="G156" s="1">
        <v>44686</v>
      </c>
      <c r="H156" s="1"/>
      <c r="J156" t="s">
        <v>29</v>
      </c>
      <c r="M156" s="74"/>
      <c r="N156" s="1"/>
    </row>
    <row r="157" spans="1:15" x14ac:dyDescent="0.25">
      <c r="A157" s="8">
        <v>3549</v>
      </c>
      <c r="C157" t="s">
        <v>2507</v>
      </c>
      <c r="D157" t="s">
        <v>2568</v>
      </c>
      <c r="F157" t="s">
        <v>2985</v>
      </c>
      <c r="G157" s="1">
        <v>44690</v>
      </c>
      <c r="H157" s="1"/>
      <c r="J157" t="s">
        <v>18</v>
      </c>
      <c r="L157" t="s">
        <v>2986</v>
      </c>
      <c r="M157" s="74"/>
      <c r="N157" s="1"/>
    </row>
    <row r="158" spans="1:15" x14ac:dyDescent="0.25">
      <c r="A158" s="8">
        <v>3550</v>
      </c>
      <c r="C158" t="s">
        <v>2507</v>
      </c>
      <c r="D158" t="s">
        <v>298</v>
      </c>
      <c r="F158" t="s">
        <v>2987</v>
      </c>
      <c r="G158" s="1">
        <v>44692</v>
      </c>
      <c r="H158" s="1"/>
      <c r="J158" t="s">
        <v>18</v>
      </c>
      <c r="L158" t="s">
        <v>2988</v>
      </c>
      <c r="M158" s="74"/>
      <c r="N158" s="1"/>
    </row>
    <row r="159" spans="1:15" x14ac:dyDescent="0.25">
      <c r="A159" s="8">
        <v>3551</v>
      </c>
      <c r="C159" t="s">
        <v>2507</v>
      </c>
      <c r="D159" t="s">
        <v>298</v>
      </c>
      <c r="F159" t="s">
        <v>2989</v>
      </c>
      <c r="G159" s="1">
        <v>44692</v>
      </c>
      <c r="H159" s="1"/>
      <c r="J159" t="s">
        <v>18</v>
      </c>
      <c r="L159" t="s">
        <v>2990</v>
      </c>
      <c r="M159" s="74"/>
      <c r="N159" s="1"/>
    </row>
    <row r="160" spans="1:15" x14ac:dyDescent="0.25">
      <c r="A160" s="8">
        <v>3552</v>
      </c>
      <c r="C160" t="s">
        <v>2507</v>
      </c>
      <c r="D160" t="s">
        <v>298</v>
      </c>
      <c r="F160" t="s">
        <v>2991</v>
      </c>
      <c r="G160" s="1">
        <v>44692</v>
      </c>
      <c r="H160" s="1"/>
      <c r="J160" t="s">
        <v>18</v>
      </c>
      <c r="L160" t="s">
        <v>2992</v>
      </c>
      <c r="M160" s="74"/>
      <c r="N160" s="1"/>
    </row>
    <row r="161" spans="1:15" x14ac:dyDescent="0.25">
      <c r="A161" s="8">
        <v>3553</v>
      </c>
      <c r="C161" t="s">
        <v>24</v>
      </c>
      <c r="D161" t="s">
        <v>126</v>
      </c>
      <c r="F161" t="s">
        <v>2993</v>
      </c>
      <c r="G161" s="1">
        <v>44697</v>
      </c>
      <c r="H161" s="1"/>
      <c r="J161" t="s">
        <v>29</v>
      </c>
      <c r="M161" s="74">
        <v>100</v>
      </c>
      <c r="N161" s="1" t="s">
        <v>2994</v>
      </c>
    </row>
    <row r="162" spans="1:15" x14ac:dyDescent="0.25">
      <c r="A162" s="8">
        <v>3554</v>
      </c>
      <c r="B162">
        <v>3597</v>
      </c>
      <c r="C162" t="s">
        <v>220</v>
      </c>
      <c r="D162" t="s">
        <v>32</v>
      </c>
      <c r="F162" t="s">
        <v>2995</v>
      </c>
      <c r="G162" s="1">
        <v>44700</v>
      </c>
      <c r="H162" s="1"/>
      <c r="J162" t="s">
        <v>29</v>
      </c>
      <c r="M162" s="74">
        <v>100</v>
      </c>
      <c r="N162" s="1"/>
    </row>
    <row r="163" spans="1:15" x14ac:dyDescent="0.25">
      <c r="A163" s="8">
        <v>3555</v>
      </c>
      <c r="C163" t="s">
        <v>31</v>
      </c>
      <c r="D163" t="s">
        <v>253</v>
      </c>
      <c r="F163" t="s">
        <v>2996</v>
      </c>
      <c r="G163" s="1">
        <v>44704</v>
      </c>
      <c r="H163" s="1"/>
      <c r="J163" t="s">
        <v>29</v>
      </c>
      <c r="L163" t="s">
        <v>2997</v>
      </c>
      <c r="M163" s="74">
        <v>100</v>
      </c>
      <c r="N163" s="1" t="s">
        <v>2998</v>
      </c>
    </row>
    <row r="164" spans="1:15" x14ac:dyDescent="0.25">
      <c r="A164" s="8">
        <v>3556</v>
      </c>
      <c r="C164" t="s">
        <v>2999</v>
      </c>
      <c r="D164" t="s">
        <v>298</v>
      </c>
      <c r="F164" t="s">
        <v>3000</v>
      </c>
      <c r="G164" s="1">
        <v>44706</v>
      </c>
      <c r="H164" s="1"/>
      <c r="I164" t="s">
        <v>1737</v>
      </c>
      <c r="J164" t="s">
        <v>29</v>
      </c>
      <c r="L164" t="s">
        <v>3001</v>
      </c>
      <c r="M164" s="74">
        <v>100</v>
      </c>
      <c r="N164" s="1">
        <v>44910</v>
      </c>
    </row>
    <row r="165" spans="1:15" x14ac:dyDescent="0.25">
      <c r="A165" s="8">
        <v>3557</v>
      </c>
      <c r="C165" t="s">
        <v>24</v>
      </c>
      <c r="D165" t="s">
        <v>126</v>
      </c>
      <c r="F165" t="s">
        <v>3002</v>
      </c>
      <c r="G165" s="1">
        <v>44707</v>
      </c>
      <c r="H165" s="1"/>
      <c r="J165" t="s">
        <v>29</v>
      </c>
      <c r="M165" s="74"/>
      <c r="N165" s="1"/>
    </row>
    <row r="166" spans="1:15" x14ac:dyDescent="0.25">
      <c r="A166" s="8">
        <v>3558</v>
      </c>
      <c r="C166" t="s">
        <v>13</v>
      </c>
      <c r="D166" t="s">
        <v>55</v>
      </c>
      <c r="F166" t="s">
        <v>3003</v>
      </c>
      <c r="G166" s="1">
        <v>44707</v>
      </c>
      <c r="H166" s="1"/>
      <c r="J166" t="s">
        <v>29</v>
      </c>
      <c r="M166" s="74">
        <v>100</v>
      </c>
      <c r="N166" s="1" t="s">
        <v>3004</v>
      </c>
    </row>
    <row r="167" spans="1:15" x14ac:dyDescent="0.25">
      <c r="A167" s="8">
        <v>3559</v>
      </c>
      <c r="C167" t="s">
        <v>499</v>
      </c>
      <c r="D167" t="s">
        <v>14</v>
      </c>
      <c r="F167" t="s">
        <v>3005</v>
      </c>
      <c r="G167" s="1">
        <v>44712</v>
      </c>
      <c r="H167" s="1"/>
      <c r="J167" t="s">
        <v>29</v>
      </c>
      <c r="M167" s="74"/>
      <c r="N167" s="1"/>
    </row>
    <row r="168" spans="1:15" x14ac:dyDescent="0.25">
      <c r="A168" s="8">
        <v>3560</v>
      </c>
      <c r="C168" t="s">
        <v>2913</v>
      </c>
      <c r="D168" t="s">
        <v>3006</v>
      </c>
      <c r="F168" t="s">
        <v>3007</v>
      </c>
      <c r="G168" s="1">
        <v>44713</v>
      </c>
      <c r="H168" s="1"/>
      <c r="J168" t="s">
        <v>29</v>
      </c>
      <c r="M168" s="74"/>
      <c r="N168" s="1"/>
    </row>
    <row r="169" spans="1:15" x14ac:dyDescent="0.25">
      <c r="A169" s="8">
        <v>3561</v>
      </c>
      <c r="D169" t="s">
        <v>3008</v>
      </c>
      <c r="F169" t="s">
        <v>3009</v>
      </c>
      <c r="G169" s="1">
        <v>44718</v>
      </c>
      <c r="H169" s="1"/>
      <c r="J169" t="s">
        <v>18</v>
      </c>
      <c r="K169" t="s">
        <v>29</v>
      </c>
      <c r="L169">
        <v>4510151291</v>
      </c>
      <c r="M169" s="74"/>
      <c r="N169" s="1"/>
    </row>
    <row r="170" spans="1:15" x14ac:dyDescent="0.25">
      <c r="A170" s="8">
        <v>3562</v>
      </c>
      <c r="C170" t="s">
        <v>714</v>
      </c>
      <c r="D170" t="s">
        <v>2352</v>
      </c>
      <c r="F170" t="s">
        <v>3010</v>
      </c>
      <c r="G170" s="1">
        <v>44721</v>
      </c>
      <c r="H170" s="1"/>
      <c r="I170" t="s">
        <v>1737</v>
      </c>
      <c r="J170" t="s">
        <v>18</v>
      </c>
      <c r="M170" s="74">
        <v>100</v>
      </c>
      <c r="N170" s="1">
        <v>45023</v>
      </c>
    </row>
    <row r="171" spans="1:15" x14ac:dyDescent="0.25">
      <c r="A171" s="8">
        <v>3563</v>
      </c>
      <c r="C171" t="s">
        <v>2785</v>
      </c>
      <c r="D171" t="s">
        <v>479</v>
      </c>
      <c r="F171" t="s">
        <v>3011</v>
      </c>
      <c r="G171" s="1">
        <v>44721</v>
      </c>
      <c r="H171" s="1"/>
      <c r="J171" t="s">
        <v>29</v>
      </c>
      <c r="M171" s="74"/>
      <c r="N171" s="1"/>
    </row>
    <row r="172" spans="1:15" x14ac:dyDescent="0.25">
      <c r="A172" s="8">
        <v>3564</v>
      </c>
      <c r="C172" t="s">
        <v>3012</v>
      </c>
      <c r="D172" t="s">
        <v>104</v>
      </c>
      <c r="F172" t="s">
        <v>3013</v>
      </c>
      <c r="G172" s="1">
        <v>44725</v>
      </c>
      <c r="H172" s="1"/>
      <c r="J172" t="s">
        <v>29</v>
      </c>
      <c r="M172" s="74"/>
      <c r="N172" s="1"/>
    </row>
    <row r="173" spans="1:15" x14ac:dyDescent="0.25">
      <c r="A173" s="8">
        <v>3565</v>
      </c>
      <c r="C173" t="s">
        <v>24</v>
      </c>
      <c r="D173" t="s">
        <v>1777</v>
      </c>
      <c r="F173" t="s">
        <v>3014</v>
      </c>
      <c r="G173" s="1">
        <v>44726</v>
      </c>
      <c r="H173" s="1"/>
      <c r="J173" t="s">
        <v>29</v>
      </c>
      <c r="M173" s="74">
        <v>100</v>
      </c>
      <c r="N173" s="1">
        <v>44855</v>
      </c>
      <c r="O173" t="s">
        <v>3015</v>
      </c>
    </row>
    <row r="174" spans="1:15" x14ac:dyDescent="0.25">
      <c r="A174" s="8">
        <v>3566</v>
      </c>
      <c r="C174" t="s">
        <v>220</v>
      </c>
      <c r="D174" t="s">
        <v>163</v>
      </c>
      <c r="F174" t="s">
        <v>3016</v>
      </c>
      <c r="G174" s="1">
        <v>44735</v>
      </c>
      <c r="H174" s="1"/>
      <c r="I174" t="s">
        <v>1737</v>
      </c>
      <c r="J174" t="s">
        <v>29</v>
      </c>
      <c r="M174" s="74">
        <v>100</v>
      </c>
      <c r="N174" s="1">
        <v>44910</v>
      </c>
    </row>
    <row r="175" spans="1:15" x14ac:dyDescent="0.25">
      <c r="A175" s="8">
        <v>3567</v>
      </c>
      <c r="C175" t="s">
        <v>499</v>
      </c>
      <c r="D175" t="s">
        <v>1783</v>
      </c>
      <c r="F175" t="s">
        <v>3017</v>
      </c>
      <c r="G175" s="1">
        <v>44739</v>
      </c>
      <c r="H175" s="1"/>
      <c r="J175" t="s">
        <v>29</v>
      </c>
      <c r="M175" s="74">
        <v>1</v>
      </c>
      <c r="N175" s="1" t="s">
        <v>3018</v>
      </c>
    </row>
    <row r="176" spans="1:15" x14ac:dyDescent="0.25">
      <c r="A176" s="8">
        <v>3568</v>
      </c>
      <c r="C176" t="s">
        <v>24</v>
      </c>
      <c r="D176" t="s">
        <v>126</v>
      </c>
      <c r="F176" t="s">
        <v>3019</v>
      </c>
      <c r="G176" s="1">
        <v>44739</v>
      </c>
      <c r="H176" s="1"/>
      <c r="I176" t="s">
        <v>1737</v>
      </c>
      <c r="J176" t="s">
        <v>29</v>
      </c>
      <c r="M176" s="74">
        <v>100</v>
      </c>
      <c r="N176" s="1" t="s">
        <v>3020</v>
      </c>
    </row>
    <row r="177" spans="1:14" x14ac:dyDescent="0.25">
      <c r="A177" s="8">
        <v>3569</v>
      </c>
      <c r="C177" t="s">
        <v>714</v>
      </c>
      <c r="D177" t="s">
        <v>2352</v>
      </c>
      <c r="F177" t="s">
        <v>3021</v>
      </c>
      <c r="G177" s="1">
        <v>44740</v>
      </c>
      <c r="H177" s="1"/>
      <c r="I177" t="s">
        <v>1737</v>
      </c>
      <c r="J177" t="s">
        <v>29</v>
      </c>
      <c r="L177" t="s">
        <v>3022</v>
      </c>
      <c r="M177" s="74">
        <v>100</v>
      </c>
      <c r="N177" s="1">
        <v>44874</v>
      </c>
    </row>
    <row r="178" spans="1:14" x14ac:dyDescent="0.25">
      <c r="A178" s="8">
        <v>3570</v>
      </c>
      <c r="C178" t="s">
        <v>24</v>
      </c>
      <c r="D178" t="s">
        <v>126</v>
      </c>
      <c r="F178" t="s">
        <v>3023</v>
      </c>
      <c r="G178" s="1">
        <v>44740</v>
      </c>
      <c r="H178" s="1"/>
      <c r="J178" t="s">
        <v>29</v>
      </c>
      <c r="M178" s="74"/>
      <c r="N178" s="1"/>
    </row>
    <row r="179" spans="1:14" x14ac:dyDescent="0.25">
      <c r="A179" s="8">
        <v>3571</v>
      </c>
      <c r="C179" t="s">
        <v>24</v>
      </c>
      <c r="D179" t="s">
        <v>126</v>
      </c>
      <c r="F179" t="s">
        <v>3024</v>
      </c>
      <c r="G179" s="1">
        <v>44750</v>
      </c>
      <c r="H179" s="1"/>
      <c r="J179" t="s">
        <v>29</v>
      </c>
      <c r="M179" s="74"/>
      <c r="N179" s="1"/>
    </row>
    <row r="180" spans="1:14" x14ac:dyDescent="0.25">
      <c r="A180" s="8">
        <v>3572</v>
      </c>
      <c r="C180" t="s">
        <v>24</v>
      </c>
      <c r="D180" t="s">
        <v>126</v>
      </c>
      <c r="E180" t="s">
        <v>3025</v>
      </c>
      <c r="F180" t="s">
        <v>3026</v>
      </c>
      <c r="G180" s="1">
        <v>44755</v>
      </c>
      <c r="H180" s="1"/>
      <c r="J180" t="s">
        <v>29</v>
      </c>
      <c r="M180" s="74"/>
      <c r="N180" s="1"/>
    </row>
    <row r="181" spans="1:14" x14ac:dyDescent="0.25">
      <c r="A181" s="8">
        <v>3573</v>
      </c>
      <c r="C181" t="s">
        <v>704</v>
      </c>
      <c r="D181" t="s">
        <v>3027</v>
      </c>
      <c r="F181" t="s">
        <v>3028</v>
      </c>
      <c r="G181" s="1">
        <v>44757</v>
      </c>
      <c r="H181" s="1"/>
      <c r="I181" t="s">
        <v>2762</v>
      </c>
      <c r="J181" t="s">
        <v>18</v>
      </c>
      <c r="K181" t="s">
        <v>29</v>
      </c>
      <c r="M181" s="74"/>
      <c r="N181" s="1"/>
    </row>
    <row r="182" spans="1:14" x14ac:dyDescent="0.25">
      <c r="A182" s="8">
        <v>3574</v>
      </c>
      <c r="C182" t="s">
        <v>325</v>
      </c>
      <c r="D182" t="s">
        <v>70</v>
      </c>
      <c r="F182" t="s">
        <v>3029</v>
      </c>
      <c r="G182" s="1">
        <v>44761</v>
      </c>
      <c r="H182" s="1"/>
      <c r="I182" t="s">
        <v>1737</v>
      </c>
      <c r="J182" t="s">
        <v>29</v>
      </c>
      <c r="M182" s="74" t="s">
        <v>3030</v>
      </c>
      <c r="N182" s="1" t="s">
        <v>3031</v>
      </c>
    </row>
    <row r="183" spans="1:14" x14ac:dyDescent="0.25">
      <c r="A183" s="8">
        <v>3575</v>
      </c>
      <c r="C183" t="s">
        <v>325</v>
      </c>
      <c r="D183" t="s">
        <v>253</v>
      </c>
      <c r="F183" t="s">
        <v>3032</v>
      </c>
      <c r="G183" s="1">
        <v>44762</v>
      </c>
      <c r="H183" s="1"/>
      <c r="I183" t="s">
        <v>1737</v>
      </c>
      <c r="J183" t="s">
        <v>29</v>
      </c>
      <c r="M183" s="74">
        <v>100</v>
      </c>
      <c r="N183" s="1">
        <v>44895</v>
      </c>
    </row>
    <row r="184" spans="1:14" x14ac:dyDescent="0.25">
      <c r="A184" s="8">
        <v>3576</v>
      </c>
      <c r="C184" t="s">
        <v>325</v>
      </c>
      <c r="D184" t="s">
        <v>2919</v>
      </c>
      <c r="F184" t="s">
        <v>3033</v>
      </c>
      <c r="G184" s="1">
        <v>44762</v>
      </c>
      <c r="H184" s="1"/>
      <c r="J184" t="s">
        <v>29</v>
      </c>
      <c r="M184" s="74">
        <v>90</v>
      </c>
      <c r="N184" s="1">
        <v>44911</v>
      </c>
    </row>
    <row r="185" spans="1:14" x14ac:dyDescent="0.25">
      <c r="A185" s="8">
        <v>3577</v>
      </c>
      <c r="C185" t="s">
        <v>714</v>
      </c>
      <c r="D185" t="s">
        <v>32</v>
      </c>
      <c r="F185" t="s">
        <v>3034</v>
      </c>
      <c r="G185" s="1">
        <v>44763</v>
      </c>
      <c r="H185" s="1"/>
      <c r="I185" t="s">
        <v>1737</v>
      </c>
      <c r="J185" t="s">
        <v>29</v>
      </c>
      <c r="M185" s="74">
        <v>100</v>
      </c>
      <c r="N185" s="1">
        <v>45016</v>
      </c>
    </row>
    <row r="186" spans="1:14" x14ac:dyDescent="0.25">
      <c r="A186" s="8">
        <v>3578</v>
      </c>
      <c r="C186" t="s">
        <v>704</v>
      </c>
      <c r="D186" t="s">
        <v>32</v>
      </c>
      <c r="F186" t="s">
        <v>954</v>
      </c>
      <c r="G186" s="1">
        <v>44769</v>
      </c>
      <c r="H186" s="1"/>
      <c r="I186" t="s">
        <v>2762</v>
      </c>
      <c r="J186" t="s">
        <v>29</v>
      </c>
      <c r="K186" t="s">
        <v>29</v>
      </c>
      <c r="L186" t="s">
        <v>3035</v>
      </c>
      <c r="M186" s="74"/>
      <c r="N186" s="1"/>
    </row>
    <row r="187" spans="1:14" x14ac:dyDescent="0.25">
      <c r="A187" s="8">
        <v>3579</v>
      </c>
      <c r="C187" t="s">
        <v>2785</v>
      </c>
      <c r="D187" t="s">
        <v>742</v>
      </c>
      <c r="F187" t="s">
        <v>3036</v>
      </c>
      <c r="G187" s="1">
        <v>44770</v>
      </c>
      <c r="H187" s="1"/>
      <c r="J187" t="s">
        <v>29</v>
      </c>
      <c r="L187" t="s">
        <v>3037</v>
      </c>
      <c r="M187" s="74"/>
      <c r="N187" s="1"/>
    </row>
    <row r="188" spans="1:14" x14ac:dyDescent="0.25">
      <c r="A188" s="8">
        <v>3580</v>
      </c>
      <c r="C188" t="s">
        <v>325</v>
      </c>
      <c r="D188" t="s">
        <v>70</v>
      </c>
      <c r="F188" t="s">
        <v>3038</v>
      </c>
      <c r="G188" s="1">
        <v>44781</v>
      </c>
      <c r="H188" s="1"/>
      <c r="J188" t="s">
        <v>29</v>
      </c>
      <c r="M188" s="74"/>
      <c r="N188" s="1"/>
    </row>
    <row r="189" spans="1:14" x14ac:dyDescent="0.25">
      <c r="A189" s="8">
        <v>3581</v>
      </c>
      <c r="C189" t="s">
        <v>24</v>
      </c>
      <c r="D189" t="s">
        <v>126</v>
      </c>
      <c r="F189" t="s">
        <v>3039</v>
      </c>
      <c r="G189" s="1">
        <v>44784</v>
      </c>
      <c r="H189" s="1"/>
      <c r="I189" t="s">
        <v>2952</v>
      </c>
      <c r="J189" t="s">
        <v>29</v>
      </c>
      <c r="K189" t="s">
        <v>29</v>
      </c>
      <c r="M189" s="74">
        <v>1</v>
      </c>
      <c r="N189" s="1" t="s">
        <v>3040</v>
      </c>
    </row>
    <row r="190" spans="1:14" x14ac:dyDescent="0.25">
      <c r="A190" s="8">
        <v>3582</v>
      </c>
      <c r="C190" t="s">
        <v>3041</v>
      </c>
      <c r="D190" t="s">
        <v>32</v>
      </c>
      <c r="F190" t="s">
        <v>3042</v>
      </c>
      <c r="G190" s="1">
        <v>44790</v>
      </c>
      <c r="H190" s="1"/>
      <c r="I190" t="s">
        <v>2952</v>
      </c>
      <c r="J190" t="s">
        <v>29</v>
      </c>
      <c r="M190" s="74">
        <v>100</v>
      </c>
      <c r="N190" s="1">
        <v>45023</v>
      </c>
    </row>
    <row r="191" spans="1:14" x14ac:dyDescent="0.25">
      <c r="A191" s="8">
        <v>3583</v>
      </c>
      <c r="C191" t="s">
        <v>3041</v>
      </c>
      <c r="D191" t="s">
        <v>2352</v>
      </c>
      <c r="F191" t="s">
        <v>3043</v>
      </c>
      <c r="G191" s="1">
        <v>44790</v>
      </c>
      <c r="H191" s="1"/>
      <c r="I191" t="s">
        <v>1737</v>
      </c>
      <c r="J191" t="s">
        <v>29</v>
      </c>
      <c r="M191" s="74">
        <v>100</v>
      </c>
      <c r="N191" s="1">
        <v>44875</v>
      </c>
    </row>
    <row r="192" spans="1:14" x14ac:dyDescent="0.25">
      <c r="A192" s="8">
        <v>3584</v>
      </c>
      <c r="C192" t="s">
        <v>704</v>
      </c>
      <c r="D192" t="s">
        <v>32</v>
      </c>
      <c r="F192" t="s">
        <v>3044</v>
      </c>
      <c r="G192" s="1">
        <v>44792</v>
      </c>
      <c r="H192" s="1"/>
      <c r="I192" t="s">
        <v>2762</v>
      </c>
      <c r="J192" t="s">
        <v>29</v>
      </c>
      <c r="K192" t="s">
        <v>29</v>
      </c>
      <c r="M192" s="74"/>
      <c r="N192" s="1"/>
    </row>
    <row r="193" spans="1:15" x14ac:dyDescent="0.25">
      <c r="A193" s="8">
        <v>3585</v>
      </c>
      <c r="C193" t="s">
        <v>3045</v>
      </c>
      <c r="D193" t="s">
        <v>253</v>
      </c>
      <c r="F193" t="s">
        <v>3046</v>
      </c>
      <c r="G193" s="1">
        <v>44795</v>
      </c>
      <c r="H193" s="1"/>
      <c r="I193" t="s">
        <v>1737</v>
      </c>
      <c r="J193" t="s">
        <v>29</v>
      </c>
      <c r="M193" s="74">
        <v>100</v>
      </c>
      <c r="N193" s="1">
        <v>44972</v>
      </c>
    </row>
    <row r="194" spans="1:15" x14ac:dyDescent="0.25">
      <c r="A194" s="8">
        <v>3586</v>
      </c>
      <c r="C194" t="s">
        <v>714</v>
      </c>
      <c r="D194" t="s">
        <v>2352</v>
      </c>
      <c r="F194" t="s">
        <v>3047</v>
      </c>
      <c r="G194" s="1">
        <v>44802</v>
      </c>
      <c r="H194" s="1"/>
      <c r="J194" t="s">
        <v>29</v>
      </c>
      <c r="M194" s="74"/>
      <c r="N194" s="1"/>
    </row>
    <row r="195" spans="1:15" x14ac:dyDescent="0.25">
      <c r="A195" s="8">
        <v>3587</v>
      </c>
      <c r="C195" t="s">
        <v>24</v>
      </c>
      <c r="D195" t="s">
        <v>25</v>
      </c>
      <c r="F195" t="s">
        <v>3048</v>
      </c>
      <c r="G195" s="1">
        <v>44810</v>
      </c>
      <c r="H195" s="1"/>
      <c r="I195" t="s">
        <v>2762</v>
      </c>
      <c r="J195" t="s">
        <v>29</v>
      </c>
      <c r="M195" s="74">
        <v>1</v>
      </c>
      <c r="N195" s="1">
        <v>44838</v>
      </c>
    </row>
    <row r="196" spans="1:15" x14ac:dyDescent="0.25">
      <c r="A196" s="8">
        <v>3588</v>
      </c>
      <c r="C196" t="s">
        <v>499</v>
      </c>
      <c r="D196" t="s">
        <v>32</v>
      </c>
      <c r="F196" t="s">
        <v>3049</v>
      </c>
      <c r="G196" s="1">
        <v>44816</v>
      </c>
      <c r="H196" s="1"/>
      <c r="I196" t="s">
        <v>1737</v>
      </c>
      <c r="J196" t="s">
        <v>29</v>
      </c>
      <c r="M196" s="74">
        <v>100</v>
      </c>
      <c r="N196" s="1">
        <v>44910</v>
      </c>
    </row>
    <row r="197" spans="1:15" x14ac:dyDescent="0.25">
      <c r="A197" s="8">
        <v>3589</v>
      </c>
      <c r="C197" t="s">
        <v>13</v>
      </c>
      <c r="D197" t="s">
        <v>243</v>
      </c>
      <c r="F197" t="s">
        <v>3050</v>
      </c>
      <c r="G197" s="1">
        <v>44812</v>
      </c>
      <c r="H197" s="1"/>
      <c r="I197" t="s">
        <v>1737</v>
      </c>
      <c r="J197" t="s">
        <v>29</v>
      </c>
      <c r="M197" s="74">
        <v>100</v>
      </c>
      <c r="N197" s="1">
        <v>44910</v>
      </c>
    </row>
    <row r="198" spans="1:15" x14ac:dyDescent="0.25">
      <c r="A198" s="8">
        <v>3590</v>
      </c>
      <c r="C198" t="s">
        <v>24</v>
      </c>
      <c r="D198" t="s">
        <v>1777</v>
      </c>
      <c r="F198" t="s">
        <v>3051</v>
      </c>
      <c r="G198" s="1">
        <v>44818</v>
      </c>
      <c r="H198" s="1"/>
      <c r="I198" t="s">
        <v>1737</v>
      </c>
      <c r="J198" t="s">
        <v>29</v>
      </c>
      <c r="K198" t="s">
        <v>29</v>
      </c>
      <c r="M198" s="74">
        <v>1</v>
      </c>
      <c r="N198" s="1" t="s">
        <v>3052</v>
      </c>
    </row>
    <row r="199" spans="1:15" x14ac:dyDescent="0.25">
      <c r="A199" s="8">
        <v>3591</v>
      </c>
      <c r="C199" t="s">
        <v>13</v>
      </c>
      <c r="D199" t="s">
        <v>2813</v>
      </c>
      <c r="F199" t="s">
        <v>3053</v>
      </c>
      <c r="G199" s="1">
        <v>44818</v>
      </c>
      <c r="H199" s="1"/>
      <c r="I199" t="s">
        <v>1737</v>
      </c>
      <c r="J199" t="s">
        <v>29</v>
      </c>
      <c r="K199" t="s">
        <v>29</v>
      </c>
      <c r="M199" s="74">
        <v>1</v>
      </c>
      <c r="N199" s="1">
        <v>44882</v>
      </c>
    </row>
    <row r="200" spans="1:15" x14ac:dyDescent="0.25">
      <c r="A200" s="8">
        <v>3592</v>
      </c>
      <c r="C200" t="s">
        <v>220</v>
      </c>
      <c r="D200" t="s">
        <v>253</v>
      </c>
      <c r="F200" t="s">
        <v>3054</v>
      </c>
      <c r="G200" s="1">
        <v>44830</v>
      </c>
      <c r="H200" s="1"/>
      <c r="I200" t="s">
        <v>1737</v>
      </c>
      <c r="J200" t="s">
        <v>29</v>
      </c>
      <c r="M200" s="74">
        <v>100</v>
      </c>
      <c r="N200" s="1">
        <v>44918</v>
      </c>
    </row>
    <row r="201" spans="1:15" x14ac:dyDescent="0.25">
      <c r="A201" s="8">
        <v>3593</v>
      </c>
      <c r="C201" t="s">
        <v>13</v>
      </c>
      <c r="D201" t="s">
        <v>104</v>
      </c>
      <c r="E201" t="s">
        <v>105</v>
      </c>
      <c r="F201" t="s">
        <v>3055</v>
      </c>
      <c r="G201" s="1">
        <v>44834</v>
      </c>
      <c r="H201" s="1"/>
      <c r="I201" t="s">
        <v>1737</v>
      </c>
      <c r="J201" t="s">
        <v>29</v>
      </c>
      <c r="K201" t="s">
        <v>29</v>
      </c>
      <c r="L201" t="s">
        <v>3056</v>
      </c>
      <c r="M201" s="74">
        <v>1</v>
      </c>
      <c r="N201" s="1">
        <v>44840</v>
      </c>
    </row>
    <row r="202" spans="1:15" x14ac:dyDescent="0.25">
      <c r="A202" s="8">
        <v>3595</v>
      </c>
      <c r="C202" t="s">
        <v>24</v>
      </c>
      <c r="D202" t="s">
        <v>479</v>
      </c>
      <c r="E202" t="s">
        <v>3057</v>
      </c>
      <c r="F202" t="s">
        <v>3058</v>
      </c>
      <c r="G202" s="1">
        <v>44839</v>
      </c>
      <c r="H202" s="1"/>
      <c r="I202" t="s">
        <v>1737</v>
      </c>
      <c r="J202" t="s">
        <v>29</v>
      </c>
      <c r="K202" t="s">
        <v>29</v>
      </c>
      <c r="L202" t="s">
        <v>3059</v>
      </c>
      <c r="M202" s="74">
        <v>1</v>
      </c>
      <c r="N202" s="1" t="s">
        <v>3060</v>
      </c>
    </row>
    <row r="203" spans="1:15" x14ac:dyDescent="0.25">
      <c r="A203" s="8">
        <v>3596</v>
      </c>
      <c r="B203" t="s">
        <v>3061</v>
      </c>
      <c r="C203" t="s">
        <v>176</v>
      </c>
      <c r="D203" t="s">
        <v>32</v>
      </c>
      <c r="F203" t="s">
        <v>3062</v>
      </c>
      <c r="G203" s="1">
        <v>44805</v>
      </c>
      <c r="H203" s="1"/>
      <c r="I203" t="s">
        <v>1737</v>
      </c>
      <c r="J203" t="s">
        <v>29</v>
      </c>
      <c r="L203" t="s">
        <v>3063</v>
      </c>
      <c r="M203" s="74">
        <v>100</v>
      </c>
      <c r="N203" s="1">
        <v>44900</v>
      </c>
    </row>
    <row r="204" spans="1:15" x14ac:dyDescent="0.25">
      <c r="A204" s="8">
        <v>3597</v>
      </c>
      <c r="B204">
        <v>3554</v>
      </c>
      <c r="C204" t="s">
        <v>3064</v>
      </c>
      <c r="D204" t="s">
        <v>243</v>
      </c>
      <c r="E204" t="s">
        <v>3065</v>
      </c>
      <c r="F204" t="s">
        <v>3066</v>
      </c>
      <c r="G204" s="1">
        <v>44841</v>
      </c>
      <c r="H204" s="1"/>
      <c r="I204" t="s">
        <v>2762</v>
      </c>
      <c r="J204" t="s">
        <v>29</v>
      </c>
      <c r="L204" t="s">
        <v>3067</v>
      </c>
      <c r="M204" s="74"/>
      <c r="N204" s="1" t="s">
        <v>3068</v>
      </c>
    </row>
    <row r="205" spans="1:15" x14ac:dyDescent="0.25">
      <c r="A205" s="8">
        <v>3598</v>
      </c>
      <c r="B205" t="s">
        <v>3025</v>
      </c>
      <c r="C205" t="s">
        <v>13</v>
      </c>
      <c r="D205" t="s">
        <v>411</v>
      </c>
      <c r="E205" t="s">
        <v>817</v>
      </c>
      <c r="F205" t="s">
        <v>3069</v>
      </c>
      <c r="G205" s="1">
        <v>44841</v>
      </c>
      <c r="H205" s="1"/>
      <c r="I205" t="s">
        <v>2952</v>
      </c>
      <c r="J205" t="s">
        <v>29</v>
      </c>
      <c r="L205" t="s">
        <v>3070</v>
      </c>
      <c r="M205" s="74"/>
      <c r="N205" s="1"/>
    </row>
    <row r="206" spans="1:15" x14ac:dyDescent="0.25">
      <c r="A206" s="8">
        <v>3599</v>
      </c>
      <c r="C206" t="s">
        <v>704</v>
      </c>
      <c r="D206" t="s">
        <v>3027</v>
      </c>
      <c r="E206" t="s">
        <v>3071</v>
      </c>
      <c r="F206" t="s">
        <v>3072</v>
      </c>
      <c r="G206" s="1">
        <v>44774</v>
      </c>
      <c r="H206" s="1"/>
      <c r="I206" t="s">
        <v>1737</v>
      </c>
      <c r="J206" t="s">
        <v>29</v>
      </c>
      <c r="K206" t="s">
        <v>29</v>
      </c>
      <c r="M206" s="74">
        <v>1</v>
      </c>
      <c r="N206" s="1" t="s">
        <v>3073</v>
      </c>
    </row>
    <row r="207" spans="1:15" x14ac:dyDescent="0.25">
      <c r="A207" s="8">
        <v>3600</v>
      </c>
      <c r="C207" t="s">
        <v>220</v>
      </c>
      <c r="D207" t="s">
        <v>2568</v>
      </c>
      <c r="E207" t="s">
        <v>886</v>
      </c>
      <c r="F207" t="s">
        <v>3074</v>
      </c>
      <c r="G207" s="1">
        <v>44835</v>
      </c>
      <c r="H207" s="1"/>
      <c r="I207" t="s">
        <v>1737</v>
      </c>
      <c r="J207" t="s">
        <v>29</v>
      </c>
      <c r="K207" t="s">
        <v>29</v>
      </c>
      <c r="L207" t="s">
        <v>3075</v>
      </c>
      <c r="M207" s="74">
        <v>1</v>
      </c>
      <c r="N207" s="1">
        <v>44932</v>
      </c>
    </row>
    <row r="208" spans="1:15" x14ac:dyDescent="0.25">
      <c r="A208" s="8">
        <v>3601</v>
      </c>
      <c r="C208" t="s">
        <v>3076</v>
      </c>
      <c r="D208" t="s">
        <v>253</v>
      </c>
      <c r="E208" t="s">
        <v>876</v>
      </c>
      <c r="F208" t="s">
        <v>3077</v>
      </c>
      <c r="G208" s="1">
        <v>44861</v>
      </c>
      <c r="H208" s="1"/>
      <c r="I208" t="s">
        <v>1737</v>
      </c>
      <c r="J208" t="s">
        <v>29</v>
      </c>
      <c r="K208" t="s">
        <v>29</v>
      </c>
      <c r="M208" s="74">
        <v>100</v>
      </c>
      <c r="N208" s="1">
        <v>44887</v>
      </c>
      <c r="O208" t="s">
        <v>3078</v>
      </c>
    </row>
    <row r="209" spans="1:15" x14ac:dyDescent="0.25">
      <c r="A209" s="8">
        <v>3602</v>
      </c>
      <c r="C209" t="s">
        <v>220</v>
      </c>
      <c r="D209" t="s">
        <v>253</v>
      </c>
      <c r="E209" t="s">
        <v>254</v>
      </c>
      <c r="F209" t="s">
        <v>3079</v>
      </c>
      <c r="G209" s="1">
        <v>44869</v>
      </c>
      <c r="I209" t="s">
        <v>1737</v>
      </c>
      <c r="J209" t="s">
        <v>29</v>
      </c>
      <c r="K209" t="s">
        <v>29</v>
      </c>
      <c r="M209" s="74">
        <v>100</v>
      </c>
      <c r="N209" s="1">
        <v>45070</v>
      </c>
    </row>
    <row r="210" spans="1:15" x14ac:dyDescent="0.25">
      <c r="A210" s="8">
        <v>3603</v>
      </c>
      <c r="B210" t="s">
        <v>3025</v>
      </c>
      <c r="C210" t="s">
        <v>24</v>
      </c>
      <c r="D210" t="s">
        <v>126</v>
      </c>
      <c r="E210" t="s">
        <v>3080</v>
      </c>
      <c r="F210" t="s">
        <v>3081</v>
      </c>
      <c r="G210" s="1">
        <v>44874</v>
      </c>
      <c r="H210" s="1"/>
      <c r="I210" t="s">
        <v>2762</v>
      </c>
      <c r="J210" t="s">
        <v>29</v>
      </c>
      <c r="K210" t="s">
        <v>29</v>
      </c>
      <c r="L210" t="s">
        <v>3082</v>
      </c>
      <c r="M210" s="74"/>
      <c r="N210" s="1"/>
    </row>
    <row r="211" spans="1:15" x14ac:dyDescent="0.25">
      <c r="A211" s="8">
        <v>3604</v>
      </c>
      <c r="G211" s="1"/>
      <c r="H211" s="1"/>
      <c r="M211" s="74"/>
      <c r="N211" s="1"/>
    </row>
    <row r="212" spans="1:15" x14ac:dyDescent="0.25">
      <c r="A212" s="8">
        <v>3605</v>
      </c>
      <c r="B212" t="s">
        <v>3025</v>
      </c>
      <c r="C212" t="s">
        <v>24</v>
      </c>
      <c r="D212" t="s">
        <v>126</v>
      </c>
      <c r="E212" t="s">
        <v>3080</v>
      </c>
      <c r="F212" t="s">
        <v>3083</v>
      </c>
      <c r="G212" s="1">
        <v>44879</v>
      </c>
      <c r="H212" s="1"/>
      <c r="I212" t="s">
        <v>2952</v>
      </c>
      <c r="J212" t="s">
        <v>29</v>
      </c>
      <c r="K212" t="s">
        <v>29</v>
      </c>
      <c r="L212" t="s">
        <v>3084</v>
      </c>
      <c r="M212" s="74"/>
      <c r="N212" s="1"/>
    </row>
    <row r="213" spans="1:15" x14ac:dyDescent="0.25">
      <c r="A213" s="8">
        <v>3606</v>
      </c>
      <c r="C213" t="s">
        <v>621</v>
      </c>
      <c r="D213" t="s">
        <v>2568</v>
      </c>
      <c r="E213" t="s">
        <v>3085</v>
      </c>
      <c r="F213" t="s">
        <v>3086</v>
      </c>
      <c r="G213" s="1">
        <v>44875</v>
      </c>
      <c r="H213" s="1"/>
      <c r="I213" t="s">
        <v>1737</v>
      </c>
      <c r="J213" t="s">
        <v>29</v>
      </c>
      <c r="K213" t="s">
        <v>29</v>
      </c>
      <c r="M213" s="74">
        <v>1</v>
      </c>
      <c r="N213" s="1">
        <v>44883</v>
      </c>
    </row>
    <row r="214" spans="1:15" x14ac:dyDescent="0.25">
      <c r="A214" s="8">
        <v>3607</v>
      </c>
      <c r="C214" t="s">
        <v>621</v>
      </c>
      <c r="D214" t="s">
        <v>3087</v>
      </c>
      <c r="E214" t="s">
        <v>3088</v>
      </c>
      <c r="F214" t="s">
        <v>3089</v>
      </c>
      <c r="G214" s="1">
        <v>44876</v>
      </c>
      <c r="H214" s="1"/>
      <c r="I214" t="s">
        <v>2952</v>
      </c>
      <c r="J214" t="s">
        <v>29</v>
      </c>
      <c r="K214" t="s">
        <v>18</v>
      </c>
      <c r="M214" s="74"/>
      <c r="N214" s="1"/>
    </row>
    <row r="215" spans="1:15" x14ac:dyDescent="0.25">
      <c r="A215" s="8">
        <v>3608</v>
      </c>
      <c r="C215" t="s">
        <v>24</v>
      </c>
      <c r="D215" t="s">
        <v>126</v>
      </c>
      <c r="E215" t="s">
        <v>3080</v>
      </c>
      <c r="F215" t="s">
        <v>3090</v>
      </c>
      <c r="G215" s="1">
        <v>44881</v>
      </c>
      <c r="H215" s="1"/>
      <c r="I215" t="s">
        <v>2952</v>
      </c>
      <c r="J215" t="s">
        <v>29</v>
      </c>
      <c r="K215" t="s">
        <v>29</v>
      </c>
      <c r="M215" s="74">
        <v>0.5</v>
      </c>
      <c r="N215" s="1">
        <v>44881</v>
      </c>
    </row>
    <row r="216" spans="1:15" x14ac:dyDescent="0.25">
      <c r="A216" s="8">
        <v>3609</v>
      </c>
      <c r="C216" t="s">
        <v>325</v>
      </c>
      <c r="D216" t="s">
        <v>253</v>
      </c>
      <c r="E216" t="s">
        <v>3091</v>
      </c>
      <c r="F216" t="s">
        <v>3092</v>
      </c>
      <c r="G216" s="1">
        <v>44887</v>
      </c>
      <c r="H216" s="1"/>
      <c r="I216" t="s">
        <v>1737</v>
      </c>
      <c r="J216" t="s">
        <v>29</v>
      </c>
      <c r="K216" t="s">
        <v>29</v>
      </c>
      <c r="M216" s="74">
        <v>100</v>
      </c>
      <c r="N216" s="1">
        <v>44918</v>
      </c>
    </row>
    <row r="217" spans="1:15" x14ac:dyDescent="0.25">
      <c r="A217" s="8">
        <v>3610</v>
      </c>
      <c r="C217" t="s">
        <v>220</v>
      </c>
      <c r="D217" t="s">
        <v>298</v>
      </c>
      <c r="E217" t="s">
        <v>3093</v>
      </c>
      <c r="F217" t="s">
        <v>3094</v>
      </c>
      <c r="G217" s="1">
        <v>44893</v>
      </c>
      <c r="H217" s="1"/>
      <c r="I217" t="s">
        <v>1737</v>
      </c>
      <c r="J217" t="s">
        <v>29</v>
      </c>
      <c r="K217" t="s">
        <v>29</v>
      </c>
      <c r="L217" t="s">
        <v>3095</v>
      </c>
      <c r="M217" s="74" t="s">
        <v>3096</v>
      </c>
      <c r="N217" s="1" t="s">
        <v>3097</v>
      </c>
    </row>
    <row r="218" spans="1:15" x14ac:dyDescent="0.25">
      <c r="A218" s="8">
        <v>3611</v>
      </c>
      <c r="C218" t="s">
        <v>31</v>
      </c>
      <c r="D218" t="s">
        <v>25</v>
      </c>
      <c r="E218" t="s">
        <v>886</v>
      </c>
      <c r="F218" t="s">
        <v>3098</v>
      </c>
      <c r="G218" s="1">
        <v>44893</v>
      </c>
      <c r="H218" s="1"/>
      <c r="I218" t="s">
        <v>1737</v>
      </c>
      <c r="J218" t="s">
        <v>29</v>
      </c>
      <c r="K218" t="s">
        <v>29</v>
      </c>
      <c r="M218" s="74">
        <v>100</v>
      </c>
      <c r="N218" s="1">
        <v>44943</v>
      </c>
    </row>
    <row r="219" spans="1:15" x14ac:dyDescent="0.25">
      <c r="A219" s="8">
        <v>3612</v>
      </c>
      <c r="C219" t="s">
        <v>220</v>
      </c>
      <c r="D219" t="s">
        <v>1217</v>
      </c>
      <c r="E219" t="s">
        <v>3099</v>
      </c>
      <c r="F219" t="s">
        <v>3100</v>
      </c>
      <c r="G219" s="1">
        <v>44895</v>
      </c>
      <c r="H219" s="1"/>
      <c r="I219" t="s">
        <v>1737</v>
      </c>
      <c r="J219" t="s">
        <v>29</v>
      </c>
      <c r="K219" t="s">
        <v>29</v>
      </c>
      <c r="M219" s="74">
        <v>100</v>
      </c>
      <c r="N219" s="1">
        <v>44924</v>
      </c>
    </row>
    <row r="220" spans="1:15" x14ac:dyDescent="0.25">
      <c r="A220" s="8">
        <v>3613</v>
      </c>
      <c r="C220" t="s">
        <v>24</v>
      </c>
      <c r="D220" t="s">
        <v>126</v>
      </c>
      <c r="E220" t="s">
        <v>3080</v>
      </c>
      <c r="F220" t="s">
        <v>3101</v>
      </c>
      <c r="G220" s="1">
        <v>44896</v>
      </c>
      <c r="H220" s="1"/>
      <c r="I220" t="s">
        <v>1737</v>
      </c>
      <c r="J220" t="s">
        <v>29</v>
      </c>
      <c r="M220" s="74" t="s">
        <v>3102</v>
      </c>
      <c r="N220" s="1" t="s">
        <v>3103</v>
      </c>
    </row>
    <row r="221" spans="1:15" x14ac:dyDescent="0.25">
      <c r="A221" s="8">
        <v>3614</v>
      </c>
      <c r="C221" t="s">
        <v>24</v>
      </c>
      <c r="D221" t="s">
        <v>3104</v>
      </c>
      <c r="E221" t="s">
        <v>3105</v>
      </c>
      <c r="F221" t="s">
        <v>3106</v>
      </c>
      <c r="G221" s="1">
        <v>44907</v>
      </c>
      <c r="H221" s="1"/>
      <c r="I221" t="s">
        <v>2952</v>
      </c>
      <c r="J221" t="s">
        <v>29</v>
      </c>
      <c r="K221" t="s">
        <v>29</v>
      </c>
      <c r="L221" t="s">
        <v>3107</v>
      </c>
      <c r="M221" s="74">
        <v>0.5</v>
      </c>
      <c r="N221" s="1">
        <v>44917</v>
      </c>
      <c r="O221" t="s">
        <v>3108</v>
      </c>
    </row>
    <row r="222" spans="1:15" x14ac:dyDescent="0.25">
      <c r="A222" s="8">
        <v>3615</v>
      </c>
      <c r="C222" t="s">
        <v>433</v>
      </c>
      <c r="D222" t="s">
        <v>3109</v>
      </c>
      <c r="E222" t="s">
        <v>3110</v>
      </c>
      <c r="F222" t="s">
        <v>3111</v>
      </c>
      <c r="G222" s="1">
        <v>44908</v>
      </c>
      <c r="H222" s="1"/>
      <c r="I222" t="s">
        <v>2952</v>
      </c>
      <c r="J222" t="s">
        <v>29</v>
      </c>
      <c r="K222" t="s">
        <v>29</v>
      </c>
      <c r="L222" t="s">
        <v>3112</v>
      </c>
      <c r="M222" s="74"/>
      <c r="N222" s="1"/>
    </row>
    <row r="223" spans="1:15" x14ac:dyDescent="0.25">
      <c r="A223" s="8">
        <v>3801</v>
      </c>
      <c r="C223" t="s">
        <v>474</v>
      </c>
      <c r="D223" t="s">
        <v>32</v>
      </c>
      <c r="E223" t="s">
        <v>475</v>
      </c>
      <c r="F223" t="s">
        <v>3113</v>
      </c>
      <c r="G223" s="1">
        <v>45412</v>
      </c>
      <c r="H223" s="1"/>
      <c r="I223" t="s">
        <v>1737</v>
      </c>
      <c r="J223" t="s">
        <v>29</v>
      </c>
      <c r="K223" t="s">
        <v>29</v>
      </c>
      <c r="L223" t="s">
        <v>864</v>
      </c>
      <c r="M223" s="74">
        <v>100</v>
      </c>
      <c r="N223" s="1">
        <v>45446</v>
      </c>
    </row>
    <row r="224" spans="1:15" x14ac:dyDescent="0.25">
      <c r="A224" s="8" t="s">
        <v>3114</v>
      </c>
      <c r="C224" t="s">
        <v>325</v>
      </c>
      <c r="D224" t="s">
        <v>2753</v>
      </c>
      <c r="F224" t="s">
        <v>3115</v>
      </c>
      <c r="G224" s="1">
        <v>45658</v>
      </c>
      <c r="H224" s="1"/>
      <c r="J224" t="s">
        <v>29</v>
      </c>
      <c r="M224" s="74"/>
      <c r="N224" s="1"/>
    </row>
    <row r="225" spans="1:15" x14ac:dyDescent="0.25">
      <c r="A225" s="8" t="s">
        <v>3116</v>
      </c>
      <c r="C225" t="s">
        <v>13</v>
      </c>
      <c r="D225" t="s">
        <v>2891</v>
      </c>
      <c r="F225" t="s">
        <v>3117</v>
      </c>
      <c r="G225" s="1" t="s">
        <v>2752</v>
      </c>
      <c r="H225" s="1"/>
      <c r="J225" t="s">
        <v>29</v>
      </c>
      <c r="M225" s="74"/>
      <c r="N225" s="1"/>
    </row>
    <row r="226" spans="1:15" x14ac:dyDescent="0.25">
      <c r="A226" s="8" t="s">
        <v>3118</v>
      </c>
      <c r="C226" t="s">
        <v>3119</v>
      </c>
      <c r="D226" t="s">
        <v>3120</v>
      </c>
      <c r="F226" t="s">
        <v>3121</v>
      </c>
      <c r="G226" s="1">
        <v>44883</v>
      </c>
      <c r="H226" s="1"/>
      <c r="I226" t="s">
        <v>1737</v>
      </c>
      <c r="J226" t="s">
        <v>29</v>
      </c>
      <c r="M226" s="74">
        <v>100</v>
      </c>
      <c r="N226" s="1">
        <v>45030</v>
      </c>
    </row>
    <row r="227" spans="1:15" x14ac:dyDescent="0.25">
      <c r="A227" s="8" t="s">
        <v>3122</v>
      </c>
      <c r="C227" t="s">
        <v>3123</v>
      </c>
      <c r="D227" t="s">
        <v>1716</v>
      </c>
      <c r="F227" t="s">
        <v>3124</v>
      </c>
      <c r="G227" s="1">
        <v>12023</v>
      </c>
      <c r="H227" s="1"/>
      <c r="I227" t="s">
        <v>1737</v>
      </c>
      <c r="J227" t="s">
        <v>29</v>
      </c>
      <c r="M227" s="74">
        <v>100</v>
      </c>
      <c r="N227" s="1">
        <v>44987</v>
      </c>
    </row>
    <row r="228" spans="1:15" x14ac:dyDescent="0.25">
      <c r="A228" s="8" t="s">
        <v>3125</v>
      </c>
      <c r="C228" t="s">
        <v>714</v>
      </c>
      <c r="D228" t="s">
        <v>2352</v>
      </c>
      <c r="F228" t="s">
        <v>3126</v>
      </c>
      <c r="G228" s="1"/>
      <c r="H228" s="1"/>
      <c r="J228" t="s">
        <v>29</v>
      </c>
      <c r="M228" s="74"/>
      <c r="N228" s="1"/>
    </row>
    <row r="229" spans="1:15" x14ac:dyDescent="0.25">
      <c r="A229" s="8" t="s">
        <v>3127</v>
      </c>
      <c r="C229" t="s">
        <v>2796</v>
      </c>
      <c r="D229" t="s">
        <v>126</v>
      </c>
      <c r="F229" t="s">
        <v>3128</v>
      </c>
      <c r="G229" s="1">
        <v>44805</v>
      </c>
      <c r="H229" s="1">
        <v>44813</v>
      </c>
      <c r="I229" t="s">
        <v>1737</v>
      </c>
      <c r="J229" t="s">
        <v>29</v>
      </c>
      <c r="K229" t="s">
        <v>29</v>
      </c>
      <c r="M229" s="74">
        <v>1</v>
      </c>
      <c r="N229" s="1" t="s">
        <v>3129</v>
      </c>
    </row>
    <row r="230" spans="1:15" x14ac:dyDescent="0.25">
      <c r="A230" s="8" t="s">
        <v>3130</v>
      </c>
      <c r="C230" t="s">
        <v>2956</v>
      </c>
      <c r="D230" t="s">
        <v>1716</v>
      </c>
      <c r="F230" t="s">
        <v>3131</v>
      </c>
      <c r="G230" s="1">
        <v>44879</v>
      </c>
      <c r="H230" s="1"/>
      <c r="I230" t="s">
        <v>1737</v>
      </c>
      <c r="J230" t="s">
        <v>29</v>
      </c>
      <c r="M230" s="74">
        <v>1</v>
      </c>
      <c r="N230" s="1">
        <v>44901</v>
      </c>
    </row>
    <row r="231" spans="1:15" x14ac:dyDescent="0.25">
      <c r="A231" s="8" t="s">
        <v>3132</v>
      </c>
      <c r="D231" t="s">
        <v>2919</v>
      </c>
      <c r="F231" t="s">
        <v>3133</v>
      </c>
      <c r="G231" s="1">
        <v>44713</v>
      </c>
      <c r="H231" s="1"/>
      <c r="J231" t="s">
        <v>29</v>
      </c>
      <c r="M231" s="74">
        <v>0.68</v>
      </c>
      <c r="N231" s="1" t="s">
        <v>3134</v>
      </c>
      <c r="O231" t="s">
        <v>3135</v>
      </c>
    </row>
    <row r="232" spans="1:15" x14ac:dyDescent="0.25">
      <c r="A232" s="8" t="s">
        <v>3136</v>
      </c>
      <c r="D232" t="s">
        <v>2919</v>
      </c>
      <c r="F232" t="s">
        <v>3137</v>
      </c>
      <c r="G232" s="1">
        <v>44792</v>
      </c>
      <c r="H232" s="1"/>
      <c r="J232" t="s">
        <v>29</v>
      </c>
      <c r="M232" s="74">
        <v>100</v>
      </c>
      <c r="N232" s="1">
        <v>44848</v>
      </c>
    </row>
    <row r="233" spans="1:15" x14ac:dyDescent="0.25">
      <c r="A233" s="8" t="s">
        <v>3138</v>
      </c>
      <c r="D233" t="s">
        <v>2919</v>
      </c>
      <c r="F233" t="s">
        <v>3139</v>
      </c>
      <c r="G233" s="1">
        <v>44795</v>
      </c>
      <c r="H233" s="1"/>
      <c r="J233" t="s">
        <v>29</v>
      </c>
      <c r="M233" s="74">
        <v>100</v>
      </c>
      <c r="N233" s="1">
        <v>44848</v>
      </c>
    </row>
    <row r="234" spans="1:15" x14ac:dyDescent="0.25">
      <c r="A234" s="8" t="s">
        <v>3140</v>
      </c>
      <c r="D234" t="s">
        <v>2919</v>
      </c>
      <c r="F234" t="s">
        <v>3141</v>
      </c>
      <c r="G234" s="1">
        <v>44848</v>
      </c>
      <c r="H234" s="1"/>
      <c r="J234" t="s">
        <v>29</v>
      </c>
      <c r="M234" s="74" t="s">
        <v>3142</v>
      </c>
      <c r="N234" s="1" t="s">
        <v>3143</v>
      </c>
    </row>
    <row r="235" spans="1:15" x14ac:dyDescent="0.25">
      <c r="A235" s="8" t="s">
        <v>3144</v>
      </c>
      <c r="C235" t="s">
        <v>2956</v>
      </c>
      <c r="D235" t="s">
        <v>1777</v>
      </c>
      <c r="F235" t="s">
        <v>3145</v>
      </c>
      <c r="G235" s="1">
        <v>44848</v>
      </c>
      <c r="H235" s="1"/>
      <c r="I235" t="s">
        <v>2952</v>
      </c>
      <c r="J235" t="s">
        <v>29</v>
      </c>
      <c r="M235" s="74"/>
      <c r="N235" s="1"/>
      <c r="O235" t="s">
        <v>3146</v>
      </c>
    </row>
    <row r="236" spans="1:15" x14ac:dyDescent="0.25">
      <c r="A236" s="8" t="s">
        <v>3147</v>
      </c>
      <c r="C236" t="s">
        <v>2956</v>
      </c>
      <c r="D236" t="s">
        <v>3148</v>
      </c>
      <c r="F236" t="s">
        <v>3149</v>
      </c>
      <c r="G236" s="1">
        <v>44909</v>
      </c>
      <c r="H236" s="1"/>
      <c r="I236" t="s">
        <v>2952</v>
      </c>
      <c r="J236" t="s">
        <v>29</v>
      </c>
      <c r="M236" s="74"/>
      <c r="N236" s="1"/>
    </row>
    <row r="237" spans="1:15" x14ac:dyDescent="0.25">
      <c r="A237" s="8" t="s">
        <v>3150</v>
      </c>
      <c r="C237" t="s">
        <v>2956</v>
      </c>
      <c r="D237" t="s">
        <v>1716</v>
      </c>
      <c r="F237" t="s">
        <v>3151</v>
      </c>
      <c r="G237" s="1">
        <v>20123</v>
      </c>
      <c r="H237" s="1"/>
      <c r="I237" t="s">
        <v>1737</v>
      </c>
      <c r="J237" t="s">
        <v>29</v>
      </c>
      <c r="M237" s="74">
        <v>1</v>
      </c>
      <c r="N237" s="1">
        <v>44993</v>
      </c>
    </row>
    <row r="238" spans="1:15" x14ac:dyDescent="0.25">
      <c r="A238" s="8" t="s">
        <v>3152</v>
      </c>
      <c r="C238" t="s">
        <v>13</v>
      </c>
      <c r="D238" t="s">
        <v>1695</v>
      </c>
      <c r="F238" t="s">
        <v>3153</v>
      </c>
      <c r="G238" s="1">
        <v>45020</v>
      </c>
      <c r="H238" s="1"/>
      <c r="I238" t="s">
        <v>1737</v>
      </c>
      <c r="J238" t="s">
        <v>29</v>
      </c>
      <c r="M238" s="74">
        <v>1</v>
      </c>
      <c r="N238" s="1">
        <v>45412</v>
      </c>
    </row>
    <row r="239" spans="1:15" x14ac:dyDescent="0.25">
      <c r="A239" s="8" t="s">
        <v>3154</v>
      </c>
      <c r="C239" t="s">
        <v>13</v>
      </c>
      <c r="D239" t="s">
        <v>1695</v>
      </c>
      <c r="F239" t="s">
        <v>3155</v>
      </c>
      <c r="G239" s="1">
        <v>45020</v>
      </c>
      <c r="H239" s="1"/>
      <c r="I239" t="s">
        <v>1737</v>
      </c>
      <c r="J239" t="s">
        <v>29</v>
      </c>
      <c r="M239" s="74">
        <v>1</v>
      </c>
      <c r="N239" s="1">
        <v>45054</v>
      </c>
    </row>
    <row r="240" spans="1:15" x14ac:dyDescent="0.25">
      <c r="A240" s="8" t="s">
        <v>3156</v>
      </c>
      <c r="C240" t="s">
        <v>135</v>
      </c>
      <c r="D240" t="s">
        <v>163</v>
      </c>
      <c r="F240" t="s">
        <v>3157</v>
      </c>
      <c r="G240" s="1">
        <v>45020</v>
      </c>
      <c r="H240" s="1"/>
      <c r="I240" t="s">
        <v>2952</v>
      </c>
      <c r="J240" t="s">
        <v>29</v>
      </c>
      <c r="M240" s="74"/>
      <c r="N240" s="1"/>
    </row>
    <row r="241" spans="1:14" x14ac:dyDescent="0.25">
      <c r="A241" s="8" t="s">
        <v>3158</v>
      </c>
      <c r="C241" t="s">
        <v>13</v>
      </c>
      <c r="D241" t="s">
        <v>298</v>
      </c>
      <c r="F241" t="s">
        <v>3159</v>
      </c>
      <c r="G241" s="1">
        <v>44706</v>
      </c>
      <c r="H241" s="1"/>
      <c r="J241" t="s">
        <v>29</v>
      </c>
      <c r="M241" s="74"/>
      <c r="N241" s="1"/>
    </row>
    <row r="242" spans="1:14" x14ac:dyDescent="0.25">
      <c r="A242" s="8" t="s">
        <v>3160</v>
      </c>
      <c r="F242" t="s">
        <v>3161</v>
      </c>
      <c r="G242" s="1"/>
      <c r="H242" s="1"/>
      <c r="J242" t="s">
        <v>29</v>
      </c>
      <c r="M242" s="74">
        <v>1</v>
      </c>
      <c r="N242" s="1" t="s">
        <v>3162</v>
      </c>
    </row>
    <row r="243" spans="1:14" x14ac:dyDescent="0.25">
      <c r="A243" s="8" t="s">
        <v>3163</v>
      </c>
      <c r="F243" t="s">
        <v>3164</v>
      </c>
      <c r="G243" s="1"/>
      <c r="H243" s="1"/>
      <c r="J243" t="s">
        <v>29</v>
      </c>
      <c r="M243" s="74">
        <v>1</v>
      </c>
      <c r="N243" s="1">
        <v>44879</v>
      </c>
    </row>
    <row r="244" spans="1:14" x14ac:dyDescent="0.25">
      <c r="A244" s="8" t="s">
        <v>3165</v>
      </c>
      <c r="C244" t="s">
        <v>2940</v>
      </c>
      <c r="D244" t="s">
        <v>3166</v>
      </c>
      <c r="F244" t="s">
        <v>3167</v>
      </c>
      <c r="G244" s="1">
        <v>44987</v>
      </c>
      <c r="H244" s="1"/>
      <c r="I244" t="s">
        <v>1737</v>
      </c>
      <c r="J244" t="s">
        <v>29</v>
      </c>
      <c r="M244" s="74">
        <v>100</v>
      </c>
      <c r="N244" s="1">
        <v>45175</v>
      </c>
    </row>
    <row r="245" spans="1:14" x14ac:dyDescent="0.25">
      <c r="A245" s="8" t="s">
        <v>3168</v>
      </c>
      <c r="C245" t="s">
        <v>2940</v>
      </c>
      <c r="D245" t="s">
        <v>3166</v>
      </c>
      <c r="F245" t="s">
        <v>3169</v>
      </c>
      <c r="G245" s="1">
        <v>45086</v>
      </c>
      <c r="H245" s="1"/>
      <c r="I245" t="s">
        <v>1737</v>
      </c>
      <c r="J245" t="s">
        <v>29</v>
      </c>
      <c r="M245" s="74">
        <v>100</v>
      </c>
      <c r="N245" s="1">
        <v>45175</v>
      </c>
    </row>
    <row r="246" spans="1:14" x14ac:dyDescent="0.25">
      <c r="A246" s="8" t="s">
        <v>3170</v>
      </c>
      <c r="C246" t="s">
        <v>24</v>
      </c>
      <c r="D246" t="s">
        <v>126</v>
      </c>
      <c r="F246" t="s">
        <v>3171</v>
      </c>
      <c r="G246" s="1">
        <v>44747</v>
      </c>
      <c r="H246" s="1"/>
      <c r="I246" t="s">
        <v>1737</v>
      </c>
      <c r="J246" t="s">
        <v>29</v>
      </c>
      <c r="M246" s="74">
        <v>100</v>
      </c>
      <c r="N246" s="1" t="s">
        <v>3020</v>
      </c>
    </row>
    <row r="247" spans="1:14" x14ac:dyDescent="0.25">
      <c r="A247" s="8" t="s">
        <v>3172</v>
      </c>
      <c r="C247" t="s">
        <v>24</v>
      </c>
      <c r="D247" t="s">
        <v>126</v>
      </c>
      <c r="F247" t="s">
        <v>3173</v>
      </c>
      <c r="G247" s="1">
        <v>44835</v>
      </c>
      <c r="H247" s="1"/>
      <c r="I247" t="s">
        <v>1737</v>
      </c>
      <c r="J247" t="s">
        <v>29</v>
      </c>
      <c r="M247" s="74">
        <v>1</v>
      </c>
      <c r="N247" s="1">
        <v>44879</v>
      </c>
    </row>
    <row r="248" spans="1:14" x14ac:dyDescent="0.25">
      <c r="A248" s="8" t="s">
        <v>3174</v>
      </c>
      <c r="C248" t="s">
        <v>24</v>
      </c>
      <c r="D248" t="s">
        <v>126</v>
      </c>
      <c r="F248" t="s">
        <v>3175</v>
      </c>
      <c r="G248" s="1">
        <v>44805</v>
      </c>
      <c r="H248" s="1"/>
      <c r="I248" t="s">
        <v>1737</v>
      </c>
      <c r="J248" t="s">
        <v>29</v>
      </c>
      <c r="M248" s="74">
        <v>100</v>
      </c>
      <c r="N248" s="1">
        <v>44966</v>
      </c>
    </row>
    <row r="249" spans="1:14" x14ac:dyDescent="0.25">
      <c r="A249" s="8" t="s">
        <v>3176</v>
      </c>
      <c r="C249" t="s">
        <v>24</v>
      </c>
      <c r="D249" t="s">
        <v>126</v>
      </c>
      <c r="F249" t="s">
        <v>3177</v>
      </c>
      <c r="G249" s="1">
        <v>44805</v>
      </c>
      <c r="H249" s="1"/>
      <c r="I249" t="s">
        <v>1737</v>
      </c>
      <c r="J249" t="s">
        <v>29</v>
      </c>
      <c r="M249" s="74">
        <v>100</v>
      </c>
      <c r="N249" s="1">
        <v>44985</v>
      </c>
    </row>
    <row r="250" spans="1:14" x14ac:dyDescent="0.25">
      <c r="A250" s="8" t="s">
        <v>3178</v>
      </c>
      <c r="C250" t="s">
        <v>24</v>
      </c>
      <c r="D250" t="s">
        <v>126</v>
      </c>
      <c r="F250" t="s">
        <v>3179</v>
      </c>
      <c r="G250" s="1">
        <v>44927</v>
      </c>
      <c r="H250" s="1"/>
      <c r="I250" t="s">
        <v>1737</v>
      </c>
      <c r="J250" t="s">
        <v>29</v>
      </c>
      <c r="M250" s="74">
        <v>100</v>
      </c>
      <c r="N250" s="1">
        <v>45063</v>
      </c>
    </row>
    <row r="251" spans="1:14" x14ac:dyDescent="0.25">
      <c r="A251" s="8" t="s">
        <v>3180</v>
      </c>
      <c r="C251" t="s">
        <v>24</v>
      </c>
      <c r="D251" t="s">
        <v>126</v>
      </c>
      <c r="F251" t="s">
        <v>3181</v>
      </c>
      <c r="G251" s="1">
        <v>45047</v>
      </c>
      <c r="H251" s="1"/>
      <c r="I251" t="s">
        <v>1737</v>
      </c>
      <c r="J251" t="s">
        <v>29</v>
      </c>
      <c r="M251" s="74">
        <v>1</v>
      </c>
      <c r="N251" s="1">
        <v>45163</v>
      </c>
    </row>
    <row r="252" spans="1:14" x14ac:dyDescent="0.25">
      <c r="A252" s="8" t="s">
        <v>3182</v>
      </c>
      <c r="C252" t="s">
        <v>24</v>
      </c>
      <c r="D252" t="s">
        <v>126</v>
      </c>
      <c r="F252" t="s">
        <v>3183</v>
      </c>
      <c r="G252" s="1">
        <v>44749</v>
      </c>
      <c r="H252" s="1"/>
      <c r="I252" t="s">
        <v>1737</v>
      </c>
      <c r="J252" t="s">
        <v>29</v>
      </c>
      <c r="K252" t="s">
        <v>29</v>
      </c>
      <c r="M252" s="74">
        <v>1</v>
      </c>
      <c r="N252" s="1" t="s">
        <v>3184</v>
      </c>
    </row>
    <row r="253" spans="1:14" x14ac:dyDescent="0.25">
      <c r="A253" s="8" t="s">
        <v>3185</v>
      </c>
      <c r="C253" t="s">
        <v>24</v>
      </c>
      <c r="D253" t="s">
        <v>126</v>
      </c>
      <c r="F253" t="s">
        <v>3186</v>
      </c>
      <c r="G253" s="1">
        <v>44753</v>
      </c>
      <c r="H253" s="1"/>
      <c r="I253" t="s">
        <v>1737</v>
      </c>
      <c r="J253" t="s">
        <v>29</v>
      </c>
      <c r="K253" t="s">
        <v>29</v>
      </c>
      <c r="M253" s="74">
        <v>1</v>
      </c>
      <c r="N253" s="1" t="s">
        <v>3187</v>
      </c>
    </row>
    <row r="254" spans="1:14" x14ac:dyDescent="0.25">
      <c r="A254" s="8" t="s">
        <v>3188</v>
      </c>
      <c r="C254" t="s">
        <v>24</v>
      </c>
      <c r="D254" t="s">
        <v>126</v>
      </c>
      <c r="F254" t="s">
        <v>3189</v>
      </c>
      <c r="G254" s="1">
        <v>44753</v>
      </c>
      <c r="H254" s="1"/>
      <c r="I254" t="s">
        <v>1737</v>
      </c>
      <c r="J254" t="s">
        <v>29</v>
      </c>
      <c r="K254" t="s">
        <v>29</v>
      </c>
      <c r="M254" s="74">
        <v>1</v>
      </c>
      <c r="N254" s="1" t="s">
        <v>3187</v>
      </c>
    </row>
    <row r="255" spans="1:14" x14ac:dyDescent="0.25">
      <c r="A255" s="8" t="s">
        <v>3190</v>
      </c>
      <c r="C255" t="s">
        <v>24</v>
      </c>
      <c r="D255" t="s">
        <v>126</v>
      </c>
      <c r="E255" t="s">
        <v>3191</v>
      </c>
      <c r="F255" t="s">
        <v>3192</v>
      </c>
      <c r="G255" s="1">
        <v>44826</v>
      </c>
      <c r="H255" s="1"/>
      <c r="I255" t="s">
        <v>1737</v>
      </c>
      <c r="J255" t="s">
        <v>29</v>
      </c>
      <c r="K255" t="s">
        <v>29</v>
      </c>
      <c r="M255" s="74" t="s">
        <v>3193</v>
      </c>
      <c r="N255" s="1">
        <v>44881</v>
      </c>
    </row>
    <row r="256" spans="1:14" x14ac:dyDescent="0.25">
      <c r="A256" s="8" t="s">
        <v>3194</v>
      </c>
      <c r="C256" t="s">
        <v>24</v>
      </c>
      <c r="D256" t="s">
        <v>126</v>
      </c>
      <c r="E256" t="s">
        <v>3191</v>
      </c>
      <c r="F256" t="s">
        <v>3195</v>
      </c>
      <c r="G256" s="1">
        <v>44826</v>
      </c>
      <c r="H256" s="1"/>
      <c r="I256" t="s">
        <v>2952</v>
      </c>
      <c r="J256" t="s">
        <v>29</v>
      </c>
      <c r="K256" t="s">
        <v>29</v>
      </c>
      <c r="M256" s="74" t="s">
        <v>3196</v>
      </c>
      <c r="N256" s="1" t="s">
        <v>3197</v>
      </c>
    </row>
    <row r="257" spans="1:14" x14ac:dyDescent="0.25">
      <c r="A257" s="8" t="s">
        <v>3198</v>
      </c>
      <c r="C257" t="s">
        <v>24</v>
      </c>
      <c r="D257" t="s">
        <v>126</v>
      </c>
      <c r="F257" t="s">
        <v>3199</v>
      </c>
      <c r="G257" s="1">
        <v>44950</v>
      </c>
      <c r="H257" s="1"/>
      <c r="I257" t="s">
        <v>1737</v>
      </c>
      <c r="J257" t="s">
        <v>29</v>
      </c>
      <c r="M257" s="74">
        <v>1</v>
      </c>
      <c r="N257" s="1"/>
    </row>
    <row r="258" spans="1:14" x14ac:dyDescent="0.25">
      <c r="A258" s="8" t="s">
        <v>3200</v>
      </c>
      <c r="C258" t="s">
        <v>24</v>
      </c>
      <c r="D258" t="s">
        <v>126</v>
      </c>
      <c r="F258" t="s">
        <v>3201</v>
      </c>
      <c r="G258" s="1">
        <v>45020</v>
      </c>
      <c r="H258" s="1"/>
      <c r="I258" t="s">
        <v>1737</v>
      </c>
      <c r="J258" t="s">
        <v>29</v>
      </c>
      <c r="K258" t="s">
        <v>29</v>
      </c>
      <c r="M258" s="74">
        <v>1</v>
      </c>
      <c r="N258" s="1">
        <v>45030</v>
      </c>
    </row>
    <row r="259" spans="1:14" x14ac:dyDescent="0.25">
      <c r="A259" s="8" t="s">
        <v>3202</v>
      </c>
      <c r="C259" t="s">
        <v>24</v>
      </c>
      <c r="D259" t="s">
        <v>126</v>
      </c>
      <c r="E259" t="s">
        <v>3191</v>
      </c>
      <c r="F259" t="s">
        <v>3203</v>
      </c>
      <c r="G259" s="1">
        <v>44965</v>
      </c>
      <c r="H259" s="1"/>
      <c r="I259" t="s">
        <v>1737</v>
      </c>
      <c r="J259" t="s">
        <v>29</v>
      </c>
      <c r="K259" t="s">
        <v>29</v>
      </c>
      <c r="M259" s="74">
        <v>1</v>
      </c>
      <c r="N259" s="1" t="s">
        <v>3204</v>
      </c>
    </row>
    <row r="260" spans="1:14" x14ac:dyDescent="0.25">
      <c r="A260" s="8" t="s">
        <v>3205</v>
      </c>
      <c r="C260" t="s">
        <v>24</v>
      </c>
      <c r="D260" t="s">
        <v>126</v>
      </c>
      <c r="E260" t="s">
        <v>3191</v>
      </c>
      <c r="F260" t="s">
        <v>3206</v>
      </c>
      <c r="G260" s="1">
        <v>44965</v>
      </c>
      <c r="H260" s="1"/>
      <c r="I260" t="s">
        <v>1737</v>
      </c>
      <c r="J260" t="s">
        <v>29</v>
      </c>
      <c r="K260" t="s">
        <v>29</v>
      </c>
      <c r="M260" s="74">
        <v>1</v>
      </c>
      <c r="N260" s="1" t="s">
        <v>3207</v>
      </c>
    </row>
    <row r="261" spans="1:14" x14ac:dyDescent="0.25">
      <c r="A261" s="8" t="s">
        <v>3208</v>
      </c>
      <c r="C261" t="s">
        <v>24</v>
      </c>
      <c r="D261" t="s">
        <v>126</v>
      </c>
      <c r="E261" t="s">
        <v>3191</v>
      </c>
      <c r="F261" t="s">
        <v>3209</v>
      </c>
      <c r="G261" s="1">
        <v>44974</v>
      </c>
      <c r="H261" s="1"/>
      <c r="I261" t="s">
        <v>1737</v>
      </c>
      <c r="J261" t="s">
        <v>29</v>
      </c>
      <c r="K261" t="s">
        <v>29</v>
      </c>
      <c r="M261" s="74" t="s">
        <v>3210</v>
      </c>
      <c r="N261" s="1" t="s">
        <v>3211</v>
      </c>
    </row>
    <row r="262" spans="1:14" x14ac:dyDescent="0.25">
      <c r="A262" s="8" t="s">
        <v>3212</v>
      </c>
      <c r="C262" t="s">
        <v>24</v>
      </c>
      <c r="D262" t="s">
        <v>126</v>
      </c>
      <c r="E262" t="s">
        <v>3191</v>
      </c>
      <c r="F262" t="s">
        <v>3213</v>
      </c>
      <c r="G262" s="1">
        <v>44974</v>
      </c>
      <c r="H262" s="1"/>
      <c r="I262" t="s">
        <v>1737</v>
      </c>
      <c r="J262" t="s">
        <v>29</v>
      </c>
      <c r="K262" t="s">
        <v>29</v>
      </c>
      <c r="M262" s="74" t="s">
        <v>3214</v>
      </c>
      <c r="N262" s="1" t="s">
        <v>3215</v>
      </c>
    </row>
    <row r="263" spans="1:14" x14ac:dyDescent="0.25">
      <c r="A263" s="8" t="s">
        <v>3216</v>
      </c>
      <c r="C263" t="s">
        <v>24</v>
      </c>
      <c r="D263" t="s">
        <v>126</v>
      </c>
      <c r="E263" t="s">
        <v>3191</v>
      </c>
      <c r="F263" t="s">
        <v>3217</v>
      </c>
      <c r="G263" s="1">
        <v>44974</v>
      </c>
      <c r="H263" s="1"/>
      <c r="I263" t="s">
        <v>1737</v>
      </c>
      <c r="J263" t="s">
        <v>29</v>
      </c>
      <c r="K263" t="s">
        <v>29</v>
      </c>
      <c r="M263" s="74">
        <v>1</v>
      </c>
      <c r="N263" s="1">
        <v>45390</v>
      </c>
    </row>
    <row r="264" spans="1:14" x14ac:dyDescent="0.25">
      <c r="A264" s="8" t="s">
        <v>3218</v>
      </c>
      <c r="C264" t="s">
        <v>24</v>
      </c>
      <c r="D264" t="s">
        <v>126</v>
      </c>
      <c r="E264" t="s">
        <v>3191</v>
      </c>
      <c r="F264" t="s">
        <v>3219</v>
      </c>
      <c r="G264" s="1">
        <v>44974</v>
      </c>
      <c r="H264" s="1"/>
      <c r="I264" t="s">
        <v>1737</v>
      </c>
      <c r="J264" t="s">
        <v>29</v>
      </c>
      <c r="K264" t="s">
        <v>29</v>
      </c>
      <c r="M264" s="74">
        <v>1</v>
      </c>
      <c r="N264" s="1">
        <v>45414</v>
      </c>
    </row>
    <row r="265" spans="1:14" x14ac:dyDescent="0.25">
      <c r="A265" s="8" t="s">
        <v>3220</v>
      </c>
      <c r="C265" t="s">
        <v>13</v>
      </c>
      <c r="D265" t="s">
        <v>70</v>
      </c>
      <c r="F265" t="s">
        <v>3221</v>
      </c>
      <c r="G265" s="1">
        <v>44999</v>
      </c>
      <c r="H265" s="1"/>
      <c r="I265" t="s">
        <v>1737</v>
      </c>
      <c r="J265" t="s">
        <v>29</v>
      </c>
      <c r="M265" s="74">
        <v>1</v>
      </c>
      <c r="N265" s="1">
        <v>45103</v>
      </c>
    </row>
    <row r="266" spans="1:14" x14ac:dyDescent="0.25">
      <c r="A266" s="8" t="s">
        <v>3222</v>
      </c>
      <c r="C266" t="s">
        <v>13</v>
      </c>
      <c r="D266" t="s">
        <v>70</v>
      </c>
      <c r="F266" t="s">
        <v>3223</v>
      </c>
      <c r="G266" s="1">
        <v>44999</v>
      </c>
      <c r="H266" s="1"/>
      <c r="I266" t="s">
        <v>1737</v>
      </c>
      <c r="J266" t="s">
        <v>29</v>
      </c>
      <c r="M266" s="74">
        <v>1</v>
      </c>
      <c r="N266" s="1">
        <v>45103</v>
      </c>
    </row>
    <row r="267" spans="1:14" x14ac:dyDescent="0.25">
      <c r="A267" s="8" t="s">
        <v>3224</v>
      </c>
      <c r="B267">
        <v>3574</v>
      </c>
      <c r="C267" t="s">
        <v>220</v>
      </c>
      <c r="D267" t="s">
        <v>70</v>
      </c>
      <c r="E267" t="s">
        <v>71</v>
      </c>
      <c r="F267" t="s">
        <v>689</v>
      </c>
      <c r="G267" s="1">
        <v>45232</v>
      </c>
      <c r="H267" s="1"/>
      <c r="I267" t="s">
        <v>1737</v>
      </c>
      <c r="J267" t="s">
        <v>29</v>
      </c>
      <c r="K267" t="s">
        <v>29</v>
      </c>
      <c r="L267" t="s">
        <v>680</v>
      </c>
      <c r="M267" s="74">
        <v>45553</v>
      </c>
      <c r="N267" s="1"/>
    </row>
    <row r="268" spans="1:14" x14ac:dyDescent="0.25">
      <c r="A268" s="8" t="s">
        <v>3225</v>
      </c>
      <c r="C268" t="s">
        <v>499</v>
      </c>
      <c r="D268" t="s">
        <v>2919</v>
      </c>
      <c r="F268" t="s">
        <v>3226</v>
      </c>
      <c r="G268" s="1">
        <v>44762</v>
      </c>
      <c r="H268" s="1"/>
      <c r="J268" t="s">
        <v>29</v>
      </c>
      <c r="M268" s="74">
        <v>100</v>
      </c>
      <c r="N268" s="1">
        <v>44911</v>
      </c>
    </row>
    <row r="269" spans="1:14" x14ac:dyDescent="0.25">
      <c r="A269" s="8" t="s">
        <v>3227</v>
      </c>
      <c r="C269" t="s">
        <v>499</v>
      </c>
      <c r="D269" t="s">
        <v>2919</v>
      </c>
      <c r="F269" t="s">
        <v>3228</v>
      </c>
      <c r="G269" s="1">
        <v>44834</v>
      </c>
      <c r="H269" s="1"/>
      <c r="J269" t="s">
        <v>29</v>
      </c>
      <c r="M269" s="74">
        <v>100</v>
      </c>
      <c r="N269" s="1">
        <v>44911</v>
      </c>
    </row>
    <row r="270" spans="1:14" x14ac:dyDescent="0.25">
      <c r="A270" s="8" t="s">
        <v>3229</v>
      </c>
      <c r="C270" t="s">
        <v>499</v>
      </c>
      <c r="D270" t="s">
        <v>2919</v>
      </c>
      <c r="F270" t="s">
        <v>3230</v>
      </c>
      <c r="G270" s="1">
        <v>44860</v>
      </c>
      <c r="H270" s="1"/>
      <c r="I270" t="s">
        <v>2952</v>
      </c>
      <c r="J270" t="s">
        <v>29</v>
      </c>
      <c r="K270" t="s">
        <v>29</v>
      </c>
      <c r="M270" s="74">
        <v>100</v>
      </c>
      <c r="N270" s="1">
        <v>44911</v>
      </c>
    </row>
    <row r="271" spans="1:14" x14ac:dyDescent="0.25">
      <c r="A271" s="8" t="s">
        <v>3231</v>
      </c>
      <c r="C271" t="s">
        <v>3232</v>
      </c>
      <c r="D271" t="s">
        <v>2919</v>
      </c>
      <c r="F271" t="s">
        <v>3233</v>
      </c>
      <c r="G271" s="1">
        <v>44991</v>
      </c>
      <c r="H271" s="1"/>
      <c r="I271" t="s">
        <v>2952</v>
      </c>
      <c r="J271" t="s">
        <v>29</v>
      </c>
      <c r="K271" t="s">
        <v>29</v>
      </c>
      <c r="M271" s="74"/>
      <c r="N271" s="1"/>
    </row>
    <row r="272" spans="1:14" x14ac:dyDescent="0.25">
      <c r="A272" s="8" t="s">
        <v>3234</v>
      </c>
      <c r="C272" t="s">
        <v>135</v>
      </c>
      <c r="D272" t="s">
        <v>742</v>
      </c>
      <c r="F272" t="s">
        <v>3235</v>
      </c>
      <c r="G272" s="1">
        <v>44835</v>
      </c>
      <c r="H272" s="1"/>
      <c r="I272" t="s">
        <v>1737</v>
      </c>
      <c r="J272" t="s">
        <v>29</v>
      </c>
      <c r="M272" s="74">
        <v>100</v>
      </c>
      <c r="N272" s="1">
        <v>44869</v>
      </c>
    </row>
    <row r="273" spans="1:14" x14ac:dyDescent="0.25">
      <c r="A273" s="8" t="s">
        <v>3236</v>
      </c>
      <c r="C273" t="s">
        <v>336</v>
      </c>
      <c r="D273" t="s">
        <v>126</v>
      </c>
      <c r="F273" t="s">
        <v>3039</v>
      </c>
      <c r="G273" s="1">
        <v>44784</v>
      </c>
      <c r="H273" s="1"/>
      <c r="I273" t="s">
        <v>2952</v>
      </c>
      <c r="J273" t="s">
        <v>29</v>
      </c>
      <c r="K273" t="s">
        <v>29</v>
      </c>
      <c r="M273" s="74">
        <v>1</v>
      </c>
      <c r="N273" s="1" t="s">
        <v>3040</v>
      </c>
    </row>
    <row r="274" spans="1:14" x14ac:dyDescent="0.25">
      <c r="A274" s="8" t="s">
        <v>3237</v>
      </c>
      <c r="C274" t="s">
        <v>3238</v>
      </c>
      <c r="D274" t="s">
        <v>32</v>
      </c>
      <c r="F274" t="s">
        <v>3239</v>
      </c>
      <c r="G274" s="1">
        <v>45058</v>
      </c>
      <c r="H274" s="1"/>
      <c r="I274" t="s">
        <v>2952</v>
      </c>
      <c r="J274" t="s">
        <v>29</v>
      </c>
      <c r="K274" t="s">
        <v>18</v>
      </c>
      <c r="M274" s="74"/>
      <c r="N274" s="1"/>
    </row>
    <row r="275" spans="1:14" x14ac:dyDescent="0.25">
      <c r="A275" s="8" t="s">
        <v>3240</v>
      </c>
      <c r="C275" t="s">
        <v>3241</v>
      </c>
      <c r="D275" t="s">
        <v>3242</v>
      </c>
      <c r="F275" t="s">
        <v>3243</v>
      </c>
      <c r="G275" s="1">
        <v>45205</v>
      </c>
      <c r="H275" s="1"/>
      <c r="I275" t="s">
        <v>1737</v>
      </c>
      <c r="J275" t="s">
        <v>29</v>
      </c>
      <c r="K275" t="s">
        <v>29</v>
      </c>
      <c r="M275" s="74">
        <v>100</v>
      </c>
      <c r="N275" s="1">
        <v>45323</v>
      </c>
    </row>
    <row r="276" spans="1:14" x14ac:dyDescent="0.25">
      <c r="A276" s="8" t="s">
        <v>3244</v>
      </c>
      <c r="C276" t="s">
        <v>24</v>
      </c>
      <c r="D276" t="s">
        <v>1777</v>
      </c>
      <c r="F276" t="s">
        <v>3051</v>
      </c>
      <c r="G276" s="1">
        <v>44818</v>
      </c>
      <c r="H276" s="1"/>
      <c r="I276" t="s">
        <v>1737</v>
      </c>
      <c r="J276" t="s">
        <v>29</v>
      </c>
      <c r="K276" t="s">
        <v>29</v>
      </c>
      <c r="M276" s="74">
        <v>1</v>
      </c>
      <c r="N276" s="1" t="s">
        <v>3052</v>
      </c>
    </row>
    <row r="277" spans="1:14" x14ac:dyDescent="0.25">
      <c r="A277" s="8" t="s">
        <v>2240</v>
      </c>
      <c r="C277" t="s">
        <v>13</v>
      </c>
      <c r="D277" t="s">
        <v>47</v>
      </c>
      <c r="F277" t="s">
        <v>3245</v>
      </c>
      <c r="G277" s="1">
        <v>44896</v>
      </c>
      <c r="H277" s="1"/>
      <c r="I277" t="s">
        <v>1737</v>
      </c>
      <c r="J277" t="s">
        <v>29</v>
      </c>
      <c r="M277" s="74">
        <v>1</v>
      </c>
      <c r="N277" s="1" t="s">
        <v>3246</v>
      </c>
    </row>
    <row r="278" spans="1:14" x14ac:dyDescent="0.25">
      <c r="A278" s="8" t="s">
        <v>3247</v>
      </c>
      <c r="C278" t="s">
        <v>13</v>
      </c>
      <c r="D278" t="s">
        <v>3248</v>
      </c>
      <c r="F278" t="s">
        <v>3249</v>
      </c>
      <c r="G278" s="1">
        <v>45040</v>
      </c>
      <c r="H278" s="1"/>
      <c r="I278" t="s">
        <v>1737</v>
      </c>
      <c r="J278" t="s">
        <v>29</v>
      </c>
      <c r="M278" s="74">
        <v>1</v>
      </c>
      <c r="N278" s="1">
        <v>45288</v>
      </c>
    </row>
    <row r="279" spans="1:14" x14ac:dyDescent="0.25">
      <c r="A279" s="8" t="s">
        <v>3250</v>
      </c>
      <c r="C279" t="s">
        <v>13</v>
      </c>
      <c r="D279" t="s">
        <v>47</v>
      </c>
      <c r="F279" t="s">
        <v>3251</v>
      </c>
      <c r="G279" s="1">
        <v>45288</v>
      </c>
      <c r="H279" s="1"/>
      <c r="I279" t="s">
        <v>2762</v>
      </c>
      <c r="J279" t="s">
        <v>29</v>
      </c>
      <c r="K279" t="s">
        <v>29</v>
      </c>
      <c r="M279" s="74" t="s">
        <v>3252</v>
      </c>
      <c r="N279" s="1"/>
    </row>
    <row r="280" spans="1:14" x14ac:dyDescent="0.25">
      <c r="A280" s="8" t="s">
        <v>3253</v>
      </c>
      <c r="C280" t="s">
        <v>13</v>
      </c>
      <c r="D280" t="s">
        <v>411</v>
      </c>
      <c r="E280" t="s">
        <v>817</v>
      </c>
      <c r="F280" t="s">
        <v>3254</v>
      </c>
      <c r="G280" s="1">
        <v>44841</v>
      </c>
      <c r="H280" s="1"/>
      <c r="I280" t="s">
        <v>1737</v>
      </c>
      <c r="J280" t="s">
        <v>29</v>
      </c>
      <c r="L280" t="s">
        <v>3255</v>
      </c>
      <c r="M280" s="74" t="s">
        <v>3256</v>
      </c>
      <c r="N280" s="1" t="s">
        <v>3257</v>
      </c>
    </row>
    <row r="281" spans="1:14" x14ac:dyDescent="0.25">
      <c r="A281" s="8" t="s">
        <v>3258</v>
      </c>
      <c r="C281" t="s">
        <v>13</v>
      </c>
      <c r="D281" t="s">
        <v>411</v>
      </c>
      <c r="E281" t="s">
        <v>817</v>
      </c>
      <c r="F281" t="s">
        <v>3259</v>
      </c>
      <c r="G281" s="1">
        <v>44841</v>
      </c>
      <c r="H281" s="1"/>
      <c r="I281" t="s">
        <v>1737</v>
      </c>
      <c r="J281" t="s">
        <v>29</v>
      </c>
      <c r="L281" t="s">
        <v>3255</v>
      </c>
      <c r="M281" s="74">
        <v>1</v>
      </c>
      <c r="N281" s="1" t="s">
        <v>3260</v>
      </c>
    </row>
    <row r="282" spans="1:14" x14ac:dyDescent="0.25">
      <c r="A282" s="8" t="s">
        <v>3261</v>
      </c>
      <c r="C282" t="s">
        <v>13</v>
      </c>
      <c r="D282" t="s">
        <v>411</v>
      </c>
      <c r="E282" t="s">
        <v>817</v>
      </c>
      <c r="F282" t="s">
        <v>3262</v>
      </c>
      <c r="G282" s="1">
        <v>44841</v>
      </c>
      <c r="H282" s="1"/>
      <c r="I282" t="s">
        <v>1737</v>
      </c>
      <c r="J282" t="s">
        <v>29</v>
      </c>
      <c r="L282" t="s">
        <v>3255</v>
      </c>
      <c r="M282" s="74">
        <v>100</v>
      </c>
      <c r="N282" s="1">
        <v>45376</v>
      </c>
    </row>
    <row r="283" spans="1:14" x14ac:dyDescent="0.25">
      <c r="A283" s="8" t="s">
        <v>3263</v>
      </c>
      <c r="C283" t="s">
        <v>3264</v>
      </c>
      <c r="D283" t="s">
        <v>411</v>
      </c>
      <c r="E283" t="s">
        <v>817</v>
      </c>
      <c r="F283" t="s">
        <v>3265</v>
      </c>
      <c r="G283" s="1">
        <v>45040</v>
      </c>
      <c r="H283" s="1"/>
      <c r="I283" t="s">
        <v>1737</v>
      </c>
      <c r="J283" t="s">
        <v>29</v>
      </c>
      <c r="K283" t="s">
        <v>29</v>
      </c>
      <c r="M283" s="74">
        <v>100</v>
      </c>
      <c r="N283" s="1">
        <v>45174</v>
      </c>
    </row>
    <row r="284" spans="1:14" x14ac:dyDescent="0.25">
      <c r="A284" s="8" t="s">
        <v>3266</v>
      </c>
      <c r="C284" t="s">
        <v>13</v>
      </c>
      <c r="D284" t="s">
        <v>411</v>
      </c>
      <c r="E284" t="s">
        <v>817</v>
      </c>
      <c r="F284" t="s">
        <v>3267</v>
      </c>
      <c r="G284" s="1">
        <v>45065</v>
      </c>
      <c r="H284" s="1"/>
      <c r="I284" t="s">
        <v>1737</v>
      </c>
      <c r="J284" t="s">
        <v>29</v>
      </c>
      <c r="K284" t="s">
        <v>18</v>
      </c>
      <c r="L284" t="s">
        <v>3268</v>
      </c>
      <c r="M284" s="74">
        <v>100</v>
      </c>
      <c r="N284" s="1">
        <v>45174</v>
      </c>
    </row>
    <row r="285" spans="1:14" x14ac:dyDescent="0.25">
      <c r="A285" s="8" t="s">
        <v>3269</v>
      </c>
      <c r="C285" t="s">
        <v>13</v>
      </c>
      <c r="D285" t="s">
        <v>411</v>
      </c>
      <c r="E285" t="s">
        <v>817</v>
      </c>
      <c r="F285" t="s">
        <v>3270</v>
      </c>
      <c r="G285" s="1">
        <v>45145</v>
      </c>
      <c r="H285" s="1"/>
      <c r="I285" t="s">
        <v>1737</v>
      </c>
      <c r="J285" t="s">
        <v>29</v>
      </c>
      <c r="K285" t="s">
        <v>18</v>
      </c>
      <c r="M285" s="74">
        <v>100</v>
      </c>
      <c r="N285" s="1">
        <v>45376</v>
      </c>
    </row>
    <row r="286" spans="1:14" x14ac:dyDescent="0.25">
      <c r="A286" s="8" t="s">
        <v>3271</v>
      </c>
      <c r="C286" t="s">
        <v>13</v>
      </c>
      <c r="D286" t="s">
        <v>411</v>
      </c>
      <c r="E286" t="s">
        <v>817</v>
      </c>
      <c r="F286" t="s">
        <v>3272</v>
      </c>
      <c r="G286" s="1">
        <v>45169</v>
      </c>
      <c r="H286" s="1"/>
      <c r="I286" t="s">
        <v>1737</v>
      </c>
      <c r="J286" t="s">
        <v>29</v>
      </c>
      <c r="K286" t="s">
        <v>29</v>
      </c>
      <c r="M286" s="74">
        <v>100</v>
      </c>
      <c r="N286" s="1">
        <v>45328</v>
      </c>
    </row>
    <row r="287" spans="1:14" x14ac:dyDescent="0.25">
      <c r="A287" s="8" t="s">
        <v>3273</v>
      </c>
      <c r="C287" t="s">
        <v>13</v>
      </c>
      <c r="D287" t="s">
        <v>411</v>
      </c>
      <c r="E287" t="s">
        <v>817</v>
      </c>
      <c r="F287" t="s">
        <v>3274</v>
      </c>
      <c r="G287" s="1">
        <v>45355</v>
      </c>
      <c r="H287" s="1"/>
      <c r="I287" t="s">
        <v>1737</v>
      </c>
      <c r="J287" t="s">
        <v>29</v>
      </c>
      <c r="K287" t="s">
        <v>29</v>
      </c>
      <c r="L287" t="s">
        <v>807</v>
      </c>
      <c r="M287" s="74"/>
      <c r="N287" s="1"/>
    </row>
    <row r="288" spans="1:14" x14ac:dyDescent="0.25">
      <c r="A288" s="8" t="s">
        <v>3275</v>
      </c>
      <c r="C288" t="s">
        <v>24</v>
      </c>
      <c r="D288" t="s">
        <v>126</v>
      </c>
      <c r="E288" t="s">
        <v>3080</v>
      </c>
      <c r="F288" t="s">
        <v>3276</v>
      </c>
      <c r="G288" s="1">
        <v>44874</v>
      </c>
      <c r="H288" s="1"/>
      <c r="I288" t="s">
        <v>1737</v>
      </c>
      <c r="J288" t="s">
        <v>29</v>
      </c>
      <c r="K288" t="s">
        <v>29</v>
      </c>
      <c r="L288" t="s">
        <v>3082</v>
      </c>
      <c r="M288" s="74">
        <v>1</v>
      </c>
      <c r="N288" s="1">
        <v>44882</v>
      </c>
    </row>
    <row r="289" spans="1:14" x14ac:dyDescent="0.25">
      <c r="A289" s="8" t="s">
        <v>3277</v>
      </c>
      <c r="C289" t="s">
        <v>24</v>
      </c>
      <c r="D289" t="s">
        <v>126</v>
      </c>
      <c r="E289" t="s">
        <v>3080</v>
      </c>
      <c r="F289" t="s">
        <v>3278</v>
      </c>
      <c r="G289" s="1">
        <v>44874</v>
      </c>
      <c r="H289" s="1"/>
      <c r="I289" t="s">
        <v>1737</v>
      </c>
      <c r="J289" t="s">
        <v>29</v>
      </c>
      <c r="K289" t="s">
        <v>29</v>
      </c>
      <c r="L289" t="s">
        <v>3082</v>
      </c>
      <c r="M289" s="74">
        <v>1</v>
      </c>
      <c r="N289" s="1" t="s">
        <v>3279</v>
      </c>
    </row>
    <row r="290" spans="1:14" x14ac:dyDescent="0.25">
      <c r="A290" s="8" t="s">
        <v>3280</v>
      </c>
      <c r="C290" t="s">
        <v>24</v>
      </c>
      <c r="D290" t="s">
        <v>126</v>
      </c>
      <c r="E290" t="s">
        <v>3080</v>
      </c>
      <c r="F290" t="s">
        <v>3281</v>
      </c>
      <c r="G290" s="1">
        <v>44874</v>
      </c>
      <c r="H290" s="1"/>
      <c r="I290" t="s">
        <v>1737</v>
      </c>
      <c r="J290" t="s">
        <v>29</v>
      </c>
      <c r="K290" t="s">
        <v>29</v>
      </c>
      <c r="L290" t="s">
        <v>3282</v>
      </c>
      <c r="M290" s="74">
        <v>1</v>
      </c>
      <c r="N290" s="1">
        <v>44904</v>
      </c>
    </row>
    <row r="291" spans="1:14" x14ac:dyDescent="0.25">
      <c r="A291" s="8" t="s">
        <v>3283</v>
      </c>
      <c r="C291" t="s">
        <v>24</v>
      </c>
      <c r="D291" t="s">
        <v>126</v>
      </c>
      <c r="E291" t="s">
        <v>3080</v>
      </c>
      <c r="F291" t="s">
        <v>3284</v>
      </c>
      <c r="G291" s="1">
        <v>44945</v>
      </c>
      <c r="H291" s="1"/>
      <c r="I291" t="s">
        <v>1737</v>
      </c>
      <c r="J291" t="s">
        <v>29</v>
      </c>
      <c r="K291" t="s">
        <v>29</v>
      </c>
      <c r="L291" t="s">
        <v>3285</v>
      </c>
      <c r="M291" s="74">
        <v>1</v>
      </c>
      <c r="N291" s="1">
        <v>44966</v>
      </c>
    </row>
    <row r="292" spans="1:14" x14ac:dyDescent="0.25">
      <c r="A292" s="8" t="s">
        <v>3286</v>
      </c>
      <c r="C292" t="s">
        <v>24</v>
      </c>
      <c r="D292" t="s">
        <v>126</v>
      </c>
      <c r="E292" t="s">
        <v>3080</v>
      </c>
      <c r="F292" t="s">
        <v>3287</v>
      </c>
      <c r="G292" s="1">
        <v>44874</v>
      </c>
      <c r="H292" s="1"/>
      <c r="I292" t="s">
        <v>1737</v>
      </c>
      <c r="J292" t="s">
        <v>29</v>
      </c>
      <c r="K292" t="s">
        <v>29</v>
      </c>
      <c r="L292" t="s">
        <v>3082</v>
      </c>
      <c r="M292" s="74">
        <v>1</v>
      </c>
      <c r="N292" s="1">
        <v>44882</v>
      </c>
    </row>
    <row r="293" spans="1:14" x14ac:dyDescent="0.25">
      <c r="A293" s="8" t="s">
        <v>3288</v>
      </c>
      <c r="C293" t="s">
        <v>24</v>
      </c>
      <c r="D293" t="s">
        <v>126</v>
      </c>
      <c r="E293" t="s">
        <v>3080</v>
      </c>
      <c r="F293" t="s">
        <v>3289</v>
      </c>
      <c r="G293" s="1">
        <v>44953</v>
      </c>
      <c r="H293" s="1"/>
      <c r="I293" t="s">
        <v>1737</v>
      </c>
      <c r="J293" t="s">
        <v>29</v>
      </c>
      <c r="M293" s="74">
        <v>1</v>
      </c>
      <c r="N293" s="1">
        <v>44986</v>
      </c>
    </row>
    <row r="294" spans="1:14" x14ac:dyDescent="0.25">
      <c r="A294" s="8" t="s">
        <v>3290</v>
      </c>
      <c r="C294" t="s">
        <v>24</v>
      </c>
      <c r="D294" t="s">
        <v>126</v>
      </c>
      <c r="E294" t="s">
        <v>3080</v>
      </c>
      <c r="F294" t="s">
        <v>3291</v>
      </c>
      <c r="G294" s="1">
        <v>44953</v>
      </c>
      <c r="H294" s="1"/>
      <c r="I294" t="s">
        <v>2952</v>
      </c>
      <c r="J294" t="s">
        <v>29</v>
      </c>
      <c r="M294" s="74" t="s">
        <v>3292</v>
      </c>
      <c r="N294" s="1">
        <v>44986</v>
      </c>
    </row>
    <row r="295" spans="1:14" x14ac:dyDescent="0.25">
      <c r="A295" s="8" t="s">
        <v>3293</v>
      </c>
      <c r="C295" t="s">
        <v>24</v>
      </c>
      <c r="D295" t="s">
        <v>126</v>
      </c>
      <c r="E295" t="s">
        <v>3080</v>
      </c>
      <c r="F295" t="s">
        <v>3294</v>
      </c>
      <c r="G295" s="1">
        <v>44986</v>
      </c>
      <c r="H295" s="1"/>
      <c r="I295" t="s">
        <v>1737</v>
      </c>
      <c r="J295" t="s">
        <v>29</v>
      </c>
      <c r="K295" t="s">
        <v>29</v>
      </c>
      <c r="M295" s="74">
        <v>1</v>
      </c>
      <c r="N295" s="1">
        <v>45062</v>
      </c>
    </row>
    <row r="296" spans="1:14" x14ac:dyDescent="0.25">
      <c r="A296" s="8" t="s">
        <v>3295</v>
      </c>
      <c r="C296" t="s">
        <v>24</v>
      </c>
      <c r="D296" t="s">
        <v>126</v>
      </c>
      <c r="E296" t="s">
        <v>3080</v>
      </c>
      <c r="F296" t="s">
        <v>3296</v>
      </c>
      <c r="G296" s="1">
        <v>44986</v>
      </c>
      <c r="H296" s="1"/>
      <c r="I296" t="s">
        <v>1737</v>
      </c>
      <c r="J296" t="s">
        <v>29</v>
      </c>
      <c r="K296" t="s">
        <v>29</v>
      </c>
      <c r="M296" s="74">
        <v>1</v>
      </c>
      <c r="N296" s="1">
        <v>45062</v>
      </c>
    </row>
    <row r="297" spans="1:14" x14ac:dyDescent="0.25">
      <c r="A297" s="8" t="s">
        <v>3297</v>
      </c>
      <c r="C297" t="s">
        <v>24</v>
      </c>
      <c r="D297" t="s">
        <v>126</v>
      </c>
      <c r="E297" t="s">
        <v>3080</v>
      </c>
      <c r="F297" t="s">
        <v>3298</v>
      </c>
      <c r="G297" s="1">
        <v>44986</v>
      </c>
      <c r="H297" s="1"/>
      <c r="I297" t="s">
        <v>1737</v>
      </c>
      <c r="J297" t="s">
        <v>29</v>
      </c>
      <c r="K297" t="s">
        <v>29</v>
      </c>
      <c r="M297" s="74">
        <v>100</v>
      </c>
      <c r="N297" s="1" t="s">
        <v>3299</v>
      </c>
    </row>
    <row r="298" spans="1:14" x14ac:dyDescent="0.25">
      <c r="A298" s="8" t="s">
        <v>3300</v>
      </c>
      <c r="C298" t="s">
        <v>24</v>
      </c>
      <c r="D298" t="s">
        <v>126</v>
      </c>
      <c r="E298" t="s">
        <v>3080</v>
      </c>
      <c r="F298" t="s">
        <v>3301</v>
      </c>
      <c r="G298" s="1">
        <v>44986</v>
      </c>
      <c r="H298" s="1"/>
      <c r="I298" t="s">
        <v>2762</v>
      </c>
      <c r="J298" t="s">
        <v>29</v>
      </c>
      <c r="K298" t="s">
        <v>29</v>
      </c>
      <c r="M298" s="74">
        <v>1</v>
      </c>
      <c r="N298" s="1" t="s">
        <v>3302</v>
      </c>
    </row>
    <row r="299" spans="1:14" x14ac:dyDescent="0.25">
      <c r="A299" s="8" t="s">
        <v>3303</v>
      </c>
      <c r="C299" t="s">
        <v>24</v>
      </c>
      <c r="D299" t="s">
        <v>126</v>
      </c>
      <c r="E299" t="s">
        <v>3080</v>
      </c>
      <c r="F299" t="s">
        <v>3304</v>
      </c>
      <c r="G299" s="1">
        <v>44986</v>
      </c>
      <c r="H299" s="1"/>
      <c r="I299" t="s">
        <v>1737</v>
      </c>
      <c r="J299" t="s">
        <v>29</v>
      </c>
      <c r="K299" t="s">
        <v>29</v>
      </c>
      <c r="M299" s="74">
        <v>1</v>
      </c>
      <c r="N299" s="1">
        <v>45673</v>
      </c>
    </row>
    <row r="300" spans="1:14" x14ac:dyDescent="0.25">
      <c r="A300" s="8" t="s">
        <v>3305</v>
      </c>
      <c r="C300" t="s">
        <v>24</v>
      </c>
      <c r="D300" t="s">
        <v>126</v>
      </c>
      <c r="E300" t="s">
        <v>3080</v>
      </c>
      <c r="F300" t="s">
        <v>3306</v>
      </c>
      <c r="G300" s="1">
        <v>44986</v>
      </c>
      <c r="H300" s="1"/>
      <c r="I300" t="s">
        <v>1737</v>
      </c>
      <c r="J300" t="s">
        <v>29</v>
      </c>
      <c r="K300" t="s">
        <v>29</v>
      </c>
      <c r="M300" s="74">
        <v>1</v>
      </c>
      <c r="N300" s="1">
        <v>45121</v>
      </c>
    </row>
    <row r="301" spans="1:14" x14ac:dyDescent="0.25">
      <c r="A301" s="8" t="s">
        <v>3307</v>
      </c>
      <c r="C301" t="s">
        <v>24</v>
      </c>
      <c r="D301" t="s">
        <v>126</v>
      </c>
      <c r="E301" t="s">
        <v>3080</v>
      </c>
      <c r="F301" t="s">
        <v>3308</v>
      </c>
      <c r="G301" s="1">
        <v>44986</v>
      </c>
      <c r="H301" s="1"/>
      <c r="I301" t="s">
        <v>1737</v>
      </c>
      <c r="J301" t="s">
        <v>29</v>
      </c>
      <c r="K301" t="s">
        <v>29</v>
      </c>
      <c r="M301" s="74" t="s">
        <v>3214</v>
      </c>
      <c r="N301" s="1" t="s">
        <v>3309</v>
      </c>
    </row>
    <row r="302" spans="1:14" x14ac:dyDescent="0.25">
      <c r="A302" s="8" t="s">
        <v>3310</v>
      </c>
      <c r="C302" t="s">
        <v>24</v>
      </c>
      <c r="D302" t="s">
        <v>126</v>
      </c>
      <c r="E302" t="s">
        <v>3080</v>
      </c>
      <c r="F302" t="s">
        <v>3083</v>
      </c>
      <c r="G302" s="1">
        <v>44879</v>
      </c>
      <c r="H302" s="1"/>
      <c r="I302" t="s">
        <v>1737</v>
      </c>
      <c r="J302" t="s">
        <v>29</v>
      </c>
      <c r="K302" t="s">
        <v>29</v>
      </c>
      <c r="L302" t="s">
        <v>3084</v>
      </c>
      <c r="M302" s="74">
        <v>1</v>
      </c>
      <c r="N302" s="1" t="s">
        <v>3311</v>
      </c>
    </row>
    <row r="303" spans="1:14" x14ac:dyDescent="0.25">
      <c r="A303" s="8" t="s">
        <v>3312</v>
      </c>
      <c r="C303" t="s">
        <v>24</v>
      </c>
      <c r="D303" t="s">
        <v>126</v>
      </c>
      <c r="E303" t="s">
        <v>3080</v>
      </c>
      <c r="F303" t="s">
        <v>3083</v>
      </c>
      <c r="G303" s="1">
        <v>44879</v>
      </c>
      <c r="H303" s="1"/>
      <c r="I303" t="s">
        <v>1737</v>
      </c>
      <c r="J303" t="s">
        <v>29</v>
      </c>
      <c r="K303" t="s">
        <v>29</v>
      </c>
      <c r="L303" t="s">
        <v>3084</v>
      </c>
      <c r="M303" s="74">
        <v>1</v>
      </c>
      <c r="N303" s="1" t="s">
        <v>3311</v>
      </c>
    </row>
    <row r="304" spans="1:14" x14ac:dyDescent="0.25">
      <c r="A304" s="8" t="s">
        <v>2556</v>
      </c>
      <c r="C304" t="s">
        <v>325</v>
      </c>
      <c r="D304" t="s">
        <v>253</v>
      </c>
      <c r="E304" t="s">
        <v>3091</v>
      </c>
      <c r="F304" t="s">
        <v>3092</v>
      </c>
      <c r="G304" s="1">
        <v>44887</v>
      </c>
      <c r="H304" s="1"/>
      <c r="I304" t="s">
        <v>1737</v>
      </c>
      <c r="J304" t="s">
        <v>29</v>
      </c>
      <c r="K304" t="s">
        <v>29</v>
      </c>
      <c r="M304" s="74">
        <v>100</v>
      </c>
      <c r="N304" s="1">
        <v>44918</v>
      </c>
    </row>
    <row r="305" spans="1:14" x14ac:dyDescent="0.25">
      <c r="A305" s="8" t="s">
        <v>3313</v>
      </c>
      <c r="C305" t="s">
        <v>433</v>
      </c>
      <c r="D305" t="s">
        <v>298</v>
      </c>
      <c r="E305" t="s">
        <v>3314</v>
      </c>
      <c r="F305" t="s">
        <v>3315</v>
      </c>
      <c r="G305" s="1">
        <v>44972</v>
      </c>
      <c r="H305" s="1"/>
      <c r="I305" t="s">
        <v>2762</v>
      </c>
      <c r="J305" t="s">
        <v>29</v>
      </c>
      <c r="K305" t="s">
        <v>29</v>
      </c>
      <c r="M305" s="74" t="s">
        <v>3252</v>
      </c>
      <c r="N305" s="1"/>
    </row>
    <row r="306" spans="1:14" x14ac:dyDescent="0.25">
      <c r="A306" s="8" t="s">
        <v>3316</v>
      </c>
      <c r="C306" t="s">
        <v>3317</v>
      </c>
      <c r="D306" t="s">
        <v>298</v>
      </c>
      <c r="E306" t="s">
        <v>3314</v>
      </c>
      <c r="F306" t="s">
        <v>3318</v>
      </c>
      <c r="G306" s="1">
        <v>44986</v>
      </c>
      <c r="H306" s="1"/>
      <c r="I306" t="s">
        <v>2952</v>
      </c>
      <c r="J306" t="s">
        <v>29</v>
      </c>
      <c r="K306" t="s">
        <v>29</v>
      </c>
      <c r="M306" s="74"/>
      <c r="N306" s="1"/>
    </row>
    <row r="307" spans="1:14" x14ac:dyDescent="0.25">
      <c r="A307" s="8" t="s">
        <v>3319</v>
      </c>
      <c r="C307" t="s">
        <v>3317</v>
      </c>
      <c r="D307" t="s">
        <v>298</v>
      </c>
      <c r="E307" t="s">
        <v>3314</v>
      </c>
      <c r="F307" t="s">
        <v>3320</v>
      </c>
      <c r="G307" s="1">
        <v>44987</v>
      </c>
      <c r="H307" s="1"/>
      <c r="I307" t="s">
        <v>2952</v>
      </c>
      <c r="J307" t="s">
        <v>29</v>
      </c>
      <c r="K307" t="s">
        <v>29</v>
      </c>
      <c r="M307" s="74"/>
      <c r="N307" s="1"/>
    </row>
    <row r="308" spans="1:14" x14ac:dyDescent="0.25">
      <c r="A308" s="8" t="s">
        <v>3321</v>
      </c>
      <c r="C308" t="s">
        <v>13</v>
      </c>
      <c r="D308" t="s">
        <v>298</v>
      </c>
      <c r="E308" t="s">
        <v>3314</v>
      </c>
      <c r="F308" t="s">
        <v>3322</v>
      </c>
      <c r="G308" s="1">
        <v>44970</v>
      </c>
      <c r="H308" s="1"/>
      <c r="I308" t="s">
        <v>2952</v>
      </c>
      <c r="J308" t="s">
        <v>29</v>
      </c>
      <c r="K308" t="s">
        <v>29</v>
      </c>
      <c r="M308" s="74"/>
      <c r="N308" s="1"/>
    </row>
    <row r="309" spans="1:14" x14ac:dyDescent="0.25">
      <c r="A309" s="8" t="s">
        <v>3323</v>
      </c>
      <c r="C309" t="s">
        <v>13</v>
      </c>
      <c r="D309" t="s">
        <v>298</v>
      </c>
      <c r="E309" t="s">
        <v>3314</v>
      </c>
      <c r="F309" t="s">
        <v>3324</v>
      </c>
      <c r="G309" s="1">
        <v>45020</v>
      </c>
      <c r="H309" s="1"/>
      <c r="I309" t="s">
        <v>2952</v>
      </c>
      <c r="J309" t="s">
        <v>29</v>
      </c>
      <c r="K309" t="s">
        <v>18</v>
      </c>
      <c r="M309" s="74"/>
      <c r="N309" s="1"/>
    </row>
    <row r="310" spans="1:14" x14ac:dyDescent="0.25">
      <c r="A310" s="8" t="s">
        <v>3325</v>
      </c>
      <c r="C310" t="s">
        <v>24</v>
      </c>
      <c r="D310" t="s">
        <v>126</v>
      </c>
      <c r="E310" t="s">
        <v>3080</v>
      </c>
      <c r="F310" t="s">
        <v>3326</v>
      </c>
      <c r="G310" s="1">
        <v>44896</v>
      </c>
      <c r="H310" s="1"/>
      <c r="I310" t="s">
        <v>1737</v>
      </c>
      <c r="J310" t="s">
        <v>29</v>
      </c>
      <c r="K310" t="s">
        <v>29</v>
      </c>
      <c r="M310" s="74">
        <v>1</v>
      </c>
      <c r="N310" s="1" t="s">
        <v>3327</v>
      </c>
    </row>
    <row r="311" spans="1:14" x14ac:dyDescent="0.25">
      <c r="A311" s="8" t="s">
        <v>3328</v>
      </c>
      <c r="C311" t="s">
        <v>433</v>
      </c>
      <c r="D311" t="s">
        <v>14</v>
      </c>
      <c r="E311" t="s">
        <v>3110</v>
      </c>
      <c r="F311" t="s">
        <v>3329</v>
      </c>
      <c r="G311" s="1">
        <v>44909</v>
      </c>
      <c r="H311" s="1"/>
      <c r="I311" t="s">
        <v>2952</v>
      </c>
      <c r="J311" t="s">
        <v>29</v>
      </c>
      <c r="K311" t="s">
        <v>29</v>
      </c>
      <c r="L311" t="s">
        <v>3112</v>
      </c>
      <c r="M311" s="74"/>
      <c r="N311" s="1"/>
    </row>
    <row r="312" spans="1:14" x14ac:dyDescent="0.25">
      <c r="A312" s="8" t="s">
        <v>3330</v>
      </c>
      <c r="C312" t="s">
        <v>3331</v>
      </c>
      <c r="D312" t="s">
        <v>253</v>
      </c>
      <c r="E312" t="s">
        <v>3110</v>
      </c>
      <c r="F312" t="s">
        <v>3332</v>
      </c>
      <c r="G312" s="1">
        <v>44911</v>
      </c>
      <c r="H312" s="1"/>
      <c r="I312" t="s">
        <v>2952</v>
      </c>
      <c r="J312" t="s">
        <v>29</v>
      </c>
      <c r="M312" s="74"/>
      <c r="N312" s="1"/>
    </row>
    <row r="313" spans="1:14" x14ac:dyDescent="0.25">
      <c r="A313" s="8" t="s">
        <v>3333</v>
      </c>
      <c r="C313" t="s">
        <v>13</v>
      </c>
      <c r="D313" t="s">
        <v>122</v>
      </c>
      <c r="E313" t="s">
        <v>3334</v>
      </c>
      <c r="F313" t="s">
        <v>3335</v>
      </c>
      <c r="G313" s="1">
        <v>44915</v>
      </c>
      <c r="H313" s="1"/>
      <c r="I313" t="s">
        <v>2952</v>
      </c>
      <c r="J313" t="s">
        <v>29</v>
      </c>
      <c r="K313" t="s">
        <v>29</v>
      </c>
      <c r="L313" t="s">
        <v>3336</v>
      </c>
      <c r="M313" s="74"/>
      <c r="N313" s="1"/>
    </row>
    <row r="314" spans="1:14" x14ac:dyDescent="0.25">
      <c r="A314" s="8" t="s">
        <v>3337</v>
      </c>
      <c r="C314" t="s">
        <v>13</v>
      </c>
      <c r="D314" t="s">
        <v>122</v>
      </c>
      <c r="E314" t="s">
        <v>3334</v>
      </c>
      <c r="F314" t="s">
        <v>3338</v>
      </c>
      <c r="G314" s="1">
        <v>44916</v>
      </c>
      <c r="H314" s="1"/>
      <c r="I314" t="s">
        <v>1737</v>
      </c>
      <c r="J314" t="s">
        <v>29</v>
      </c>
      <c r="K314" t="s">
        <v>29</v>
      </c>
      <c r="L314" t="s">
        <v>3339</v>
      </c>
      <c r="M314" s="74" t="s">
        <v>3340</v>
      </c>
      <c r="N314" s="1" t="s">
        <v>3341</v>
      </c>
    </row>
    <row r="315" spans="1:14" x14ac:dyDescent="0.25">
      <c r="A315" s="8" t="s">
        <v>3342</v>
      </c>
      <c r="C315" t="s">
        <v>13</v>
      </c>
      <c r="D315" t="s">
        <v>122</v>
      </c>
      <c r="E315" t="s">
        <v>3334</v>
      </c>
      <c r="F315" t="s">
        <v>3343</v>
      </c>
      <c r="G315" s="1">
        <v>45096</v>
      </c>
      <c r="H315" s="1"/>
      <c r="I315" t="s">
        <v>1737</v>
      </c>
      <c r="J315" t="s">
        <v>29</v>
      </c>
      <c r="M315" s="74">
        <v>100</v>
      </c>
      <c r="N315" s="1">
        <v>45266</v>
      </c>
    </row>
    <row r="316" spans="1:14" x14ac:dyDescent="0.25">
      <c r="A316" s="8" t="s">
        <v>3344</v>
      </c>
      <c r="C316" t="s">
        <v>433</v>
      </c>
      <c r="D316" t="s">
        <v>3345</v>
      </c>
      <c r="E316" t="s">
        <v>3346</v>
      </c>
      <c r="F316" t="s">
        <v>3347</v>
      </c>
      <c r="G316" s="1">
        <v>44936</v>
      </c>
      <c r="H316" s="1"/>
      <c r="I316" t="s">
        <v>2762</v>
      </c>
      <c r="J316" t="s">
        <v>29</v>
      </c>
      <c r="K316" t="s">
        <v>29</v>
      </c>
      <c r="L316" t="s">
        <v>3348</v>
      </c>
      <c r="M316" s="74"/>
      <c r="N316" s="1"/>
    </row>
    <row r="317" spans="1:14" x14ac:dyDescent="0.25">
      <c r="A317" s="8" t="s">
        <v>3349</v>
      </c>
      <c r="C317" t="s">
        <v>433</v>
      </c>
      <c r="D317" t="s">
        <v>14</v>
      </c>
      <c r="E317" t="s">
        <v>3110</v>
      </c>
      <c r="F317" t="s">
        <v>3350</v>
      </c>
      <c r="G317" s="1">
        <v>44577</v>
      </c>
      <c r="H317" s="1"/>
      <c r="I317" t="s">
        <v>3351</v>
      </c>
      <c r="J317" t="s">
        <v>29</v>
      </c>
      <c r="K317" t="s">
        <v>29</v>
      </c>
      <c r="M317" s="74"/>
      <c r="N317" s="1"/>
    </row>
    <row r="318" spans="1:14" x14ac:dyDescent="0.25">
      <c r="A318" s="8" t="s">
        <v>3352</v>
      </c>
      <c r="C318" t="s">
        <v>3353</v>
      </c>
      <c r="D318" t="s">
        <v>14</v>
      </c>
      <c r="E318" t="s">
        <v>3110</v>
      </c>
      <c r="F318" t="s">
        <v>3354</v>
      </c>
      <c r="G318" s="1">
        <v>44944</v>
      </c>
      <c r="H318" s="1"/>
      <c r="I318" t="s">
        <v>3351</v>
      </c>
      <c r="J318" t="s">
        <v>29</v>
      </c>
      <c r="K318" t="s">
        <v>29</v>
      </c>
      <c r="M318" s="74"/>
      <c r="N318" s="1"/>
    </row>
    <row r="319" spans="1:14" x14ac:dyDescent="0.25">
      <c r="A319" s="8" t="s">
        <v>3355</v>
      </c>
      <c r="C319" t="s">
        <v>3356</v>
      </c>
      <c r="D319" t="s">
        <v>14</v>
      </c>
      <c r="E319" t="s">
        <v>3110</v>
      </c>
      <c r="F319" t="s">
        <v>3357</v>
      </c>
      <c r="G319" s="1">
        <v>44579</v>
      </c>
      <c r="H319" s="1"/>
      <c r="I319" t="s">
        <v>3351</v>
      </c>
      <c r="J319" t="s">
        <v>29</v>
      </c>
      <c r="K319" t="s">
        <v>29</v>
      </c>
      <c r="L319" t="s">
        <v>3358</v>
      </c>
      <c r="M319" s="74"/>
      <c r="N319" s="1"/>
    </row>
    <row r="320" spans="1:14" x14ac:dyDescent="0.25">
      <c r="A320" s="8" t="s">
        <v>3359</v>
      </c>
      <c r="C320" t="s">
        <v>220</v>
      </c>
      <c r="D320" t="s">
        <v>3360</v>
      </c>
      <c r="E320" t="s">
        <v>3361</v>
      </c>
      <c r="F320" t="s">
        <v>3362</v>
      </c>
      <c r="G320" s="1">
        <v>44951</v>
      </c>
      <c r="H320" s="1"/>
      <c r="I320" t="s">
        <v>1737</v>
      </c>
      <c r="J320" t="s">
        <v>29</v>
      </c>
      <c r="K320" t="s">
        <v>29</v>
      </c>
      <c r="L320" t="s">
        <v>3363</v>
      </c>
      <c r="M320" s="74">
        <v>100</v>
      </c>
      <c r="N320" s="1">
        <v>44984</v>
      </c>
    </row>
    <row r="321" spans="1:14" x14ac:dyDescent="0.25">
      <c r="A321" s="8" t="s">
        <v>3364</v>
      </c>
      <c r="C321" t="s">
        <v>3365</v>
      </c>
      <c r="D321" t="s">
        <v>32</v>
      </c>
      <c r="F321" t="s">
        <v>3366</v>
      </c>
      <c r="G321" s="1">
        <v>44956</v>
      </c>
      <c r="H321" s="1"/>
      <c r="I321" t="s">
        <v>1737</v>
      </c>
      <c r="J321" t="s">
        <v>29</v>
      </c>
      <c r="K321" t="s">
        <v>29</v>
      </c>
      <c r="M321" s="74">
        <v>100</v>
      </c>
      <c r="N321" s="1">
        <v>45042</v>
      </c>
    </row>
    <row r="322" spans="1:14" x14ac:dyDescent="0.25">
      <c r="A322" s="8" t="s">
        <v>3367</v>
      </c>
      <c r="C322" t="s">
        <v>3368</v>
      </c>
      <c r="D322" t="s">
        <v>3369</v>
      </c>
      <c r="E322" t="s">
        <v>3370</v>
      </c>
      <c r="F322" t="s">
        <v>3371</v>
      </c>
      <c r="G322" s="1">
        <v>44958</v>
      </c>
      <c r="H322" s="1"/>
      <c r="I322" t="s">
        <v>1737</v>
      </c>
      <c r="J322" t="s">
        <v>29</v>
      </c>
      <c r="K322" t="s">
        <v>29</v>
      </c>
      <c r="M322" s="74">
        <v>100</v>
      </c>
      <c r="N322" s="1">
        <v>45070</v>
      </c>
    </row>
    <row r="323" spans="1:14" x14ac:dyDescent="0.25">
      <c r="A323" s="8" t="s">
        <v>3372</v>
      </c>
      <c r="C323" t="s">
        <v>13</v>
      </c>
      <c r="D323" t="s">
        <v>1783</v>
      </c>
      <c r="E323" t="s">
        <v>52</v>
      </c>
      <c r="F323" t="s">
        <v>3373</v>
      </c>
      <c r="G323" s="1">
        <v>44959</v>
      </c>
      <c r="H323" s="1">
        <v>45153</v>
      </c>
      <c r="I323" t="s">
        <v>1737</v>
      </c>
      <c r="J323" t="s">
        <v>29</v>
      </c>
      <c r="K323" t="s">
        <v>29</v>
      </c>
      <c r="L323" t="s">
        <v>3374</v>
      </c>
      <c r="M323" s="74">
        <v>1</v>
      </c>
      <c r="N323" s="1" t="s">
        <v>3375</v>
      </c>
    </row>
    <row r="324" spans="1:14" x14ac:dyDescent="0.25">
      <c r="A324" s="8" t="s">
        <v>3376</v>
      </c>
      <c r="C324" t="s">
        <v>135</v>
      </c>
      <c r="D324" t="s">
        <v>32</v>
      </c>
      <c r="E324" t="s">
        <v>3377</v>
      </c>
      <c r="F324" t="s">
        <v>3378</v>
      </c>
      <c r="G324" s="1">
        <v>44959</v>
      </c>
      <c r="H324" s="1"/>
      <c r="I324" t="s">
        <v>1737</v>
      </c>
      <c r="J324" t="s">
        <v>29</v>
      </c>
      <c r="K324" t="s">
        <v>29</v>
      </c>
      <c r="M324" s="74">
        <v>100</v>
      </c>
      <c r="N324" s="1">
        <v>45331</v>
      </c>
    </row>
    <row r="325" spans="1:14" x14ac:dyDescent="0.25">
      <c r="A325" s="8" t="s">
        <v>3379</v>
      </c>
      <c r="C325" t="s">
        <v>24</v>
      </c>
      <c r="D325" t="s">
        <v>43</v>
      </c>
      <c r="E325" t="s">
        <v>3380</v>
      </c>
      <c r="F325" t="s">
        <v>3381</v>
      </c>
      <c r="G325" s="1">
        <v>44959</v>
      </c>
      <c r="H325" s="1"/>
      <c r="I325" t="s">
        <v>2952</v>
      </c>
      <c r="J325" t="s">
        <v>29</v>
      </c>
      <c r="K325" t="s">
        <v>18</v>
      </c>
      <c r="M325" s="74"/>
      <c r="N325" s="1"/>
    </row>
    <row r="326" spans="1:14" x14ac:dyDescent="0.25">
      <c r="A326" s="8" t="s">
        <v>3382</v>
      </c>
      <c r="C326" t="s">
        <v>220</v>
      </c>
      <c r="D326" t="s">
        <v>3360</v>
      </c>
      <c r="E326" t="s">
        <v>3383</v>
      </c>
      <c r="F326" t="s">
        <v>3384</v>
      </c>
      <c r="G326" s="1">
        <v>44969</v>
      </c>
      <c r="H326" s="1"/>
      <c r="I326" t="s">
        <v>1737</v>
      </c>
      <c r="J326" t="s">
        <v>29</v>
      </c>
      <c r="K326" t="s">
        <v>29</v>
      </c>
      <c r="M326" s="74">
        <v>100</v>
      </c>
      <c r="N326" s="1">
        <v>45001</v>
      </c>
    </row>
    <row r="327" spans="1:14" x14ac:dyDescent="0.25">
      <c r="A327" s="8" t="s">
        <v>3385</v>
      </c>
      <c r="C327" t="s">
        <v>24</v>
      </c>
      <c r="D327" t="s">
        <v>3386</v>
      </c>
      <c r="E327" t="s">
        <v>3387</v>
      </c>
      <c r="F327" t="s">
        <v>197</v>
      </c>
      <c r="G327" s="1">
        <v>44971</v>
      </c>
      <c r="H327" s="1"/>
      <c r="I327" t="s">
        <v>1737</v>
      </c>
      <c r="J327" t="s">
        <v>29</v>
      </c>
      <c r="K327" t="s">
        <v>29</v>
      </c>
      <c r="L327" t="s">
        <v>3388</v>
      </c>
      <c r="M327" s="74">
        <v>100</v>
      </c>
      <c r="N327" s="1">
        <v>45021</v>
      </c>
    </row>
    <row r="328" spans="1:14" x14ac:dyDescent="0.25">
      <c r="A328" s="8" t="s">
        <v>3389</v>
      </c>
      <c r="C328" t="s">
        <v>24</v>
      </c>
      <c r="D328" t="s">
        <v>126</v>
      </c>
      <c r="E328" t="s">
        <v>3080</v>
      </c>
      <c r="F328" t="s">
        <v>3390</v>
      </c>
      <c r="G328" s="1">
        <v>44973</v>
      </c>
      <c r="H328" s="1"/>
      <c r="I328" t="s">
        <v>1737</v>
      </c>
      <c r="J328" s="12" t="s">
        <v>29</v>
      </c>
      <c r="K328" t="s">
        <v>29</v>
      </c>
      <c r="L328" t="s">
        <v>3391</v>
      </c>
      <c r="M328" s="74">
        <v>1</v>
      </c>
      <c r="N328" s="1" t="s">
        <v>3392</v>
      </c>
    </row>
    <row r="329" spans="1:14" x14ac:dyDescent="0.25">
      <c r="A329" s="8" t="s">
        <v>3393</v>
      </c>
      <c r="C329" t="s">
        <v>24</v>
      </c>
      <c r="D329" t="s">
        <v>126</v>
      </c>
      <c r="E329" t="s">
        <v>3080</v>
      </c>
      <c r="F329" t="s">
        <v>3394</v>
      </c>
      <c r="G329" s="1">
        <v>44973</v>
      </c>
      <c r="H329" s="1"/>
      <c r="I329" t="s">
        <v>1737</v>
      </c>
      <c r="J329" s="12" t="s">
        <v>29</v>
      </c>
      <c r="K329" t="s">
        <v>29</v>
      </c>
      <c r="M329" s="74">
        <v>1</v>
      </c>
      <c r="N329" s="1" t="s">
        <v>3392</v>
      </c>
    </row>
    <row r="330" spans="1:14" x14ac:dyDescent="0.25">
      <c r="A330" s="8" t="s">
        <v>3395</v>
      </c>
      <c r="C330" t="s">
        <v>220</v>
      </c>
      <c r="D330" t="s">
        <v>253</v>
      </c>
      <c r="E330" t="s">
        <v>254</v>
      </c>
      <c r="F330" t="s">
        <v>3396</v>
      </c>
      <c r="G330" s="1">
        <v>44973</v>
      </c>
      <c r="H330" s="1"/>
      <c r="I330" t="s">
        <v>1737</v>
      </c>
      <c r="J330" t="s">
        <v>29</v>
      </c>
      <c r="K330" t="s">
        <v>29</v>
      </c>
      <c r="M330" s="74">
        <v>100</v>
      </c>
      <c r="N330" s="1">
        <v>45300</v>
      </c>
    </row>
    <row r="331" spans="1:14" x14ac:dyDescent="0.25">
      <c r="A331" s="8" t="s">
        <v>3397</v>
      </c>
      <c r="C331" t="s">
        <v>220</v>
      </c>
      <c r="D331" t="s">
        <v>168</v>
      </c>
      <c r="E331" t="s">
        <v>221</v>
      </c>
      <c r="F331" t="s">
        <v>222</v>
      </c>
      <c r="G331" s="1">
        <v>44973</v>
      </c>
      <c r="H331" s="1"/>
      <c r="I331" t="s">
        <v>1737</v>
      </c>
      <c r="J331" t="s">
        <v>29</v>
      </c>
      <c r="K331" t="s">
        <v>29</v>
      </c>
      <c r="L331" t="s">
        <v>3398</v>
      </c>
      <c r="M331" s="74">
        <v>100</v>
      </c>
      <c r="N331" s="1">
        <v>45076</v>
      </c>
    </row>
    <row r="332" spans="1:14" x14ac:dyDescent="0.25">
      <c r="A332" s="8" t="s">
        <v>3399</v>
      </c>
      <c r="C332" t="s">
        <v>13</v>
      </c>
      <c r="D332" t="s">
        <v>310</v>
      </c>
      <c r="E332" t="s">
        <v>3400</v>
      </c>
      <c r="F332" t="s">
        <v>3401</v>
      </c>
      <c r="G332" s="1">
        <v>44977</v>
      </c>
      <c r="H332" s="1">
        <v>44978</v>
      </c>
      <c r="I332" t="s">
        <v>2952</v>
      </c>
      <c r="J332" t="s">
        <v>29</v>
      </c>
      <c r="K332" t="s">
        <v>29</v>
      </c>
      <c r="L332" t="s">
        <v>3075</v>
      </c>
      <c r="M332" s="74">
        <v>100</v>
      </c>
      <c r="N332" s="1">
        <v>44993</v>
      </c>
    </row>
    <row r="333" spans="1:14" x14ac:dyDescent="0.25">
      <c r="A333" s="8" t="s">
        <v>3402</v>
      </c>
      <c r="D333" t="s">
        <v>25</v>
      </c>
      <c r="E333" t="s">
        <v>3403</v>
      </c>
      <c r="F333" t="s">
        <v>3404</v>
      </c>
      <c r="G333" s="1">
        <v>44979</v>
      </c>
      <c r="H333" s="1"/>
      <c r="I333" t="s">
        <v>1737</v>
      </c>
      <c r="J333" t="s">
        <v>29</v>
      </c>
      <c r="K333" t="s">
        <v>29</v>
      </c>
      <c r="M333" s="74">
        <v>100</v>
      </c>
      <c r="N333" s="1">
        <v>45020</v>
      </c>
    </row>
    <row r="334" spans="1:14" x14ac:dyDescent="0.25">
      <c r="A334" s="8" t="s">
        <v>3405</v>
      </c>
      <c r="C334" t="s">
        <v>704</v>
      </c>
      <c r="D334" t="s">
        <v>25</v>
      </c>
      <c r="E334" t="s">
        <v>225</v>
      </c>
      <c r="F334" t="s">
        <v>3406</v>
      </c>
      <c r="G334" s="1">
        <v>44980</v>
      </c>
      <c r="H334" s="1"/>
      <c r="I334" t="s">
        <v>1737</v>
      </c>
      <c r="J334" t="s">
        <v>29</v>
      </c>
      <c r="K334" t="s">
        <v>29</v>
      </c>
      <c r="M334" s="74">
        <v>100</v>
      </c>
      <c r="N334" s="1">
        <v>44984</v>
      </c>
    </row>
    <row r="335" spans="1:14" x14ac:dyDescent="0.25">
      <c r="A335" s="8" t="s">
        <v>3407</v>
      </c>
      <c r="B335">
        <v>3476</v>
      </c>
      <c r="C335" t="s">
        <v>13</v>
      </c>
      <c r="D335" t="s">
        <v>3408</v>
      </c>
      <c r="E335" t="s">
        <v>3409</v>
      </c>
      <c r="F335" t="s">
        <v>3410</v>
      </c>
      <c r="G335" s="1">
        <v>44980</v>
      </c>
      <c r="H335" s="1"/>
      <c r="I335" t="s">
        <v>1737</v>
      </c>
      <c r="J335" t="s">
        <v>29</v>
      </c>
      <c r="K335" t="s">
        <v>29</v>
      </c>
      <c r="L335" t="s">
        <v>3411</v>
      </c>
      <c r="M335" s="74">
        <v>100</v>
      </c>
      <c r="N335" s="1">
        <v>45020</v>
      </c>
    </row>
    <row r="336" spans="1:14" x14ac:dyDescent="0.25">
      <c r="A336" s="8" t="s">
        <v>2423</v>
      </c>
      <c r="C336" t="s">
        <v>24</v>
      </c>
      <c r="D336" t="s">
        <v>3412</v>
      </c>
      <c r="E336" t="s">
        <v>3413</v>
      </c>
      <c r="F336" t="s">
        <v>3414</v>
      </c>
      <c r="G336" s="1"/>
      <c r="H336" s="1"/>
      <c r="I336" t="s">
        <v>1737</v>
      </c>
      <c r="J336" t="s">
        <v>29</v>
      </c>
      <c r="M336" s="74">
        <v>100</v>
      </c>
      <c r="N336" s="1">
        <v>45021</v>
      </c>
    </row>
    <row r="337" spans="1:14" x14ac:dyDescent="0.25">
      <c r="A337" s="8" t="s">
        <v>3415</v>
      </c>
      <c r="C337" t="s">
        <v>3416</v>
      </c>
      <c r="D337" t="s">
        <v>2891</v>
      </c>
      <c r="F337" t="s">
        <v>3417</v>
      </c>
      <c r="G337" s="1">
        <v>44927</v>
      </c>
      <c r="H337" s="1"/>
      <c r="I337" t="s">
        <v>2952</v>
      </c>
      <c r="J337" t="s">
        <v>29</v>
      </c>
      <c r="M337" s="74"/>
      <c r="N337" s="1"/>
    </row>
    <row r="338" spans="1:14" x14ac:dyDescent="0.25">
      <c r="A338" s="8" t="s">
        <v>3418</v>
      </c>
      <c r="C338" t="s">
        <v>704</v>
      </c>
      <c r="D338" t="s">
        <v>25</v>
      </c>
      <c r="E338" t="s">
        <v>225</v>
      </c>
      <c r="F338" t="s">
        <v>3419</v>
      </c>
      <c r="G338" s="1">
        <v>44985</v>
      </c>
      <c r="H338" s="1"/>
      <c r="I338" t="s">
        <v>1737</v>
      </c>
      <c r="J338" t="s">
        <v>29</v>
      </c>
      <c r="K338" t="s">
        <v>29</v>
      </c>
      <c r="M338" s="74">
        <v>100</v>
      </c>
      <c r="N338" s="1">
        <v>44985</v>
      </c>
    </row>
    <row r="339" spans="1:14" x14ac:dyDescent="0.25">
      <c r="A339" s="8" t="s">
        <v>3420</v>
      </c>
      <c r="C339" t="s">
        <v>3421</v>
      </c>
      <c r="D339" t="s">
        <v>32</v>
      </c>
      <c r="E339" t="s">
        <v>397</v>
      </c>
      <c r="F339" t="s">
        <v>3422</v>
      </c>
      <c r="G339" s="1">
        <v>44993</v>
      </c>
      <c r="H339" s="1"/>
      <c r="I339" t="s">
        <v>2952</v>
      </c>
      <c r="J339" t="s">
        <v>29</v>
      </c>
      <c r="K339" t="s">
        <v>29</v>
      </c>
      <c r="M339" s="74"/>
      <c r="N339" s="1"/>
    </row>
    <row r="340" spans="1:14" x14ac:dyDescent="0.25">
      <c r="A340" s="8" t="s">
        <v>3423</v>
      </c>
      <c r="C340" t="s">
        <v>13</v>
      </c>
      <c r="D340" t="s">
        <v>243</v>
      </c>
      <c r="E340" t="s">
        <v>244</v>
      </c>
      <c r="F340" t="s">
        <v>3424</v>
      </c>
      <c r="G340" s="1">
        <v>44994</v>
      </c>
      <c r="H340" s="1"/>
      <c r="I340" t="s">
        <v>1737</v>
      </c>
      <c r="J340" t="s">
        <v>29</v>
      </c>
      <c r="K340" t="s">
        <v>29</v>
      </c>
      <c r="L340" t="s">
        <v>3425</v>
      </c>
      <c r="M340" s="74">
        <v>100</v>
      </c>
      <c r="N340" s="1">
        <v>45114</v>
      </c>
    </row>
    <row r="341" spans="1:14" x14ac:dyDescent="0.25">
      <c r="A341" s="8" t="s">
        <v>3426</v>
      </c>
      <c r="C341" t="s">
        <v>13</v>
      </c>
      <c r="D341" t="s">
        <v>1783</v>
      </c>
      <c r="E341" t="s">
        <v>61</v>
      </c>
      <c r="F341" t="s">
        <v>251</v>
      </c>
      <c r="G341" s="1">
        <v>45005</v>
      </c>
      <c r="H341" s="1">
        <v>45033</v>
      </c>
      <c r="I341" t="s">
        <v>1737</v>
      </c>
      <c r="J341" t="s">
        <v>29</v>
      </c>
      <c r="K341" t="s">
        <v>29</v>
      </c>
      <c r="L341" t="s">
        <v>3427</v>
      </c>
      <c r="M341" s="74">
        <v>1</v>
      </c>
      <c r="N341" s="1" t="s">
        <v>3428</v>
      </c>
    </row>
    <row r="342" spans="1:14" x14ac:dyDescent="0.25">
      <c r="A342" s="8" t="s">
        <v>3429</v>
      </c>
      <c r="C342" t="s">
        <v>3430</v>
      </c>
      <c r="D342" t="s">
        <v>1783</v>
      </c>
      <c r="E342" t="s">
        <v>61</v>
      </c>
      <c r="F342" t="s">
        <v>3431</v>
      </c>
      <c r="G342" s="1">
        <v>45070</v>
      </c>
      <c r="H342" s="1"/>
      <c r="I342" t="s">
        <v>1737</v>
      </c>
      <c r="J342" t="s">
        <v>29</v>
      </c>
      <c r="M342" s="74">
        <v>1</v>
      </c>
      <c r="N342" s="1">
        <v>45091</v>
      </c>
    </row>
    <row r="343" spans="1:14" x14ac:dyDescent="0.25">
      <c r="A343" s="8" t="s">
        <v>3432</v>
      </c>
      <c r="C343" t="s">
        <v>3430</v>
      </c>
      <c r="D343" t="s">
        <v>1783</v>
      </c>
      <c r="E343" t="s">
        <v>61</v>
      </c>
      <c r="F343" t="s">
        <v>3433</v>
      </c>
      <c r="G343" s="1">
        <v>45498</v>
      </c>
      <c r="H343" s="1"/>
      <c r="I343" t="s">
        <v>1737</v>
      </c>
      <c r="J343" t="s">
        <v>29</v>
      </c>
      <c r="K343" t="s">
        <v>29</v>
      </c>
      <c r="M343" s="74">
        <v>1</v>
      </c>
      <c r="N343" s="1">
        <v>45576</v>
      </c>
    </row>
    <row r="344" spans="1:14" x14ac:dyDescent="0.25">
      <c r="A344" s="8" t="s">
        <v>3434</v>
      </c>
      <c r="C344" t="s">
        <v>3041</v>
      </c>
      <c r="D344" t="s">
        <v>43</v>
      </c>
      <c r="E344" t="s">
        <v>3435</v>
      </c>
      <c r="F344" t="s">
        <v>3436</v>
      </c>
      <c r="G344" s="1">
        <v>45005</v>
      </c>
      <c r="H344" s="1"/>
      <c r="I344" t="s">
        <v>1737</v>
      </c>
      <c r="J344" t="s">
        <v>29</v>
      </c>
      <c r="L344" t="s">
        <v>3437</v>
      </c>
      <c r="M344" s="74">
        <v>100</v>
      </c>
      <c r="N344" s="1">
        <v>45077</v>
      </c>
    </row>
    <row r="345" spans="1:14" x14ac:dyDescent="0.25">
      <c r="A345" s="8" t="s">
        <v>3438</v>
      </c>
      <c r="C345" t="s">
        <v>3076</v>
      </c>
      <c r="D345" t="s">
        <v>439</v>
      </c>
      <c r="E345" t="s">
        <v>552</v>
      </c>
      <c r="F345" t="s">
        <v>96</v>
      </c>
      <c r="G345" s="1">
        <v>45007</v>
      </c>
      <c r="H345" s="1"/>
      <c r="I345" t="s">
        <v>1737</v>
      </c>
      <c r="J345" t="s">
        <v>29</v>
      </c>
      <c r="K345" t="s">
        <v>29</v>
      </c>
      <c r="L345" t="s">
        <v>3439</v>
      </c>
      <c r="M345" s="74">
        <v>1</v>
      </c>
      <c r="N345" s="1" t="s">
        <v>3440</v>
      </c>
    </row>
    <row r="346" spans="1:14" x14ac:dyDescent="0.25">
      <c r="A346" s="8" t="s">
        <v>3441</v>
      </c>
      <c r="C346" t="s">
        <v>3442</v>
      </c>
      <c r="D346" t="s">
        <v>439</v>
      </c>
      <c r="F346" t="s">
        <v>3443</v>
      </c>
      <c r="G346" s="1"/>
      <c r="H346" s="1"/>
      <c r="I346" t="s">
        <v>1737</v>
      </c>
      <c r="J346" t="s">
        <v>29</v>
      </c>
      <c r="M346" s="74">
        <v>1</v>
      </c>
      <c r="N346" s="1">
        <v>45077</v>
      </c>
    </row>
    <row r="347" spans="1:14" x14ac:dyDescent="0.25">
      <c r="A347" s="8" t="s">
        <v>3444</v>
      </c>
      <c r="C347" t="s">
        <v>3445</v>
      </c>
      <c r="D347" t="s">
        <v>163</v>
      </c>
      <c r="E347" t="s">
        <v>3446</v>
      </c>
      <c r="F347" t="s">
        <v>3447</v>
      </c>
      <c r="G347" s="1">
        <v>45013</v>
      </c>
      <c r="H347" s="1"/>
      <c r="I347" t="s">
        <v>1737</v>
      </c>
      <c r="J347" t="s">
        <v>29</v>
      </c>
      <c r="M347" s="74">
        <v>100</v>
      </c>
      <c r="N347" s="1">
        <v>45135</v>
      </c>
    </row>
    <row r="348" spans="1:14" x14ac:dyDescent="0.25">
      <c r="A348" s="8" t="s">
        <v>3448</v>
      </c>
      <c r="C348" t="s">
        <v>24</v>
      </c>
      <c r="D348" t="s">
        <v>25</v>
      </c>
      <c r="E348" t="s">
        <v>3346</v>
      </c>
      <c r="F348" t="s">
        <v>334</v>
      </c>
      <c r="G348" s="1">
        <v>45015</v>
      </c>
      <c r="H348" s="1"/>
      <c r="I348" t="s">
        <v>1737</v>
      </c>
      <c r="J348" t="s">
        <v>29</v>
      </c>
      <c r="L348" t="s">
        <v>313</v>
      </c>
      <c r="M348" s="74">
        <v>100</v>
      </c>
      <c r="N348" s="1">
        <v>45055</v>
      </c>
    </row>
    <row r="349" spans="1:14" x14ac:dyDescent="0.25">
      <c r="A349" s="8" t="s">
        <v>3449</v>
      </c>
      <c r="C349" t="s">
        <v>3076</v>
      </c>
      <c r="D349" t="s">
        <v>439</v>
      </c>
      <c r="E349" t="s">
        <v>552</v>
      </c>
      <c r="F349" t="s">
        <v>3450</v>
      </c>
      <c r="G349" s="1">
        <v>45016</v>
      </c>
      <c r="H349" s="1"/>
      <c r="I349" t="s">
        <v>1737</v>
      </c>
      <c r="J349" t="s">
        <v>29</v>
      </c>
      <c r="M349" s="74">
        <v>1</v>
      </c>
      <c r="N349" s="1" t="s">
        <v>3451</v>
      </c>
    </row>
    <row r="350" spans="1:14" x14ac:dyDescent="0.25">
      <c r="A350" s="8" t="s">
        <v>3452</v>
      </c>
      <c r="C350" t="s">
        <v>135</v>
      </c>
      <c r="D350" t="s">
        <v>321</v>
      </c>
      <c r="E350" t="s">
        <v>322</v>
      </c>
      <c r="F350" t="s">
        <v>3453</v>
      </c>
      <c r="G350" s="1">
        <v>45016</v>
      </c>
      <c r="H350" s="1"/>
      <c r="I350" t="s">
        <v>1737</v>
      </c>
      <c r="J350" t="s">
        <v>29</v>
      </c>
      <c r="K350" t="s">
        <v>29</v>
      </c>
      <c r="M350" s="74">
        <v>100</v>
      </c>
      <c r="N350" s="1">
        <v>45086</v>
      </c>
    </row>
    <row r="351" spans="1:14" x14ac:dyDescent="0.25">
      <c r="A351" s="8" t="s">
        <v>3454</v>
      </c>
      <c r="C351" t="s">
        <v>3455</v>
      </c>
      <c r="D351" t="s">
        <v>163</v>
      </c>
      <c r="E351" t="s">
        <v>164</v>
      </c>
      <c r="F351" t="s">
        <v>165</v>
      </c>
      <c r="G351" s="1">
        <v>45019</v>
      </c>
      <c r="H351" s="1"/>
      <c r="I351" t="s">
        <v>1737</v>
      </c>
      <c r="J351" t="s">
        <v>29</v>
      </c>
      <c r="K351" t="s">
        <v>29</v>
      </c>
      <c r="L351" t="s">
        <v>3456</v>
      </c>
      <c r="M351" s="74">
        <v>1</v>
      </c>
      <c r="N351" s="1" t="s">
        <v>3457</v>
      </c>
    </row>
    <row r="352" spans="1:14" x14ac:dyDescent="0.25">
      <c r="A352" s="8" t="s">
        <v>3458</v>
      </c>
      <c r="C352" t="s">
        <v>704</v>
      </c>
      <c r="D352" t="s">
        <v>25</v>
      </c>
      <c r="E352" t="s">
        <v>225</v>
      </c>
      <c r="F352" t="s">
        <v>3459</v>
      </c>
      <c r="G352" s="1">
        <v>45023</v>
      </c>
      <c r="H352" s="1"/>
      <c r="I352" t="s">
        <v>1737</v>
      </c>
      <c r="J352" t="s">
        <v>29</v>
      </c>
      <c r="K352" t="s">
        <v>29</v>
      </c>
      <c r="M352" s="74">
        <v>100</v>
      </c>
      <c r="N352" s="1">
        <v>45042</v>
      </c>
    </row>
    <row r="353" spans="1:14" x14ac:dyDescent="0.25">
      <c r="A353" s="8" t="s">
        <v>3460</v>
      </c>
      <c r="C353" t="s">
        <v>135</v>
      </c>
      <c r="D353" t="s">
        <v>14</v>
      </c>
      <c r="E353" t="s">
        <v>3461</v>
      </c>
      <c r="F353" t="s">
        <v>3462</v>
      </c>
      <c r="G353" s="1">
        <v>45024</v>
      </c>
      <c r="H353" s="1"/>
      <c r="I353" t="s">
        <v>2952</v>
      </c>
      <c r="J353" t="s">
        <v>29</v>
      </c>
      <c r="M353" s="74"/>
      <c r="N353" s="1"/>
    </row>
    <row r="354" spans="1:14" x14ac:dyDescent="0.25">
      <c r="A354" s="8" t="s">
        <v>3463</v>
      </c>
      <c r="B354" t="s">
        <v>1275</v>
      </c>
      <c r="C354" t="s">
        <v>13</v>
      </c>
      <c r="D354" t="s">
        <v>159</v>
      </c>
      <c r="E354" t="s">
        <v>3464</v>
      </c>
      <c r="F354" t="s">
        <v>353</v>
      </c>
      <c r="G354" s="1">
        <v>45026</v>
      </c>
      <c r="H354" s="1"/>
      <c r="I354" t="s">
        <v>1737</v>
      </c>
      <c r="J354" t="s">
        <v>29</v>
      </c>
      <c r="K354" t="s">
        <v>29</v>
      </c>
      <c r="L354" t="s">
        <v>335</v>
      </c>
      <c r="M354" s="74">
        <v>100</v>
      </c>
      <c r="N354" s="1">
        <v>45065</v>
      </c>
    </row>
    <row r="355" spans="1:14" x14ac:dyDescent="0.25">
      <c r="A355" s="8" t="s">
        <v>3465</v>
      </c>
      <c r="C355" t="s">
        <v>24</v>
      </c>
      <c r="D355" t="s">
        <v>3466</v>
      </c>
      <c r="E355" t="s">
        <v>3467</v>
      </c>
      <c r="F355" t="s">
        <v>3468</v>
      </c>
      <c r="G355" s="1">
        <v>45026</v>
      </c>
      <c r="H355" s="1"/>
      <c r="I355" t="s">
        <v>1737</v>
      </c>
      <c r="J355" t="s">
        <v>29</v>
      </c>
      <c r="M355" s="74">
        <v>100</v>
      </c>
      <c r="N355" s="1">
        <v>45047</v>
      </c>
    </row>
    <row r="356" spans="1:14" x14ac:dyDescent="0.25">
      <c r="A356" s="8" t="s">
        <v>3469</v>
      </c>
      <c r="C356" t="s">
        <v>24</v>
      </c>
      <c r="D356" t="s">
        <v>64</v>
      </c>
      <c r="E356" t="s">
        <v>3470</v>
      </c>
      <c r="F356" t="s">
        <v>3471</v>
      </c>
      <c r="G356" s="1">
        <v>45028</v>
      </c>
      <c r="H356" s="1"/>
      <c r="I356" t="s">
        <v>1737</v>
      </c>
      <c r="J356" t="s">
        <v>29</v>
      </c>
      <c r="K356" t="s">
        <v>29</v>
      </c>
      <c r="L356" t="s">
        <v>3472</v>
      </c>
      <c r="M356" s="74">
        <v>100</v>
      </c>
      <c r="N356" s="1" t="s">
        <v>3473</v>
      </c>
    </row>
    <row r="357" spans="1:14" x14ac:dyDescent="0.25">
      <c r="A357" s="8" t="s">
        <v>3474</v>
      </c>
      <c r="C357" t="s">
        <v>24</v>
      </c>
      <c r="D357" t="s">
        <v>126</v>
      </c>
      <c r="E357" t="s">
        <v>232</v>
      </c>
      <c r="F357" t="s">
        <v>3475</v>
      </c>
      <c r="G357" s="1">
        <v>44998</v>
      </c>
      <c r="H357" s="1"/>
      <c r="I357" t="s">
        <v>1737</v>
      </c>
      <c r="J357" t="s">
        <v>29</v>
      </c>
      <c r="L357" t="s">
        <v>3476</v>
      </c>
      <c r="M357" s="74">
        <v>100</v>
      </c>
      <c r="N357" s="1" t="s">
        <v>3477</v>
      </c>
    </row>
    <row r="358" spans="1:14" x14ac:dyDescent="0.25">
      <c r="A358" s="8" t="s">
        <v>3478</v>
      </c>
      <c r="C358" t="s">
        <v>24</v>
      </c>
      <c r="D358" t="s">
        <v>126</v>
      </c>
      <c r="E358" t="s">
        <v>232</v>
      </c>
      <c r="F358" t="s">
        <v>3475</v>
      </c>
      <c r="G358" s="1">
        <v>45055</v>
      </c>
      <c r="H358" s="1"/>
      <c r="I358" t="s">
        <v>1737</v>
      </c>
      <c r="J358" t="s">
        <v>29</v>
      </c>
      <c r="M358" s="74">
        <v>100</v>
      </c>
      <c r="N358" s="1" t="s">
        <v>3479</v>
      </c>
    </row>
    <row r="359" spans="1:14" x14ac:dyDescent="0.25">
      <c r="A359" s="8" t="s">
        <v>3480</v>
      </c>
      <c r="C359" t="s">
        <v>24</v>
      </c>
      <c r="D359" t="s">
        <v>126</v>
      </c>
      <c r="E359" t="s">
        <v>232</v>
      </c>
      <c r="F359" t="s">
        <v>3475</v>
      </c>
      <c r="G359" s="1">
        <v>45105</v>
      </c>
      <c r="H359" s="1"/>
      <c r="I359" t="s">
        <v>1737</v>
      </c>
      <c r="J359" t="s">
        <v>29</v>
      </c>
      <c r="M359" s="74">
        <v>100</v>
      </c>
      <c r="N359" s="1" t="s">
        <v>3477</v>
      </c>
    </row>
    <row r="360" spans="1:14" x14ac:dyDescent="0.25">
      <c r="A360" s="8" t="s">
        <v>3481</v>
      </c>
      <c r="C360" t="s">
        <v>24</v>
      </c>
      <c r="D360" t="s">
        <v>126</v>
      </c>
      <c r="E360" t="s">
        <v>232</v>
      </c>
      <c r="F360" t="s">
        <v>3475</v>
      </c>
      <c r="G360" s="1">
        <v>45140</v>
      </c>
      <c r="H360" s="1"/>
      <c r="I360" t="s">
        <v>1737</v>
      </c>
      <c r="J360" t="s">
        <v>29</v>
      </c>
      <c r="M360" s="74">
        <v>100</v>
      </c>
      <c r="N360" s="1" t="s">
        <v>3477</v>
      </c>
    </row>
    <row r="361" spans="1:14" x14ac:dyDescent="0.25">
      <c r="A361" s="8" t="s">
        <v>3482</v>
      </c>
      <c r="C361" t="s">
        <v>3416</v>
      </c>
      <c r="D361" t="s">
        <v>2891</v>
      </c>
      <c r="F361" t="s">
        <v>3483</v>
      </c>
      <c r="G361" s="1">
        <v>44927</v>
      </c>
      <c r="H361" s="1"/>
      <c r="I361" t="s">
        <v>2952</v>
      </c>
      <c r="J361" t="s">
        <v>29</v>
      </c>
      <c r="M361" s="74"/>
      <c r="N361" s="1"/>
    </row>
    <row r="362" spans="1:14" x14ac:dyDescent="0.25">
      <c r="A362" s="8" t="s">
        <v>3484</v>
      </c>
      <c r="C362" t="s">
        <v>3416</v>
      </c>
      <c r="D362" t="s">
        <v>2893</v>
      </c>
      <c r="F362" t="s">
        <v>3485</v>
      </c>
      <c r="G362" s="1">
        <v>45017</v>
      </c>
      <c r="H362" s="1"/>
      <c r="I362" t="s">
        <v>2952</v>
      </c>
      <c r="J362" t="s">
        <v>29</v>
      </c>
      <c r="M362" s="74"/>
      <c r="N362" s="1"/>
    </row>
    <row r="363" spans="1:14" x14ac:dyDescent="0.25">
      <c r="A363" s="8" t="s">
        <v>3486</v>
      </c>
      <c r="C363" t="s">
        <v>3416</v>
      </c>
      <c r="D363" t="s">
        <v>479</v>
      </c>
      <c r="F363" t="s">
        <v>3487</v>
      </c>
      <c r="G363" s="1">
        <v>45017</v>
      </c>
      <c r="H363" s="1"/>
      <c r="I363" t="s">
        <v>2952</v>
      </c>
      <c r="J363" t="s">
        <v>29</v>
      </c>
      <c r="M363" s="74"/>
      <c r="N363" s="1"/>
    </row>
    <row r="364" spans="1:14" x14ac:dyDescent="0.25">
      <c r="A364" s="8" t="s">
        <v>3488</v>
      </c>
      <c r="C364" t="s">
        <v>24</v>
      </c>
      <c r="D364" t="s">
        <v>3489</v>
      </c>
      <c r="F364" t="s">
        <v>3490</v>
      </c>
      <c r="G364" s="1">
        <v>45035</v>
      </c>
      <c r="H364" s="1"/>
      <c r="I364" t="s">
        <v>1737</v>
      </c>
      <c r="J364" t="s">
        <v>29</v>
      </c>
      <c r="K364" t="s">
        <v>29</v>
      </c>
      <c r="M364" s="74">
        <v>100</v>
      </c>
      <c r="N364" s="1">
        <v>45140</v>
      </c>
    </row>
    <row r="365" spans="1:14" x14ac:dyDescent="0.25">
      <c r="A365" s="8" t="s">
        <v>3491</v>
      </c>
      <c r="C365" t="s">
        <v>433</v>
      </c>
      <c r="D365" t="s">
        <v>14</v>
      </c>
      <c r="F365" t="s">
        <v>3492</v>
      </c>
      <c r="G365" s="1">
        <v>45036</v>
      </c>
      <c r="H365" s="1"/>
      <c r="I365" t="s">
        <v>3493</v>
      </c>
      <c r="J365" t="s">
        <v>3494</v>
      </c>
      <c r="M365" s="74"/>
      <c r="N365" s="1"/>
    </row>
    <row r="366" spans="1:14" x14ac:dyDescent="0.25">
      <c r="A366" s="8" t="s">
        <v>3495</v>
      </c>
      <c r="C366" t="s">
        <v>499</v>
      </c>
      <c r="D366" t="s">
        <v>14</v>
      </c>
      <c r="E366" t="s">
        <v>500</v>
      </c>
      <c r="F366" t="s">
        <v>3496</v>
      </c>
      <c r="G366" s="1">
        <v>45040</v>
      </c>
      <c r="H366" s="1"/>
      <c r="I366" t="s">
        <v>3493</v>
      </c>
      <c r="J366" t="s">
        <v>29</v>
      </c>
      <c r="K366" t="s">
        <v>29</v>
      </c>
      <c r="M366" s="74"/>
      <c r="N366" s="1"/>
    </row>
    <row r="367" spans="1:14" x14ac:dyDescent="0.25">
      <c r="A367" s="8" t="s">
        <v>3497</v>
      </c>
      <c r="C367" t="s">
        <v>13</v>
      </c>
      <c r="D367" t="s">
        <v>47</v>
      </c>
      <c r="E367" t="s">
        <v>48</v>
      </c>
      <c r="F367" t="s">
        <v>3498</v>
      </c>
      <c r="G367" s="1">
        <v>45040</v>
      </c>
      <c r="H367" s="1"/>
      <c r="I367" t="s">
        <v>3493</v>
      </c>
      <c r="J367" t="s">
        <v>3499</v>
      </c>
      <c r="K367" t="s">
        <v>3499</v>
      </c>
      <c r="L367" t="s">
        <v>328</v>
      </c>
      <c r="M367" s="74"/>
      <c r="N367" s="1"/>
    </row>
    <row r="368" spans="1:14" x14ac:dyDescent="0.25">
      <c r="A368" s="8" t="s">
        <v>3500</v>
      </c>
      <c r="C368" t="s">
        <v>433</v>
      </c>
      <c r="D368" t="s">
        <v>3501</v>
      </c>
      <c r="E368" t="s">
        <v>3502</v>
      </c>
      <c r="F368" t="s">
        <v>3503</v>
      </c>
      <c r="G368" s="1">
        <v>45042</v>
      </c>
      <c r="H368" s="1"/>
      <c r="I368" t="s">
        <v>3493</v>
      </c>
      <c r="J368" t="s">
        <v>29</v>
      </c>
      <c r="M368" s="74"/>
      <c r="N368" s="1"/>
    </row>
    <row r="369" spans="1:14" x14ac:dyDescent="0.25">
      <c r="A369" s="8" t="s">
        <v>3504</v>
      </c>
      <c r="C369" t="s">
        <v>3505</v>
      </c>
      <c r="D369" t="s">
        <v>3506</v>
      </c>
      <c r="F369" t="s">
        <v>3507</v>
      </c>
      <c r="G369" s="1">
        <v>45043</v>
      </c>
      <c r="H369" s="1"/>
      <c r="I369" t="s">
        <v>2952</v>
      </c>
      <c r="J369" t="s">
        <v>29</v>
      </c>
      <c r="M369" s="74"/>
      <c r="N369" s="1"/>
    </row>
    <row r="370" spans="1:14" ht="15.75" customHeight="1" x14ac:dyDescent="0.25">
      <c r="A370" s="8" t="s">
        <v>3508</v>
      </c>
      <c r="C370" t="s">
        <v>704</v>
      </c>
      <c r="D370" t="s">
        <v>3408</v>
      </c>
      <c r="E370" t="s">
        <v>184</v>
      </c>
      <c r="F370" t="s">
        <v>3509</v>
      </c>
      <c r="G370" s="1">
        <v>45043</v>
      </c>
      <c r="H370" s="1"/>
      <c r="I370" t="s">
        <v>2952</v>
      </c>
      <c r="J370" t="s">
        <v>29</v>
      </c>
      <c r="K370" t="s">
        <v>29</v>
      </c>
      <c r="M370" s="74"/>
      <c r="N370" s="1"/>
    </row>
    <row r="371" spans="1:14" x14ac:dyDescent="0.25">
      <c r="A371" s="8" t="s">
        <v>3510</v>
      </c>
      <c r="C371" t="s">
        <v>499</v>
      </c>
      <c r="D371" t="s">
        <v>47</v>
      </c>
      <c r="E371" t="s">
        <v>48</v>
      </c>
      <c r="F371" t="s">
        <v>3511</v>
      </c>
      <c r="G371" s="1">
        <v>45043</v>
      </c>
      <c r="H371" s="1"/>
      <c r="I371" t="s">
        <v>1737</v>
      </c>
      <c r="J371" t="s">
        <v>29</v>
      </c>
      <c r="K371" t="s">
        <v>29</v>
      </c>
      <c r="M371" s="74">
        <v>100</v>
      </c>
      <c r="N371" s="1" t="s">
        <v>3512</v>
      </c>
    </row>
    <row r="372" spans="1:14" x14ac:dyDescent="0.25">
      <c r="A372" s="8" t="s">
        <v>3513</v>
      </c>
      <c r="B372" t="s">
        <v>3514</v>
      </c>
      <c r="C372" t="s">
        <v>13</v>
      </c>
      <c r="D372" t="s">
        <v>247</v>
      </c>
      <c r="E372" t="s">
        <v>248</v>
      </c>
      <c r="F372" t="s">
        <v>3515</v>
      </c>
      <c r="G372" s="1">
        <v>45047</v>
      </c>
      <c r="H372" s="1"/>
      <c r="I372" t="s">
        <v>1737</v>
      </c>
      <c r="J372" t="s">
        <v>29</v>
      </c>
      <c r="K372" t="s">
        <v>29</v>
      </c>
      <c r="L372" t="s">
        <v>3516</v>
      </c>
      <c r="M372" s="74">
        <v>100</v>
      </c>
      <c r="N372" s="1">
        <v>45058</v>
      </c>
    </row>
    <row r="373" spans="1:14" x14ac:dyDescent="0.25">
      <c r="A373" s="8" t="s">
        <v>3517</v>
      </c>
      <c r="C373" t="s">
        <v>3518</v>
      </c>
      <c r="D373" t="s">
        <v>2659</v>
      </c>
      <c r="E373" t="s">
        <v>394</v>
      </c>
      <c r="F373" t="s">
        <v>395</v>
      </c>
      <c r="G373" s="1">
        <v>45050</v>
      </c>
      <c r="H373" s="1"/>
      <c r="I373" t="s">
        <v>1737</v>
      </c>
      <c r="J373" t="s">
        <v>29</v>
      </c>
      <c r="K373" t="s">
        <v>29</v>
      </c>
      <c r="L373" t="s">
        <v>3519</v>
      </c>
      <c r="M373" s="74">
        <v>100</v>
      </c>
      <c r="N373" s="1">
        <v>45159</v>
      </c>
    </row>
    <row r="374" spans="1:14" x14ac:dyDescent="0.25">
      <c r="A374" s="8" t="s">
        <v>3520</v>
      </c>
      <c r="C374" t="s">
        <v>135</v>
      </c>
      <c r="D374" t="s">
        <v>32</v>
      </c>
      <c r="E374" t="s">
        <v>397</v>
      </c>
      <c r="F374" t="s">
        <v>398</v>
      </c>
      <c r="G374" s="1">
        <v>45055</v>
      </c>
      <c r="H374" s="1"/>
      <c r="I374" t="s">
        <v>1737</v>
      </c>
      <c r="J374" t="s">
        <v>29</v>
      </c>
      <c r="K374" t="s">
        <v>29</v>
      </c>
      <c r="L374" t="s">
        <v>3521</v>
      </c>
      <c r="M374" s="74">
        <v>100</v>
      </c>
      <c r="N374" s="1">
        <v>45104</v>
      </c>
    </row>
    <row r="375" spans="1:14" x14ac:dyDescent="0.25">
      <c r="A375" s="8" t="s">
        <v>3522</v>
      </c>
      <c r="C375" t="s">
        <v>24</v>
      </c>
      <c r="D375" t="s">
        <v>479</v>
      </c>
      <c r="F375" t="s">
        <v>3523</v>
      </c>
      <c r="G375" s="1">
        <v>45047</v>
      </c>
      <c r="H375" s="1"/>
      <c r="I375" t="s">
        <v>2952</v>
      </c>
      <c r="J375" t="s">
        <v>29</v>
      </c>
      <c r="M375" s="74"/>
      <c r="N375" s="1"/>
    </row>
    <row r="376" spans="1:14" x14ac:dyDescent="0.25">
      <c r="A376" s="8" t="s">
        <v>3524</v>
      </c>
      <c r="C376" t="s">
        <v>24</v>
      </c>
      <c r="D376" t="s">
        <v>243</v>
      </c>
      <c r="E376" t="s">
        <v>244</v>
      </c>
      <c r="F376" t="s">
        <v>3525</v>
      </c>
      <c r="G376" s="1">
        <v>45058</v>
      </c>
      <c r="H376" s="1"/>
      <c r="I376" t="s">
        <v>1737</v>
      </c>
      <c r="J376" t="s">
        <v>29</v>
      </c>
      <c r="K376" t="s">
        <v>29</v>
      </c>
      <c r="L376" t="s">
        <v>3526</v>
      </c>
      <c r="M376" s="74" t="s">
        <v>3527</v>
      </c>
      <c r="N376" s="1" t="s">
        <v>3528</v>
      </c>
    </row>
    <row r="377" spans="1:14" x14ac:dyDescent="0.25">
      <c r="A377" s="8" t="s">
        <v>3529</v>
      </c>
      <c r="C377" t="s">
        <v>24</v>
      </c>
      <c r="D377" t="s">
        <v>243</v>
      </c>
      <c r="E377" t="s">
        <v>244</v>
      </c>
      <c r="F377" t="s">
        <v>3530</v>
      </c>
      <c r="G377" s="1">
        <v>45629</v>
      </c>
      <c r="H377" s="1"/>
      <c r="I377" t="s">
        <v>1737</v>
      </c>
      <c r="J377" t="s">
        <v>29</v>
      </c>
      <c r="K377" t="s">
        <v>29</v>
      </c>
      <c r="M377" s="74">
        <v>1</v>
      </c>
      <c r="N377" s="1">
        <v>45637</v>
      </c>
    </row>
    <row r="378" spans="1:14" x14ac:dyDescent="0.25">
      <c r="A378" s="8" t="s">
        <v>3531</v>
      </c>
      <c r="C378" t="s">
        <v>13</v>
      </c>
      <c r="D378" t="s">
        <v>429</v>
      </c>
      <c r="E378" t="s">
        <v>3532</v>
      </c>
      <c r="F378" t="s">
        <v>431</v>
      </c>
      <c r="G378" s="1">
        <v>45058</v>
      </c>
      <c r="H378" s="1"/>
      <c r="I378" t="s">
        <v>1737</v>
      </c>
      <c r="J378" t="s">
        <v>29</v>
      </c>
      <c r="K378" t="s">
        <v>29</v>
      </c>
      <c r="L378" t="s">
        <v>414</v>
      </c>
      <c r="M378" s="74">
        <v>100</v>
      </c>
      <c r="N378" s="1">
        <v>45174</v>
      </c>
    </row>
    <row r="379" spans="1:14" x14ac:dyDescent="0.25">
      <c r="A379" s="8" t="s">
        <v>3533</v>
      </c>
      <c r="C379" t="s">
        <v>3416</v>
      </c>
      <c r="D379" t="s">
        <v>411</v>
      </c>
      <c r="E379" t="s">
        <v>3534</v>
      </c>
      <c r="F379" t="s">
        <v>3535</v>
      </c>
      <c r="G379" s="1">
        <v>45061</v>
      </c>
      <c r="H379" s="1"/>
      <c r="I379" t="s">
        <v>2952</v>
      </c>
      <c r="J379" t="s">
        <v>29</v>
      </c>
      <c r="M379" s="74"/>
      <c r="N379" s="1"/>
    </row>
    <row r="380" spans="1:14" x14ac:dyDescent="0.25">
      <c r="A380" s="8" t="s">
        <v>3536</v>
      </c>
      <c r="C380" t="s">
        <v>3365</v>
      </c>
      <c r="D380" t="s">
        <v>43</v>
      </c>
      <c r="E380" t="s">
        <v>446</v>
      </c>
      <c r="F380" t="s">
        <v>3537</v>
      </c>
      <c r="G380" s="1">
        <v>45061</v>
      </c>
      <c r="H380" s="1"/>
      <c r="I380" t="s">
        <v>1737</v>
      </c>
      <c r="J380" t="s">
        <v>29</v>
      </c>
      <c r="M380" s="74">
        <v>100</v>
      </c>
      <c r="N380" s="1">
        <v>45090</v>
      </c>
    </row>
    <row r="381" spans="1:14" x14ac:dyDescent="0.25">
      <c r="A381" s="8" t="s">
        <v>3538</v>
      </c>
      <c r="C381" t="s">
        <v>433</v>
      </c>
      <c r="D381" t="s">
        <v>14</v>
      </c>
      <c r="F381" t="s">
        <v>3539</v>
      </c>
      <c r="G381" s="1">
        <v>45064</v>
      </c>
      <c r="H381" s="1"/>
      <c r="I381" t="s">
        <v>2952</v>
      </c>
      <c r="J381" t="s">
        <v>29</v>
      </c>
      <c r="M381" s="74"/>
      <c r="N381" s="1"/>
    </row>
    <row r="382" spans="1:14" x14ac:dyDescent="0.25">
      <c r="A382" s="8" t="s">
        <v>3540</v>
      </c>
      <c r="C382" t="s">
        <v>325</v>
      </c>
      <c r="D382" t="s">
        <v>479</v>
      </c>
      <c r="F382" t="s">
        <v>3541</v>
      </c>
      <c r="G382" s="1">
        <v>45066</v>
      </c>
      <c r="H382" s="1"/>
      <c r="I382" t="s">
        <v>3351</v>
      </c>
      <c r="J382" t="s">
        <v>29</v>
      </c>
      <c r="M382" s="74"/>
      <c r="N382" s="1"/>
    </row>
    <row r="383" spans="1:14" x14ac:dyDescent="0.25">
      <c r="A383" s="8" t="s">
        <v>3542</v>
      </c>
      <c r="C383" t="s">
        <v>24</v>
      </c>
      <c r="D383" t="s">
        <v>126</v>
      </c>
      <c r="E383" t="s">
        <v>232</v>
      </c>
      <c r="F383" t="s">
        <v>3543</v>
      </c>
      <c r="G383" s="1">
        <v>45069</v>
      </c>
      <c r="H383" s="1"/>
      <c r="I383" t="s">
        <v>1737</v>
      </c>
      <c r="J383" t="s">
        <v>29</v>
      </c>
      <c r="M383" s="74">
        <v>100</v>
      </c>
      <c r="N383" s="1">
        <v>45119</v>
      </c>
    </row>
    <row r="384" spans="1:14" x14ac:dyDescent="0.25">
      <c r="A384" s="8" t="s">
        <v>3544</v>
      </c>
      <c r="C384" t="s">
        <v>24</v>
      </c>
      <c r="D384" t="s">
        <v>126</v>
      </c>
      <c r="E384" t="s">
        <v>232</v>
      </c>
      <c r="F384" t="s">
        <v>3545</v>
      </c>
      <c r="G384" s="1">
        <v>45069</v>
      </c>
      <c r="H384" s="1"/>
      <c r="I384" t="s">
        <v>1737</v>
      </c>
      <c r="J384" t="s">
        <v>29</v>
      </c>
      <c r="M384" s="74">
        <v>100</v>
      </c>
      <c r="N384" s="1">
        <v>45119</v>
      </c>
    </row>
    <row r="385" spans="1:14" x14ac:dyDescent="0.25">
      <c r="A385" s="8" t="s">
        <v>3546</v>
      </c>
      <c r="C385" t="s">
        <v>3547</v>
      </c>
      <c r="D385" t="s">
        <v>3548</v>
      </c>
      <c r="E385" t="s">
        <v>3549</v>
      </c>
      <c r="F385" t="s">
        <v>3550</v>
      </c>
      <c r="G385" s="1">
        <v>45069</v>
      </c>
      <c r="H385" s="1"/>
      <c r="I385" t="s">
        <v>1737</v>
      </c>
      <c r="J385" t="s">
        <v>29</v>
      </c>
      <c r="M385" s="74">
        <v>100</v>
      </c>
      <c r="N385" s="1">
        <v>45070</v>
      </c>
    </row>
    <row r="386" spans="1:14" x14ac:dyDescent="0.25">
      <c r="A386" s="8" t="s">
        <v>3551</v>
      </c>
      <c r="C386" t="s">
        <v>24</v>
      </c>
      <c r="D386" t="s">
        <v>126</v>
      </c>
      <c r="E386" t="s">
        <v>3080</v>
      </c>
      <c r="F386" t="s">
        <v>3552</v>
      </c>
      <c r="G386" s="1">
        <v>45069</v>
      </c>
      <c r="H386" s="1"/>
      <c r="I386" t="s">
        <v>2952</v>
      </c>
      <c r="J386" t="s">
        <v>29</v>
      </c>
      <c r="M386" s="74"/>
      <c r="N386" s="1"/>
    </row>
    <row r="387" spans="1:14" x14ac:dyDescent="0.25">
      <c r="A387" s="8" t="s">
        <v>3553</v>
      </c>
      <c r="C387" t="s">
        <v>3554</v>
      </c>
      <c r="D387" t="s">
        <v>126</v>
      </c>
      <c r="E387" t="s">
        <v>3080</v>
      </c>
      <c r="F387" t="s">
        <v>3555</v>
      </c>
      <c r="G387" s="1">
        <v>45069</v>
      </c>
      <c r="H387" s="1"/>
      <c r="I387" t="s">
        <v>1737</v>
      </c>
      <c r="J387" t="s">
        <v>29</v>
      </c>
      <c r="L387" t="s">
        <v>437</v>
      </c>
      <c r="M387" s="74">
        <v>1</v>
      </c>
      <c r="N387" s="1">
        <v>45121</v>
      </c>
    </row>
    <row r="388" spans="1:14" x14ac:dyDescent="0.25">
      <c r="A388" s="8" t="s">
        <v>3556</v>
      </c>
      <c r="C388" t="s">
        <v>24</v>
      </c>
      <c r="D388" t="s">
        <v>126</v>
      </c>
      <c r="E388" t="s">
        <v>3080</v>
      </c>
      <c r="F388" t="s">
        <v>453</v>
      </c>
      <c r="G388" s="1">
        <v>45069</v>
      </c>
      <c r="H388" s="1"/>
      <c r="I388" t="s">
        <v>2952</v>
      </c>
      <c r="J388" t="s">
        <v>29</v>
      </c>
      <c r="M388" s="74"/>
      <c r="N388" s="1"/>
    </row>
    <row r="389" spans="1:14" x14ac:dyDescent="0.25">
      <c r="A389" s="8" t="s">
        <v>3557</v>
      </c>
      <c r="C389" t="s">
        <v>24</v>
      </c>
      <c r="D389" t="s">
        <v>126</v>
      </c>
      <c r="E389" t="s">
        <v>3080</v>
      </c>
      <c r="F389" t="s">
        <v>3558</v>
      </c>
      <c r="G389" s="1">
        <v>45069</v>
      </c>
      <c r="H389" s="1"/>
      <c r="I389" t="s">
        <v>2952</v>
      </c>
      <c r="J389" t="s">
        <v>29</v>
      </c>
      <c r="M389" s="74" t="s">
        <v>3559</v>
      </c>
      <c r="N389" s="1" t="s">
        <v>3560</v>
      </c>
    </row>
    <row r="390" spans="1:14" x14ac:dyDescent="0.25">
      <c r="A390" s="8" t="s">
        <v>3561</v>
      </c>
      <c r="C390" t="s">
        <v>24</v>
      </c>
      <c r="D390" t="s">
        <v>126</v>
      </c>
      <c r="E390" t="s">
        <v>3080</v>
      </c>
      <c r="F390" t="s">
        <v>3562</v>
      </c>
      <c r="G390" s="1">
        <v>45069</v>
      </c>
      <c r="H390" s="1"/>
      <c r="I390" t="s">
        <v>2952</v>
      </c>
      <c r="J390" t="s">
        <v>29</v>
      </c>
      <c r="L390" t="s">
        <v>410</v>
      </c>
      <c r="M390" s="74" t="s">
        <v>3563</v>
      </c>
      <c r="N390" s="1" t="s">
        <v>3564</v>
      </c>
    </row>
    <row r="391" spans="1:14" x14ac:dyDescent="0.25">
      <c r="A391" s="8" t="s">
        <v>3565</v>
      </c>
      <c r="C391" t="s">
        <v>24</v>
      </c>
      <c r="D391" t="s">
        <v>126</v>
      </c>
      <c r="E391" t="s">
        <v>3080</v>
      </c>
      <c r="F391" t="s">
        <v>3566</v>
      </c>
      <c r="G391" s="1">
        <v>45120</v>
      </c>
      <c r="H391" s="1"/>
      <c r="I391" t="s">
        <v>2952</v>
      </c>
      <c r="J391" t="s">
        <v>29</v>
      </c>
      <c r="L391" t="s">
        <v>502</v>
      </c>
      <c r="M391" s="74" t="s">
        <v>3567</v>
      </c>
      <c r="N391" s="1" t="s">
        <v>3568</v>
      </c>
    </row>
    <row r="392" spans="1:14" x14ac:dyDescent="0.25">
      <c r="A392" s="8" t="s">
        <v>3569</v>
      </c>
      <c r="C392" t="s">
        <v>24</v>
      </c>
      <c r="D392" t="s">
        <v>126</v>
      </c>
      <c r="E392" t="s">
        <v>3080</v>
      </c>
      <c r="F392" t="s">
        <v>3570</v>
      </c>
      <c r="G392" s="1">
        <v>45440</v>
      </c>
      <c r="H392" s="1"/>
      <c r="I392" t="s">
        <v>2952</v>
      </c>
      <c r="J392" t="s">
        <v>29</v>
      </c>
      <c r="K392" t="s">
        <v>29</v>
      </c>
      <c r="L392" t="s">
        <v>988</v>
      </c>
      <c r="M392" s="74"/>
      <c r="N392" s="1"/>
    </row>
    <row r="393" spans="1:14" x14ac:dyDescent="0.25">
      <c r="A393" s="8" t="s">
        <v>3571</v>
      </c>
      <c r="C393" t="s">
        <v>24</v>
      </c>
      <c r="D393" t="s">
        <v>126</v>
      </c>
      <c r="E393" t="s">
        <v>3080</v>
      </c>
      <c r="F393" t="s">
        <v>3572</v>
      </c>
      <c r="G393" s="1">
        <v>45503</v>
      </c>
      <c r="H393" s="1"/>
      <c r="I393" t="s">
        <v>2952</v>
      </c>
      <c r="J393" t="s">
        <v>29</v>
      </c>
      <c r="K393" t="s">
        <v>29</v>
      </c>
      <c r="L393" t="s">
        <v>992</v>
      </c>
      <c r="M393" s="74"/>
      <c r="N393" s="1"/>
    </row>
    <row r="394" spans="1:14" x14ac:dyDescent="0.25">
      <c r="A394" s="8" t="s">
        <v>3573</v>
      </c>
      <c r="C394" t="s">
        <v>24</v>
      </c>
      <c r="D394" t="s">
        <v>126</v>
      </c>
      <c r="E394" t="s">
        <v>3080</v>
      </c>
      <c r="F394" t="s">
        <v>3574</v>
      </c>
      <c r="G394" s="1">
        <v>45396</v>
      </c>
      <c r="H394" s="1"/>
      <c r="I394" t="s">
        <v>2952</v>
      </c>
      <c r="J394" t="s">
        <v>29</v>
      </c>
      <c r="K394" t="s">
        <v>29</v>
      </c>
      <c r="L394" t="s">
        <v>987</v>
      </c>
      <c r="M394" s="74"/>
      <c r="N394" s="1"/>
    </row>
    <row r="395" spans="1:14" x14ac:dyDescent="0.25">
      <c r="A395" s="8" t="s">
        <v>3575</v>
      </c>
      <c r="C395" t="s">
        <v>24</v>
      </c>
      <c r="D395" t="s">
        <v>126</v>
      </c>
      <c r="E395" t="s">
        <v>3080</v>
      </c>
      <c r="F395" t="s">
        <v>3576</v>
      </c>
      <c r="G395" s="1">
        <v>45504</v>
      </c>
      <c r="H395" s="1"/>
      <c r="I395" t="s">
        <v>2952</v>
      </c>
      <c r="J395" t="s">
        <v>29</v>
      </c>
      <c r="K395" t="s">
        <v>29</v>
      </c>
      <c r="L395" t="s">
        <v>985</v>
      </c>
      <c r="M395" s="74">
        <v>0.31</v>
      </c>
      <c r="N395" s="1" t="s">
        <v>3577</v>
      </c>
    </row>
    <row r="396" spans="1:14" x14ac:dyDescent="0.25">
      <c r="A396" s="8" t="s">
        <v>3578</v>
      </c>
      <c r="C396" t="s">
        <v>24</v>
      </c>
      <c r="D396" t="s">
        <v>126</v>
      </c>
      <c r="E396" t="s">
        <v>3080</v>
      </c>
      <c r="F396" t="s">
        <v>3579</v>
      </c>
      <c r="G396" s="1">
        <v>45601</v>
      </c>
      <c r="H396" s="1"/>
      <c r="I396" t="s">
        <v>2952</v>
      </c>
      <c r="J396" t="s">
        <v>29</v>
      </c>
      <c r="M396" s="74"/>
      <c r="N396" s="1">
        <v>45978</v>
      </c>
    </row>
    <row r="397" spans="1:14" x14ac:dyDescent="0.25">
      <c r="A397" s="8" t="s">
        <v>3580</v>
      </c>
      <c r="C397" t="s">
        <v>24</v>
      </c>
      <c r="D397" t="s">
        <v>126</v>
      </c>
      <c r="E397" t="s">
        <v>3080</v>
      </c>
      <c r="F397" t="s">
        <v>3581</v>
      </c>
      <c r="G397" s="1">
        <v>45839</v>
      </c>
      <c r="H397" s="1"/>
      <c r="I397" t="s">
        <v>3493</v>
      </c>
      <c r="J397" t="s">
        <v>29</v>
      </c>
      <c r="M397" s="74">
        <v>0.31</v>
      </c>
      <c r="N397" s="1">
        <v>45841</v>
      </c>
    </row>
    <row r="398" spans="1:14" x14ac:dyDescent="0.25">
      <c r="A398" s="8" t="s">
        <v>3582</v>
      </c>
      <c r="C398" t="s">
        <v>24</v>
      </c>
      <c r="D398" t="s">
        <v>126</v>
      </c>
      <c r="E398" t="s">
        <v>3583</v>
      </c>
      <c r="F398" t="s">
        <v>3584</v>
      </c>
      <c r="G398" s="1">
        <v>45889</v>
      </c>
      <c r="H398" s="1"/>
      <c r="I398" t="s">
        <v>1737</v>
      </c>
      <c r="J398" t="s">
        <v>29</v>
      </c>
      <c r="M398" s="74">
        <v>100</v>
      </c>
      <c r="N398" s="1">
        <v>45978</v>
      </c>
    </row>
    <row r="399" spans="1:14" ht="14.25" customHeight="1" x14ac:dyDescent="0.25">
      <c r="A399" s="8" t="s">
        <v>3585</v>
      </c>
      <c r="C399" t="s">
        <v>3586</v>
      </c>
      <c r="D399" t="s">
        <v>14</v>
      </c>
      <c r="F399" t="s">
        <v>3587</v>
      </c>
      <c r="G399" s="1">
        <v>45077</v>
      </c>
      <c r="H399" s="1"/>
      <c r="I399" t="s">
        <v>2952</v>
      </c>
      <c r="J399" t="s">
        <v>29</v>
      </c>
      <c r="M399" s="74"/>
      <c r="N399" s="1"/>
    </row>
    <row r="400" spans="1:14" x14ac:dyDescent="0.25">
      <c r="A400" s="8" t="s">
        <v>3588</v>
      </c>
      <c r="C400" t="s">
        <v>24</v>
      </c>
      <c r="D400" t="s">
        <v>126</v>
      </c>
      <c r="E400" t="s">
        <v>3080</v>
      </c>
      <c r="F400" t="s">
        <v>3589</v>
      </c>
      <c r="G400" s="1">
        <v>45079</v>
      </c>
      <c r="H400" s="1"/>
      <c r="I400" t="s">
        <v>1737</v>
      </c>
      <c r="J400" t="s">
        <v>29</v>
      </c>
      <c r="M400" s="74">
        <v>100</v>
      </c>
      <c r="N400" s="1">
        <v>45163</v>
      </c>
    </row>
    <row r="401" spans="1:14" x14ac:dyDescent="0.25">
      <c r="A401" s="8" t="s">
        <v>3590</v>
      </c>
      <c r="C401" t="s">
        <v>220</v>
      </c>
      <c r="D401" t="s">
        <v>14</v>
      </c>
      <c r="F401" t="s">
        <v>3591</v>
      </c>
      <c r="G401" s="1">
        <v>45079</v>
      </c>
      <c r="H401" s="1"/>
      <c r="I401" t="s">
        <v>3493</v>
      </c>
      <c r="J401" t="s">
        <v>29</v>
      </c>
      <c r="K401" t="s">
        <v>29</v>
      </c>
      <c r="M401" s="74"/>
      <c r="N401" s="1"/>
    </row>
    <row r="402" spans="1:14" x14ac:dyDescent="0.25">
      <c r="A402" s="8" t="s">
        <v>3592</v>
      </c>
      <c r="C402" t="s">
        <v>726</v>
      </c>
      <c r="D402" t="s">
        <v>159</v>
      </c>
      <c r="E402" t="s">
        <v>938</v>
      </c>
      <c r="F402" t="s">
        <v>356</v>
      </c>
      <c r="G402" s="1">
        <v>45082</v>
      </c>
      <c r="H402" s="1"/>
      <c r="I402" t="s">
        <v>1737</v>
      </c>
      <c r="J402" t="s">
        <v>29</v>
      </c>
      <c r="K402" t="s">
        <v>29</v>
      </c>
      <c r="L402" t="s">
        <v>338</v>
      </c>
      <c r="M402" s="74">
        <v>1</v>
      </c>
      <c r="N402" s="1" t="s">
        <v>3593</v>
      </c>
    </row>
    <row r="403" spans="1:14" x14ac:dyDescent="0.25">
      <c r="A403" s="8" t="s">
        <v>3594</v>
      </c>
      <c r="C403" t="s">
        <v>726</v>
      </c>
      <c r="D403" t="s">
        <v>159</v>
      </c>
      <c r="E403" t="s">
        <v>938</v>
      </c>
      <c r="F403" t="s">
        <v>3595</v>
      </c>
      <c r="G403" s="1">
        <v>45097</v>
      </c>
      <c r="H403" s="1"/>
      <c r="I403" t="s">
        <v>1737</v>
      </c>
      <c r="J403" t="s">
        <v>29</v>
      </c>
      <c r="K403" t="s">
        <v>18</v>
      </c>
      <c r="L403" t="s">
        <v>3075</v>
      </c>
      <c r="M403" s="74">
        <v>1</v>
      </c>
      <c r="N403" s="1">
        <v>45271</v>
      </c>
    </row>
    <row r="404" spans="1:14" x14ac:dyDescent="0.25">
      <c r="A404" s="8" t="s">
        <v>3596</v>
      </c>
      <c r="C404" t="s">
        <v>3505</v>
      </c>
      <c r="D404" t="s">
        <v>43</v>
      </c>
      <c r="E404" t="s">
        <v>446</v>
      </c>
      <c r="F404" t="s">
        <v>3597</v>
      </c>
      <c r="G404" s="1">
        <v>45028</v>
      </c>
      <c r="H404" s="1"/>
      <c r="I404" t="s">
        <v>1737</v>
      </c>
      <c r="J404" t="s">
        <v>29</v>
      </c>
      <c r="K404" t="s">
        <v>29</v>
      </c>
      <c r="M404" s="74">
        <v>100</v>
      </c>
      <c r="N404" s="1">
        <v>45175</v>
      </c>
    </row>
    <row r="405" spans="1:14" x14ac:dyDescent="0.25">
      <c r="A405" s="8" t="s">
        <v>3598</v>
      </c>
      <c r="C405" t="s">
        <v>3505</v>
      </c>
      <c r="D405" t="s">
        <v>32</v>
      </c>
      <c r="E405" t="s">
        <v>3599</v>
      </c>
      <c r="F405" t="s">
        <v>3600</v>
      </c>
      <c r="G405" s="1">
        <v>45086</v>
      </c>
      <c r="H405" s="1"/>
      <c r="I405" t="s">
        <v>1737</v>
      </c>
      <c r="J405" t="s">
        <v>29</v>
      </c>
      <c r="K405" t="s">
        <v>29</v>
      </c>
      <c r="M405" s="74">
        <v>100</v>
      </c>
      <c r="N405" s="1">
        <v>45159</v>
      </c>
    </row>
    <row r="406" spans="1:14" x14ac:dyDescent="0.25">
      <c r="A406" s="8" t="s">
        <v>3601</v>
      </c>
      <c r="C406" t="s">
        <v>3547</v>
      </c>
      <c r="D406" t="s">
        <v>3548</v>
      </c>
      <c r="E406" t="s">
        <v>3549</v>
      </c>
      <c r="F406" t="s">
        <v>3602</v>
      </c>
      <c r="G406" s="1">
        <v>45086</v>
      </c>
      <c r="H406" s="1"/>
      <c r="I406" t="s">
        <v>1737</v>
      </c>
      <c r="J406" t="s">
        <v>29</v>
      </c>
      <c r="K406" t="s">
        <v>29</v>
      </c>
      <c r="M406" s="74">
        <v>100</v>
      </c>
      <c r="N406" s="1">
        <v>45091</v>
      </c>
    </row>
    <row r="407" spans="1:14" x14ac:dyDescent="0.25">
      <c r="A407" s="8" t="s">
        <v>3603</v>
      </c>
      <c r="C407" t="s">
        <v>3604</v>
      </c>
      <c r="D407" t="s">
        <v>1777</v>
      </c>
      <c r="F407" t="s">
        <v>3605</v>
      </c>
      <c r="G407" s="1">
        <v>45090</v>
      </c>
      <c r="H407" s="1"/>
      <c r="I407" t="s">
        <v>2952</v>
      </c>
      <c r="J407" t="s">
        <v>29</v>
      </c>
      <c r="M407" s="74"/>
      <c r="N407" s="1"/>
    </row>
    <row r="408" spans="1:14" x14ac:dyDescent="0.25">
      <c r="A408" s="8" t="s">
        <v>3606</v>
      </c>
      <c r="C408" t="s">
        <v>325</v>
      </c>
      <c r="D408" t="s">
        <v>439</v>
      </c>
      <c r="E408" t="s">
        <v>552</v>
      </c>
      <c r="F408" t="s">
        <v>3607</v>
      </c>
      <c r="G408" s="1">
        <v>45091</v>
      </c>
      <c r="H408" s="1"/>
      <c r="I408" t="s">
        <v>1737</v>
      </c>
      <c r="J408" t="s">
        <v>29</v>
      </c>
      <c r="K408" t="s">
        <v>29</v>
      </c>
      <c r="L408" t="s">
        <v>3608</v>
      </c>
      <c r="M408" s="74">
        <v>100</v>
      </c>
      <c r="N408" s="1">
        <v>45114</v>
      </c>
    </row>
    <row r="409" spans="1:14" x14ac:dyDescent="0.25">
      <c r="A409" s="8" t="s">
        <v>3609</v>
      </c>
      <c r="C409" t="s">
        <v>704</v>
      </c>
      <c r="D409" t="s">
        <v>163</v>
      </c>
      <c r="F409" t="s">
        <v>3610</v>
      </c>
      <c r="G409" s="1">
        <v>45093</v>
      </c>
      <c r="H409" s="1"/>
      <c r="I409" t="s">
        <v>1737</v>
      </c>
      <c r="J409" t="s">
        <v>29</v>
      </c>
      <c r="K409" t="s">
        <v>29</v>
      </c>
      <c r="M409" s="74">
        <v>100</v>
      </c>
      <c r="N409" s="1">
        <v>45167</v>
      </c>
    </row>
    <row r="410" spans="1:14" x14ac:dyDescent="0.25">
      <c r="A410" s="8" t="s">
        <v>3611</v>
      </c>
      <c r="C410" t="s">
        <v>135</v>
      </c>
      <c r="D410" t="s">
        <v>14</v>
      </c>
      <c r="F410" t="s">
        <v>3612</v>
      </c>
      <c r="G410" s="1">
        <v>45093</v>
      </c>
      <c r="H410" s="1"/>
      <c r="I410" t="s">
        <v>2952</v>
      </c>
      <c r="J410" t="s">
        <v>29</v>
      </c>
      <c r="M410" s="74"/>
      <c r="N410" s="1"/>
    </row>
    <row r="411" spans="1:14" x14ac:dyDescent="0.25">
      <c r="A411" s="8" t="s">
        <v>3613</v>
      </c>
      <c r="C411" t="s">
        <v>135</v>
      </c>
      <c r="D411" t="s">
        <v>429</v>
      </c>
      <c r="E411" t="s">
        <v>3532</v>
      </c>
      <c r="F411" t="s">
        <v>3614</v>
      </c>
      <c r="G411" s="1">
        <v>45099</v>
      </c>
      <c r="H411" s="1"/>
      <c r="I411" t="s">
        <v>1737</v>
      </c>
      <c r="J411" t="s">
        <v>29</v>
      </c>
      <c r="K411" t="s">
        <v>29</v>
      </c>
      <c r="L411" t="s">
        <v>482</v>
      </c>
      <c r="M411" s="74">
        <v>100</v>
      </c>
      <c r="N411" s="1">
        <v>45138</v>
      </c>
    </row>
    <row r="412" spans="1:14" x14ac:dyDescent="0.25">
      <c r="A412" s="8" t="s">
        <v>3615</v>
      </c>
      <c r="C412" t="s">
        <v>13</v>
      </c>
      <c r="D412" t="s">
        <v>104</v>
      </c>
      <c r="F412" t="s">
        <v>3616</v>
      </c>
      <c r="G412" s="1">
        <v>45086</v>
      </c>
      <c r="H412" s="1"/>
      <c r="I412" t="s">
        <v>2952</v>
      </c>
      <c r="J412" t="s">
        <v>29</v>
      </c>
      <c r="K412" t="s">
        <v>29</v>
      </c>
      <c r="L412" t="s">
        <v>3617</v>
      </c>
      <c r="M412" s="74">
        <v>0.75</v>
      </c>
      <c r="N412" s="1">
        <v>45105</v>
      </c>
    </row>
    <row r="413" spans="1:14" x14ac:dyDescent="0.25">
      <c r="A413" s="8" t="s">
        <v>3618</v>
      </c>
      <c r="C413" t="s">
        <v>3505</v>
      </c>
      <c r="D413" t="s">
        <v>32</v>
      </c>
      <c r="F413" t="s">
        <v>3619</v>
      </c>
      <c r="G413" s="1">
        <v>45103</v>
      </c>
      <c r="H413" s="1"/>
      <c r="I413" t="s">
        <v>1737</v>
      </c>
      <c r="J413" t="s">
        <v>29</v>
      </c>
      <c r="K413" t="s">
        <v>29</v>
      </c>
      <c r="M413" s="74">
        <v>100</v>
      </c>
      <c r="N413" s="1">
        <v>45257</v>
      </c>
    </row>
    <row r="414" spans="1:14" x14ac:dyDescent="0.25">
      <c r="A414" s="8" t="s">
        <v>3620</v>
      </c>
      <c r="C414" t="s">
        <v>13</v>
      </c>
      <c r="D414" t="s">
        <v>159</v>
      </c>
      <c r="E414" t="s">
        <v>483</v>
      </c>
      <c r="F414" t="s">
        <v>484</v>
      </c>
      <c r="G414" s="1">
        <v>45105</v>
      </c>
      <c r="H414" s="1"/>
      <c r="I414" t="s">
        <v>1737</v>
      </c>
      <c r="J414" t="s">
        <v>29</v>
      </c>
      <c r="K414" t="s">
        <v>29</v>
      </c>
      <c r="L414" t="s">
        <v>467</v>
      </c>
      <c r="M414" s="74">
        <v>100</v>
      </c>
      <c r="N414" s="1">
        <v>45286</v>
      </c>
    </row>
    <row r="415" spans="1:14" x14ac:dyDescent="0.25">
      <c r="A415" s="8" t="s">
        <v>3621</v>
      </c>
      <c r="C415" t="s">
        <v>597</v>
      </c>
      <c r="D415" t="s">
        <v>43</v>
      </c>
      <c r="E415" t="s">
        <v>315</v>
      </c>
      <c r="F415" t="s">
        <v>3622</v>
      </c>
      <c r="G415" s="1">
        <v>45106</v>
      </c>
      <c r="H415" s="1"/>
      <c r="I415" t="s">
        <v>1737</v>
      </c>
      <c r="J415" t="s">
        <v>29</v>
      </c>
      <c r="K415" t="s">
        <v>29</v>
      </c>
      <c r="L415" t="s">
        <v>3623</v>
      </c>
      <c r="M415" s="74">
        <v>100</v>
      </c>
      <c r="N415" s="1">
        <v>45160</v>
      </c>
    </row>
    <row r="416" spans="1:14" x14ac:dyDescent="0.25">
      <c r="A416" s="8" t="s">
        <v>3624</v>
      </c>
      <c r="C416" t="s">
        <v>3625</v>
      </c>
      <c r="D416" t="s">
        <v>3548</v>
      </c>
      <c r="F416" t="s">
        <v>3626</v>
      </c>
      <c r="G416" s="1">
        <v>45117</v>
      </c>
      <c r="H416" s="1"/>
      <c r="I416" t="s">
        <v>1737</v>
      </c>
      <c r="J416" t="s">
        <v>29</v>
      </c>
      <c r="M416" s="74">
        <v>1</v>
      </c>
      <c r="N416" s="1" t="s">
        <v>3627</v>
      </c>
    </row>
    <row r="417" spans="1:15" x14ac:dyDescent="0.25">
      <c r="A417" s="8" t="s">
        <v>3628</v>
      </c>
      <c r="C417" t="s">
        <v>220</v>
      </c>
      <c r="D417" t="s">
        <v>1494</v>
      </c>
      <c r="E417" t="s">
        <v>254</v>
      </c>
      <c r="F417" t="s">
        <v>3629</v>
      </c>
      <c r="G417" s="1">
        <v>45117</v>
      </c>
      <c r="H417" s="1"/>
      <c r="I417" t="s">
        <v>1737</v>
      </c>
      <c r="J417" t="s">
        <v>29</v>
      </c>
      <c r="M417" s="74">
        <v>100</v>
      </c>
      <c r="N417" s="1">
        <v>45412</v>
      </c>
    </row>
    <row r="418" spans="1:15" x14ac:dyDescent="0.25">
      <c r="A418" s="8" t="s">
        <v>3630</v>
      </c>
      <c r="C418" t="s">
        <v>3505</v>
      </c>
      <c r="D418" t="s">
        <v>3631</v>
      </c>
      <c r="F418" t="s">
        <v>3632</v>
      </c>
      <c r="G418" s="1">
        <v>45119</v>
      </c>
      <c r="H418" s="1"/>
      <c r="I418" t="s">
        <v>2952</v>
      </c>
      <c r="J418" t="s">
        <v>29</v>
      </c>
      <c r="M418" s="74"/>
      <c r="N418" s="1"/>
    </row>
    <row r="419" spans="1:15" x14ac:dyDescent="0.25">
      <c r="A419" s="8" t="s">
        <v>3633</v>
      </c>
      <c r="C419" t="s">
        <v>135</v>
      </c>
      <c r="D419" t="s">
        <v>439</v>
      </c>
      <c r="E419" t="s">
        <v>552</v>
      </c>
      <c r="F419" t="s">
        <v>3634</v>
      </c>
      <c r="G419" s="1">
        <v>45119</v>
      </c>
      <c r="H419" s="1"/>
      <c r="I419" t="s">
        <v>1737</v>
      </c>
      <c r="J419" t="s">
        <v>29</v>
      </c>
      <c r="M419" s="74">
        <v>100</v>
      </c>
      <c r="N419" s="1">
        <v>45324</v>
      </c>
      <c r="O419">
        <v>3598</v>
      </c>
    </row>
    <row r="420" spans="1:15" x14ac:dyDescent="0.25">
      <c r="A420" s="8" t="s">
        <v>3635</v>
      </c>
      <c r="C420" t="s">
        <v>704</v>
      </c>
      <c r="D420" t="s">
        <v>3027</v>
      </c>
      <c r="E420" t="s">
        <v>3636</v>
      </c>
      <c r="F420" t="s">
        <v>3637</v>
      </c>
      <c r="G420" s="1">
        <v>45121</v>
      </c>
      <c r="H420" s="1"/>
      <c r="I420" t="s">
        <v>1737</v>
      </c>
      <c r="J420" t="s">
        <v>29</v>
      </c>
      <c r="M420" s="74">
        <v>100</v>
      </c>
      <c r="N420" s="1">
        <v>45180</v>
      </c>
    </row>
    <row r="421" spans="1:15" x14ac:dyDescent="0.25">
      <c r="A421" s="8" t="s">
        <v>3638</v>
      </c>
      <c r="C421" t="s">
        <v>13</v>
      </c>
      <c r="D421" t="s">
        <v>159</v>
      </c>
      <c r="E421" t="s">
        <v>938</v>
      </c>
      <c r="F421" t="s">
        <v>3639</v>
      </c>
      <c r="G421" s="1">
        <v>45124</v>
      </c>
      <c r="H421" s="1"/>
      <c r="I421" t="s">
        <v>1737</v>
      </c>
      <c r="J421" t="s">
        <v>29</v>
      </c>
      <c r="K421" t="s">
        <v>29</v>
      </c>
      <c r="L421" t="s">
        <v>3640</v>
      </c>
      <c r="M421" s="74">
        <v>1</v>
      </c>
      <c r="N421" s="1" t="s">
        <v>3641</v>
      </c>
    </row>
    <row r="422" spans="1:15" x14ac:dyDescent="0.25">
      <c r="A422" s="8" t="s">
        <v>3642</v>
      </c>
      <c r="C422" t="s">
        <v>257</v>
      </c>
      <c r="D422" t="s">
        <v>526</v>
      </c>
      <c r="E422" t="s">
        <v>527</v>
      </c>
      <c r="F422" t="s">
        <v>528</v>
      </c>
      <c r="G422" s="1">
        <v>45078</v>
      </c>
      <c r="H422" s="1"/>
      <c r="I422" t="s">
        <v>2952</v>
      </c>
      <c r="J422" t="s">
        <v>29</v>
      </c>
      <c r="L422" t="s">
        <v>509</v>
      </c>
      <c r="M422" s="74">
        <v>30</v>
      </c>
      <c r="N422" s="1">
        <v>45790</v>
      </c>
      <c r="O422" t="s">
        <v>3643</v>
      </c>
    </row>
    <row r="423" spans="1:15" x14ac:dyDescent="0.25">
      <c r="A423" s="8" t="s">
        <v>3644</v>
      </c>
      <c r="C423" t="s">
        <v>220</v>
      </c>
      <c r="D423" t="s">
        <v>439</v>
      </c>
      <c r="E423" t="s">
        <v>552</v>
      </c>
      <c r="F423" t="s">
        <v>553</v>
      </c>
      <c r="G423" s="1">
        <v>45125</v>
      </c>
      <c r="H423" s="1"/>
      <c r="I423" t="s">
        <v>1737</v>
      </c>
      <c r="J423" t="s">
        <v>29</v>
      </c>
      <c r="L423" s="6" t="s">
        <v>542</v>
      </c>
      <c r="M423" s="74">
        <v>100</v>
      </c>
      <c r="N423" s="1">
        <v>45135</v>
      </c>
    </row>
    <row r="424" spans="1:15" x14ac:dyDescent="0.25">
      <c r="A424" s="8" t="s">
        <v>3645</v>
      </c>
      <c r="C424" t="s">
        <v>325</v>
      </c>
      <c r="D424" t="s">
        <v>3646</v>
      </c>
      <c r="E424" t="s">
        <v>3647</v>
      </c>
      <c r="F424" t="s">
        <v>3648</v>
      </c>
      <c r="G424" s="1">
        <v>45126</v>
      </c>
      <c r="H424" s="1"/>
      <c r="I424" t="s">
        <v>3493</v>
      </c>
      <c r="J424" t="s">
        <v>29</v>
      </c>
      <c r="K424" t="s">
        <v>29</v>
      </c>
      <c r="M424" s="74">
        <v>0.5</v>
      </c>
      <c r="N424" s="1">
        <v>45293</v>
      </c>
    </row>
    <row r="425" spans="1:15" x14ac:dyDescent="0.25">
      <c r="A425" s="8" t="s">
        <v>3649</v>
      </c>
      <c r="B425">
        <v>3320</v>
      </c>
      <c r="C425" t="s">
        <v>135</v>
      </c>
      <c r="D425" t="s">
        <v>14</v>
      </c>
      <c r="E425" t="s">
        <v>349</v>
      </c>
      <c r="F425" t="s">
        <v>3650</v>
      </c>
      <c r="G425" s="1">
        <v>45131</v>
      </c>
      <c r="H425" s="1"/>
      <c r="I425" t="s">
        <v>3493</v>
      </c>
      <c r="J425" t="s">
        <v>29</v>
      </c>
      <c r="K425" t="s">
        <v>18</v>
      </c>
      <c r="M425" s="74"/>
      <c r="N425" s="1"/>
    </row>
    <row r="426" spans="1:15" x14ac:dyDescent="0.25">
      <c r="A426" s="8" t="s">
        <v>3651</v>
      </c>
      <c r="C426" t="s">
        <v>220</v>
      </c>
      <c r="D426" t="s">
        <v>534</v>
      </c>
      <c r="E426" t="s">
        <v>535</v>
      </c>
      <c r="F426" t="s">
        <v>3652</v>
      </c>
      <c r="G426" s="1">
        <v>45099</v>
      </c>
      <c r="H426" s="1"/>
      <c r="I426" t="s">
        <v>3493</v>
      </c>
      <c r="J426" t="s">
        <v>29</v>
      </c>
      <c r="L426" t="s">
        <v>518</v>
      </c>
      <c r="M426" s="74" t="s">
        <v>3653</v>
      </c>
      <c r="N426" s="1" t="s">
        <v>3654</v>
      </c>
      <c r="O426" t="s">
        <v>3655</v>
      </c>
    </row>
    <row r="427" spans="1:15" x14ac:dyDescent="0.25">
      <c r="A427" s="8" t="s">
        <v>3656</v>
      </c>
      <c r="C427" t="s">
        <v>220</v>
      </c>
      <c r="D427" t="s">
        <v>534</v>
      </c>
      <c r="E427" t="s">
        <v>535</v>
      </c>
      <c r="F427" t="s">
        <v>3657</v>
      </c>
      <c r="G427" s="1"/>
      <c r="H427" s="1"/>
      <c r="I427" t="s">
        <v>3493</v>
      </c>
      <c r="J427" t="s">
        <v>29</v>
      </c>
      <c r="M427" s="74"/>
      <c r="N427" s="1"/>
      <c r="O427" t="s">
        <v>3658</v>
      </c>
    </row>
    <row r="428" spans="1:15" x14ac:dyDescent="0.25">
      <c r="A428" s="8" t="s">
        <v>3659</v>
      </c>
      <c r="C428" t="s">
        <v>220</v>
      </c>
      <c r="D428" t="s">
        <v>534</v>
      </c>
      <c r="E428" t="s">
        <v>535</v>
      </c>
      <c r="F428" t="s">
        <v>3660</v>
      </c>
      <c r="G428" s="1">
        <v>45853</v>
      </c>
      <c r="H428" s="1"/>
      <c r="I428" t="s">
        <v>3493</v>
      </c>
      <c r="J428" t="s">
        <v>29</v>
      </c>
      <c r="M428" s="74"/>
      <c r="N428" s="1"/>
      <c r="O428" t="s">
        <v>3658</v>
      </c>
    </row>
    <row r="429" spans="1:15" x14ac:dyDescent="0.25">
      <c r="A429" s="8" t="s">
        <v>3661</v>
      </c>
      <c r="C429" t="s">
        <v>220</v>
      </c>
      <c r="D429" t="s">
        <v>534</v>
      </c>
      <c r="E429" t="s">
        <v>535</v>
      </c>
      <c r="F429" t="s">
        <v>3662</v>
      </c>
      <c r="G429" s="1">
        <v>45853</v>
      </c>
      <c r="H429" s="1"/>
      <c r="I429" t="s">
        <v>3493</v>
      </c>
      <c r="J429" t="s">
        <v>29</v>
      </c>
      <c r="M429" s="74"/>
      <c r="N429" s="1"/>
      <c r="O429" t="s">
        <v>3658</v>
      </c>
    </row>
    <row r="430" spans="1:15" x14ac:dyDescent="0.25">
      <c r="A430" s="8" t="s">
        <v>3663</v>
      </c>
      <c r="C430" t="s">
        <v>167</v>
      </c>
      <c r="D430" t="s">
        <v>534</v>
      </c>
      <c r="E430" t="s">
        <v>535</v>
      </c>
      <c r="F430" t="s">
        <v>3664</v>
      </c>
      <c r="G430" s="1">
        <v>45859</v>
      </c>
      <c r="H430" s="1"/>
      <c r="I430" t="s">
        <v>3665</v>
      </c>
      <c r="J430" t="s">
        <v>29</v>
      </c>
      <c r="M430" s="74"/>
      <c r="N430" s="1"/>
      <c r="O430" t="s">
        <v>3658</v>
      </c>
    </row>
    <row r="431" spans="1:15" x14ac:dyDescent="0.25">
      <c r="A431" s="8" t="s">
        <v>3666</v>
      </c>
      <c r="C431" t="s">
        <v>220</v>
      </c>
      <c r="D431" t="s">
        <v>534</v>
      </c>
      <c r="E431" t="s">
        <v>535</v>
      </c>
      <c r="F431" t="s">
        <v>3667</v>
      </c>
      <c r="G431" s="1">
        <v>45875</v>
      </c>
      <c r="H431" s="1"/>
      <c r="I431" t="s">
        <v>3493</v>
      </c>
      <c r="J431" t="s">
        <v>29</v>
      </c>
      <c r="M431" s="74"/>
      <c r="N431" s="1"/>
      <c r="O431" t="s">
        <v>3658</v>
      </c>
    </row>
    <row r="432" spans="1:15" x14ac:dyDescent="0.25">
      <c r="A432" s="8" t="s">
        <v>3668</v>
      </c>
      <c r="C432" t="s">
        <v>220</v>
      </c>
      <c r="D432" t="s">
        <v>1494</v>
      </c>
      <c r="E432" t="s">
        <v>3669</v>
      </c>
      <c r="F432" t="s">
        <v>3670</v>
      </c>
      <c r="G432" s="1">
        <v>45139</v>
      </c>
      <c r="H432" s="1"/>
      <c r="I432" t="s">
        <v>2952</v>
      </c>
      <c r="J432" t="s">
        <v>29</v>
      </c>
      <c r="K432" t="s">
        <v>29</v>
      </c>
      <c r="L432" t="s">
        <v>3671</v>
      </c>
      <c r="M432" s="74"/>
      <c r="N432" s="1"/>
    </row>
    <row r="433" spans="1:15" x14ac:dyDescent="0.25">
      <c r="A433" s="8" t="s">
        <v>3672</v>
      </c>
      <c r="C433" t="s">
        <v>3673</v>
      </c>
      <c r="D433" t="s">
        <v>1494</v>
      </c>
      <c r="E433" t="s">
        <v>3669</v>
      </c>
      <c r="F433" t="s">
        <v>3674</v>
      </c>
      <c r="G433" s="1"/>
      <c r="H433" s="1"/>
      <c r="I433" t="s">
        <v>3675</v>
      </c>
      <c r="M433" s="74">
        <v>0</v>
      </c>
      <c r="N433" s="1" t="s">
        <v>3676</v>
      </c>
    </row>
    <row r="434" spans="1:15" x14ac:dyDescent="0.25">
      <c r="A434" s="8" t="s">
        <v>3677</v>
      </c>
      <c r="C434" t="s">
        <v>474</v>
      </c>
      <c r="D434" t="s">
        <v>903</v>
      </c>
      <c r="E434" t="s">
        <v>3678</v>
      </c>
      <c r="F434" t="s">
        <v>3679</v>
      </c>
      <c r="G434" s="1">
        <v>45141</v>
      </c>
      <c r="H434" s="1"/>
      <c r="I434" t="s">
        <v>3493</v>
      </c>
      <c r="J434" t="s">
        <v>29</v>
      </c>
      <c r="K434" t="s">
        <v>3680</v>
      </c>
      <c r="L434" t="s">
        <v>307</v>
      </c>
      <c r="M434" s="74">
        <v>100</v>
      </c>
      <c r="N434" s="1">
        <v>45196</v>
      </c>
    </row>
    <row r="435" spans="1:15" x14ac:dyDescent="0.25">
      <c r="A435" s="8" t="s">
        <v>3681</v>
      </c>
      <c r="C435" t="s">
        <v>474</v>
      </c>
      <c r="D435" t="s">
        <v>3682</v>
      </c>
      <c r="E435" t="s">
        <v>3683</v>
      </c>
      <c r="F435" t="s">
        <v>3684</v>
      </c>
      <c r="G435" s="1">
        <v>45142</v>
      </c>
      <c r="H435" s="1"/>
      <c r="I435" t="s">
        <v>1737</v>
      </c>
      <c r="J435" t="s">
        <v>29</v>
      </c>
      <c r="M435" s="74">
        <v>100</v>
      </c>
      <c r="N435" s="1">
        <v>45156</v>
      </c>
    </row>
    <row r="436" spans="1:15" x14ac:dyDescent="0.25">
      <c r="A436" s="8" t="s">
        <v>3685</v>
      </c>
      <c r="C436" t="s">
        <v>374</v>
      </c>
      <c r="D436" t="s">
        <v>3686</v>
      </c>
      <c r="E436" t="s">
        <v>3687</v>
      </c>
      <c r="F436" t="s">
        <v>3688</v>
      </c>
      <c r="G436" s="1">
        <v>45146</v>
      </c>
      <c r="H436" s="1"/>
      <c r="I436" t="s">
        <v>1737</v>
      </c>
      <c r="J436" t="s">
        <v>3494</v>
      </c>
      <c r="M436" s="74">
        <v>100</v>
      </c>
      <c r="N436" s="1">
        <v>45261</v>
      </c>
    </row>
    <row r="437" spans="1:15" x14ac:dyDescent="0.25">
      <c r="A437" s="8" t="s">
        <v>3689</v>
      </c>
      <c r="C437" t="s">
        <v>3690</v>
      </c>
      <c r="D437" t="s">
        <v>3691</v>
      </c>
      <c r="E437" t="s">
        <v>3692</v>
      </c>
      <c r="F437" t="s">
        <v>3693</v>
      </c>
      <c r="G437" s="1">
        <v>45124</v>
      </c>
      <c r="H437" s="1"/>
      <c r="I437" t="s">
        <v>1737</v>
      </c>
      <c r="J437" t="s">
        <v>29</v>
      </c>
      <c r="L437" t="s">
        <v>3694</v>
      </c>
      <c r="M437" s="74">
        <v>100</v>
      </c>
      <c r="N437" s="1">
        <v>45154</v>
      </c>
    </row>
    <row r="438" spans="1:15" x14ac:dyDescent="0.25">
      <c r="A438" s="8" t="s">
        <v>3695</v>
      </c>
      <c r="C438" t="s">
        <v>13</v>
      </c>
      <c r="D438" t="s">
        <v>1783</v>
      </c>
      <c r="E438" t="s">
        <v>61</v>
      </c>
      <c r="F438" t="s">
        <v>1229</v>
      </c>
      <c r="G438" s="1">
        <v>45145</v>
      </c>
      <c r="H438" s="1"/>
      <c r="I438" t="s">
        <v>1737</v>
      </c>
      <c r="J438" t="s">
        <v>29</v>
      </c>
      <c r="K438" t="s">
        <v>29</v>
      </c>
      <c r="L438" t="s">
        <v>3696</v>
      </c>
      <c r="M438" s="74">
        <v>100</v>
      </c>
      <c r="N438" s="1" t="s">
        <v>3697</v>
      </c>
    </row>
    <row r="439" spans="1:15" x14ac:dyDescent="0.25">
      <c r="A439" s="8" t="s">
        <v>3698</v>
      </c>
      <c r="C439" t="s">
        <v>13</v>
      </c>
      <c r="D439" t="s">
        <v>1783</v>
      </c>
      <c r="E439" t="s">
        <v>61</v>
      </c>
      <c r="F439" t="s">
        <v>3699</v>
      </c>
      <c r="G439" s="1">
        <v>45232</v>
      </c>
      <c r="H439" s="1"/>
      <c r="I439" t="s">
        <v>1737</v>
      </c>
      <c r="J439" t="s">
        <v>29</v>
      </c>
      <c r="K439" t="s">
        <v>29</v>
      </c>
      <c r="M439" s="74">
        <v>100</v>
      </c>
      <c r="N439" s="1">
        <v>45271</v>
      </c>
    </row>
    <row r="440" spans="1:15" x14ac:dyDescent="0.25">
      <c r="A440" s="8" t="s">
        <v>3700</v>
      </c>
      <c r="C440" t="s">
        <v>3430</v>
      </c>
      <c r="D440" t="s">
        <v>1783</v>
      </c>
      <c r="E440" t="s">
        <v>61</v>
      </c>
      <c r="F440" t="s">
        <v>3701</v>
      </c>
      <c r="G440" s="1">
        <v>45264</v>
      </c>
      <c r="H440" s="1"/>
      <c r="I440" t="s">
        <v>2952</v>
      </c>
      <c r="J440" t="s">
        <v>29</v>
      </c>
      <c r="M440" s="74"/>
      <c r="N440" s="1"/>
    </row>
    <row r="441" spans="1:15" x14ac:dyDescent="0.25">
      <c r="A441" s="8" t="s">
        <v>3702</v>
      </c>
      <c r="C441" t="s">
        <v>3430</v>
      </c>
      <c r="D441" t="s">
        <v>1783</v>
      </c>
      <c r="E441" t="s">
        <v>61</v>
      </c>
      <c r="F441" t="s">
        <v>3703</v>
      </c>
      <c r="G441" s="1">
        <v>45331</v>
      </c>
      <c r="H441" s="1"/>
      <c r="I441" t="s">
        <v>2952</v>
      </c>
      <c r="J441" t="s">
        <v>29</v>
      </c>
      <c r="M441" s="74"/>
      <c r="N441" s="1"/>
    </row>
    <row r="442" spans="1:15" x14ac:dyDescent="0.25">
      <c r="A442" s="8" t="s">
        <v>3704</v>
      </c>
      <c r="C442" t="s">
        <v>220</v>
      </c>
      <c r="D442" t="s">
        <v>1494</v>
      </c>
      <c r="E442" t="s">
        <v>254</v>
      </c>
      <c r="F442" t="s">
        <v>3705</v>
      </c>
      <c r="G442" s="1">
        <v>45134</v>
      </c>
      <c r="H442" s="1"/>
      <c r="I442" t="s">
        <v>1737</v>
      </c>
      <c r="J442" t="s">
        <v>29</v>
      </c>
      <c r="K442" t="s">
        <v>29</v>
      </c>
      <c r="M442" s="74">
        <v>100</v>
      </c>
      <c r="N442" s="1" t="s">
        <v>3706</v>
      </c>
    </row>
    <row r="443" spans="1:15" x14ac:dyDescent="0.25">
      <c r="A443" s="8" t="s">
        <v>3707</v>
      </c>
      <c r="C443" t="s">
        <v>3708</v>
      </c>
      <c r="D443" t="s">
        <v>1494</v>
      </c>
      <c r="E443" t="s">
        <v>3709</v>
      </c>
      <c r="F443" t="s">
        <v>3710</v>
      </c>
      <c r="G443" s="1">
        <v>45312</v>
      </c>
      <c r="H443" s="1"/>
      <c r="I443" t="s">
        <v>1737</v>
      </c>
      <c r="J443" t="s">
        <v>29</v>
      </c>
      <c r="K443" t="s">
        <v>29</v>
      </c>
      <c r="M443" s="74">
        <v>100</v>
      </c>
      <c r="N443" s="1">
        <v>45412</v>
      </c>
    </row>
    <row r="444" spans="1:15" x14ac:dyDescent="0.25">
      <c r="A444" s="8" t="s">
        <v>3711</v>
      </c>
      <c r="C444" t="s">
        <v>3712</v>
      </c>
      <c r="D444" t="s">
        <v>439</v>
      </c>
      <c r="E444" t="s">
        <v>552</v>
      </c>
      <c r="F444" t="s">
        <v>3713</v>
      </c>
      <c r="G444" s="1">
        <v>45183</v>
      </c>
      <c r="H444" s="1"/>
      <c r="I444" t="s">
        <v>1737</v>
      </c>
      <c r="J444" t="s">
        <v>29</v>
      </c>
      <c r="K444" t="s">
        <v>29</v>
      </c>
      <c r="M444" s="74">
        <v>100</v>
      </c>
      <c r="N444" s="1">
        <v>45222</v>
      </c>
    </row>
    <row r="445" spans="1:15" x14ac:dyDescent="0.25">
      <c r="A445" s="8" t="s">
        <v>3714</v>
      </c>
      <c r="C445" t="s">
        <v>3505</v>
      </c>
      <c r="D445" t="s">
        <v>32</v>
      </c>
      <c r="E445" t="s">
        <v>397</v>
      </c>
      <c r="F445" t="s">
        <v>3715</v>
      </c>
      <c r="G445" s="1">
        <v>45183</v>
      </c>
      <c r="H445" s="1"/>
      <c r="I445" t="s">
        <v>3675</v>
      </c>
      <c r="J445" t="s">
        <v>29</v>
      </c>
      <c r="M445" s="74"/>
      <c r="N445" s="1"/>
    </row>
    <row r="446" spans="1:15" x14ac:dyDescent="0.25">
      <c r="A446" s="8" t="s">
        <v>3716</v>
      </c>
      <c r="C446" t="s">
        <v>13</v>
      </c>
      <c r="D446" t="s">
        <v>247</v>
      </c>
      <c r="E446" t="s">
        <v>1313</v>
      </c>
      <c r="F446" t="s">
        <v>3717</v>
      </c>
      <c r="G446" s="1">
        <v>45187</v>
      </c>
      <c r="H446" s="1"/>
      <c r="I446" t="s">
        <v>1737</v>
      </c>
      <c r="J446" t="s">
        <v>29</v>
      </c>
      <c r="K446" t="s">
        <v>29</v>
      </c>
      <c r="L446" t="s">
        <v>3718</v>
      </c>
      <c r="M446" s="74">
        <v>100</v>
      </c>
      <c r="N446" s="1" t="s">
        <v>3719</v>
      </c>
    </row>
    <row r="447" spans="1:15" x14ac:dyDescent="0.25">
      <c r="A447" s="8" t="s">
        <v>3720</v>
      </c>
      <c r="C447" t="s">
        <v>474</v>
      </c>
      <c r="D447" t="s">
        <v>43</v>
      </c>
      <c r="E447" t="s">
        <v>3721</v>
      </c>
      <c r="F447" t="s">
        <v>3722</v>
      </c>
      <c r="G447" s="1">
        <v>45190</v>
      </c>
      <c r="H447" s="1"/>
      <c r="I447" t="s">
        <v>1737</v>
      </c>
      <c r="J447" t="s">
        <v>29</v>
      </c>
      <c r="M447" s="74">
        <v>1</v>
      </c>
      <c r="N447" s="1" t="s">
        <v>3723</v>
      </c>
      <c r="O447" s="5">
        <v>0.35</v>
      </c>
    </row>
    <row r="448" spans="1:15" x14ac:dyDescent="0.25">
      <c r="A448" s="8" t="s">
        <v>3724</v>
      </c>
      <c r="C448" t="s">
        <v>3725</v>
      </c>
      <c r="D448" t="s">
        <v>43</v>
      </c>
      <c r="E448" t="s">
        <v>3721</v>
      </c>
      <c r="F448" t="s">
        <v>3726</v>
      </c>
      <c r="G448" s="1">
        <v>45216</v>
      </c>
      <c r="H448" s="1"/>
      <c r="I448" t="s">
        <v>1737</v>
      </c>
      <c r="J448" t="s">
        <v>29</v>
      </c>
      <c r="K448" t="s">
        <v>3680</v>
      </c>
      <c r="M448" s="74">
        <v>100</v>
      </c>
      <c r="N448" s="1">
        <v>45295</v>
      </c>
      <c r="O448" s="5"/>
    </row>
    <row r="449" spans="1:14" x14ac:dyDescent="0.25">
      <c r="A449" s="8" t="s">
        <v>3727</v>
      </c>
      <c r="C449" t="s">
        <v>474</v>
      </c>
      <c r="D449" t="s">
        <v>43</v>
      </c>
      <c r="E449" t="s">
        <v>3728</v>
      </c>
      <c r="F449" t="s">
        <v>3729</v>
      </c>
      <c r="G449" s="1">
        <v>45190</v>
      </c>
      <c r="H449" s="1"/>
      <c r="I449" t="s">
        <v>1737</v>
      </c>
      <c r="J449" t="s">
        <v>29</v>
      </c>
      <c r="M449" s="74">
        <v>100</v>
      </c>
      <c r="N449" s="1">
        <v>45280</v>
      </c>
    </row>
    <row r="450" spans="1:14" x14ac:dyDescent="0.25">
      <c r="A450" s="8" t="s">
        <v>3730</v>
      </c>
      <c r="C450" t="s">
        <v>135</v>
      </c>
      <c r="D450" t="s">
        <v>602</v>
      </c>
      <c r="E450" t="s">
        <v>603</v>
      </c>
      <c r="F450" t="s">
        <v>3731</v>
      </c>
      <c r="G450" s="1">
        <v>45194</v>
      </c>
      <c r="H450" s="1"/>
      <c r="I450" t="s">
        <v>1737</v>
      </c>
      <c r="J450" t="s">
        <v>29</v>
      </c>
      <c r="L450" t="s">
        <v>584</v>
      </c>
      <c r="M450" s="74">
        <v>100</v>
      </c>
      <c r="N450" s="1">
        <v>45260</v>
      </c>
    </row>
    <row r="451" spans="1:14" x14ac:dyDescent="0.25">
      <c r="A451" s="8" t="s">
        <v>3732</v>
      </c>
      <c r="C451" t="s">
        <v>220</v>
      </c>
      <c r="D451" t="s">
        <v>1494</v>
      </c>
      <c r="E451" t="s">
        <v>254</v>
      </c>
      <c r="F451" t="s">
        <v>3733</v>
      </c>
      <c r="G451" s="1">
        <v>45196</v>
      </c>
      <c r="H451" s="1"/>
      <c r="I451" t="s">
        <v>1737</v>
      </c>
      <c r="J451" t="s">
        <v>29</v>
      </c>
      <c r="L451" t="s">
        <v>3734</v>
      </c>
      <c r="M451" s="74">
        <v>100</v>
      </c>
      <c r="N451" s="1">
        <v>45412</v>
      </c>
    </row>
    <row r="452" spans="1:14" x14ac:dyDescent="0.25">
      <c r="A452" s="8" t="s">
        <v>3735</v>
      </c>
      <c r="B452" t="s">
        <v>3540</v>
      </c>
      <c r="C452" t="s">
        <v>3554</v>
      </c>
      <c r="D452" t="s">
        <v>3736</v>
      </c>
      <c r="E452" t="s">
        <v>3737</v>
      </c>
      <c r="F452" t="s">
        <v>3738</v>
      </c>
      <c r="G452" s="1">
        <v>45197</v>
      </c>
      <c r="H452" s="1"/>
      <c r="I452" t="s">
        <v>3665</v>
      </c>
      <c r="J452" t="s">
        <v>29</v>
      </c>
      <c r="M452" s="74"/>
      <c r="N452" s="1"/>
    </row>
    <row r="453" spans="1:14" x14ac:dyDescent="0.25">
      <c r="A453" s="8" t="s">
        <v>3739</v>
      </c>
      <c r="B453" t="s">
        <v>3025</v>
      </c>
      <c r="C453" t="s">
        <v>3505</v>
      </c>
      <c r="D453" t="s">
        <v>903</v>
      </c>
      <c r="F453" t="s">
        <v>3740</v>
      </c>
      <c r="G453" s="1">
        <v>45203</v>
      </c>
      <c r="H453" s="1"/>
      <c r="I453" t="s">
        <v>2952</v>
      </c>
      <c r="J453" t="s">
        <v>29</v>
      </c>
      <c r="K453" t="s">
        <v>29</v>
      </c>
      <c r="M453" s="74"/>
      <c r="N453" s="1"/>
    </row>
    <row r="454" spans="1:14" x14ac:dyDescent="0.25">
      <c r="A454" s="8" t="s">
        <v>3741</v>
      </c>
      <c r="C454" t="s">
        <v>3505</v>
      </c>
      <c r="D454" t="s">
        <v>903</v>
      </c>
      <c r="F454" t="s">
        <v>3742</v>
      </c>
      <c r="G454" s="1">
        <v>45203</v>
      </c>
      <c r="H454" s="1"/>
      <c r="I454" t="s">
        <v>1737</v>
      </c>
      <c r="J454" t="s">
        <v>29</v>
      </c>
      <c r="K454" t="s">
        <v>29</v>
      </c>
      <c r="M454" s="74">
        <v>100</v>
      </c>
      <c r="N454" s="1">
        <v>45231</v>
      </c>
    </row>
    <row r="455" spans="1:14" x14ac:dyDescent="0.25">
      <c r="A455" s="8" t="s">
        <v>3743</v>
      </c>
      <c r="C455" t="s">
        <v>3744</v>
      </c>
      <c r="D455" t="s">
        <v>903</v>
      </c>
      <c r="F455" t="s">
        <v>3745</v>
      </c>
      <c r="G455" s="1">
        <v>45205</v>
      </c>
      <c r="H455" s="1"/>
      <c r="I455" t="s">
        <v>1737</v>
      </c>
      <c r="J455" t="s">
        <v>29</v>
      </c>
      <c r="K455" t="s">
        <v>29</v>
      </c>
      <c r="M455" s="74">
        <v>100</v>
      </c>
      <c r="N455" s="1">
        <v>45296</v>
      </c>
    </row>
    <row r="456" spans="1:14" x14ac:dyDescent="0.25">
      <c r="A456" s="8" t="s">
        <v>3746</v>
      </c>
      <c r="C456" t="s">
        <v>3744</v>
      </c>
      <c r="D456" t="s">
        <v>903</v>
      </c>
      <c r="F456" t="s">
        <v>3747</v>
      </c>
      <c r="G456" s="1">
        <v>45230</v>
      </c>
      <c r="H456" s="1"/>
      <c r="I456" t="s">
        <v>1737</v>
      </c>
      <c r="J456" t="s">
        <v>29</v>
      </c>
      <c r="K456" t="s">
        <v>29</v>
      </c>
      <c r="M456" s="74">
        <v>100</v>
      </c>
      <c r="N456" s="1">
        <v>45309</v>
      </c>
    </row>
    <row r="457" spans="1:14" x14ac:dyDescent="0.25">
      <c r="A457" s="8" t="s">
        <v>3748</v>
      </c>
      <c r="C457" t="s">
        <v>474</v>
      </c>
      <c r="D457" t="s">
        <v>903</v>
      </c>
      <c r="F457" t="s">
        <v>3749</v>
      </c>
      <c r="G457" s="1">
        <v>45331</v>
      </c>
      <c r="H457" s="1"/>
      <c r="I457" t="s">
        <v>1737</v>
      </c>
      <c r="J457" t="s">
        <v>29</v>
      </c>
      <c r="M457" s="74">
        <v>100</v>
      </c>
      <c r="N457" s="1">
        <v>45455</v>
      </c>
    </row>
    <row r="458" spans="1:14" x14ac:dyDescent="0.25">
      <c r="A458" s="8" t="s">
        <v>3750</v>
      </c>
      <c r="C458" t="s">
        <v>325</v>
      </c>
      <c r="D458" t="s">
        <v>539</v>
      </c>
      <c r="E458" t="s">
        <v>540</v>
      </c>
      <c r="F458" t="s">
        <v>3751</v>
      </c>
      <c r="G458" s="1">
        <v>45211</v>
      </c>
      <c r="H458" s="1"/>
      <c r="I458" t="s">
        <v>2952</v>
      </c>
      <c r="J458" t="s">
        <v>29</v>
      </c>
      <c r="M458" s="74"/>
      <c r="N458" s="1"/>
    </row>
    <row r="459" spans="1:14" x14ac:dyDescent="0.25">
      <c r="A459" s="8" t="s">
        <v>3752</v>
      </c>
      <c r="C459" t="s">
        <v>220</v>
      </c>
      <c r="D459" t="s">
        <v>25</v>
      </c>
      <c r="E459" t="s">
        <v>628</v>
      </c>
      <c r="F459" t="s">
        <v>629</v>
      </c>
      <c r="G459" s="1">
        <v>45209</v>
      </c>
      <c r="H459" s="1"/>
      <c r="I459" t="s">
        <v>3493</v>
      </c>
      <c r="J459" t="s">
        <v>29</v>
      </c>
      <c r="K459" t="s">
        <v>29</v>
      </c>
      <c r="L459" t="s">
        <v>614</v>
      </c>
      <c r="M459" s="74">
        <v>1</v>
      </c>
      <c r="N459" s="1" t="s">
        <v>3753</v>
      </c>
    </row>
    <row r="460" spans="1:14" x14ac:dyDescent="0.25">
      <c r="A460" s="8" t="s">
        <v>3754</v>
      </c>
      <c r="C460" t="s">
        <v>3755</v>
      </c>
      <c r="D460" t="s">
        <v>25</v>
      </c>
      <c r="E460" t="s">
        <v>628</v>
      </c>
      <c r="F460" t="s">
        <v>3756</v>
      </c>
      <c r="G460" s="1">
        <v>45222</v>
      </c>
      <c r="H460" s="1"/>
      <c r="I460" t="s">
        <v>1737</v>
      </c>
      <c r="J460" t="s">
        <v>29</v>
      </c>
      <c r="K460" t="s">
        <v>29</v>
      </c>
      <c r="L460" t="s">
        <v>3757</v>
      </c>
      <c r="M460" s="74">
        <v>1</v>
      </c>
      <c r="N460" s="1">
        <v>45392</v>
      </c>
    </row>
    <row r="461" spans="1:14" x14ac:dyDescent="0.25">
      <c r="A461" s="8" t="s">
        <v>3758</v>
      </c>
      <c r="C461" t="s">
        <v>3755</v>
      </c>
      <c r="D461" t="s">
        <v>25</v>
      </c>
      <c r="E461" t="s">
        <v>628</v>
      </c>
      <c r="F461" t="s">
        <v>3759</v>
      </c>
      <c r="G461" s="1">
        <v>45428</v>
      </c>
      <c r="H461" s="1"/>
      <c r="I461" t="s">
        <v>3675</v>
      </c>
      <c r="J461" t="s">
        <v>29</v>
      </c>
      <c r="M461" s="74"/>
      <c r="N461" s="1"/>
    </row>
    <row r="462" spans="1:14" x14ac:dyDescent="0.25">
      <c r="A462" s="8" t="s">
        <v>3760</v>
      </c>
      <c r="C462" t="s">
        <v>3761</v>
      </c>
      <c r="D462" t="s">
        <v>43</v>
      </c>
      <c r="E462" t="s">
        <v>315</v>
      </c>
      <c r="F462" t="s">
        <v>3762</v>
      </c>
      <c r="G462" s="1">
        <v>45215</v>
      </c>
      <c r="H462" s="1"/>
      <c r="I462" t="s">
        <v>1737</v>
      </c>
      <c r="J462" t="s">
        <v>29</v>
      </c>
      <c r="K462" t="s">
        <v>29</v>
      </c>
      <c r="L462" t="s">
        <v>3763</v>
      </c>
      <c r="M462" s="74">
        <v>1</v>
      </c>
      <c r="N462" s="1" t="s">
        <v>3764</v>
      </c>
    </row>
    <row r="463" spans="1:14" x14ac:dyDescent="0.25">
      <c r="A463" s="8" t="s">
        <v>3765</v>
      </c>
      <c r="C463" t="s">
        <v>3761</v>
      </c>
      <c r="D463" t="s">
        <v>43</v>
      </c>
      <c r="E463" t="s">
        <v>315</v>
      </c>
      <c r="F463" t="s">
        <v>3766</v>
      </c>
      <c r="G463" s="1"/>
      <c r="H463" s="1"/>
      <c r="I463" t="s">
        <v>1737</v>
      </c>
      <c r="J463" t="s">
        <v>29</v>
      </c>
      <c r="K463" t="s">
        <v>29</v>
      </c>
      <c r="M463" s="74">
        <v>1</v>
      </c>
      <c r="N463" s="1" t="s">
        <v>3767</v>
      </c>
    </row>
    <row r="464" spans="1:14" x14ac:dyDescent="0.25">
      <c r="A464" s="8" t="s">
        <v>3768</v>
      </c>
      <c r="C464" t="s">
        <v>3761</v>
      </c>
      <c r="D464" t="s">
        <v>43</v>
      </c>
      <c r="E464" t="s">
        <v>315</v>
      </c>
      <c r="F464" t="s">
        <v>3769</v>
      </c>
      <c r="G464" s="1"/>
      <c r="H464" s="1"/>
      <c r="I464" t="s">
        <v>1737</v>
      </c>
      <c r="J464" t="s">
        <v>29</v>
      </c>
      <c r="M464" s="74">
        <v>1</v>
      </c>
      <c r="N464" s="1">
        <v>45453</v>
      </c>
    </row>
    <row r="465" spans="1:14" x14ac:dyDescent="0.25">
      <c r="A465" s="8" t="s">
        <v>3770</v>
      </c>
      <c r="B465" t="s">
        <v>3771</v>
      </c>
      <c r="C465" t="s">
        <v>3761</v>
      </c>
      <c r="D465" t="s">
        <v>43</v>
      </c>
      <c r="E465" t="s">
        <v>315</v>
      </c>
      <c r="F465" t="s">
        <v>3772</v>
      </c>
      <c r="G465" s="1">
        <v>45446</v>
      </c>
      <c r="H465" s="1"/>
      <c r="I465" t="s">
        <v>2952</v>
      </c>
      <c r="J465" t="s">
        <v>29</v>
      </c>
      <c r="M465" s="74"/>
      <c r="N465" s="1"/>
    </row>
    <row r="466" spans="1:14" x14ac:dyDescent="0.25">
      <c r="A466" s="8" t="s">
        <v>3773</v>
      </c>
      <c r="C466" t="s">
        <v>3774</v>
      </c>
      <c r="D466" t="s">
        <v>1494</v>
      </c>
      <c r="E466" t="s">
        <v>254</v>
      </c>
      <c r="F466" t="s">
        <v>3775</v>
      </c>
      <c r="G466" s="1">
        <v>45218</v>
      </c>
      <c r="H466" s="1"/>
      <c r="I466" t="s">
        <v>1737</v>
      </c>
      <c r="J466" t="s">
        <v>29</v>
      </c>
      <c r="K466" t="s">
        <v>29</v>
      </c>
      <c r="M466" s="74">
        <v>100</v>
      </c>
      <c r="N466" s="1">
        <v>45251</v>
      </c>
    </row>
    <row r="467" spans="1:14" x14ac:dyDescent="0.25">
      <c r="A467" s="8" t="s">
        <v>3776</v>
      </c>
      <c r="C467" t="s">
        <v>135</v>
      </c>
      <c r="D467" t="s">
        <v>539</v>
      </c>
      <c r="E467" t="s">
        <v>540</v>
      </c>
      <c r="F467" t="s">
        <v>550</v>
      </c>
      <c r="G467" s="1">
        <v>45225</v>
      </c>
      <c r="H467" s="1"/>
      <c r="I467" t="s">
        <v>1737</v>
      </c>
      <c r="J467" t="s">
        <v>29</v>
      </c>
      <c r="K467" t="s">
        <v>29</v>
      </c>
      <c r="L467" t="s">
        <v>537</v>
      </c>
      <c r="M467" s="74">
        <v>100</v>
      </c>
      <c r="N467" s="1">
        <v>45289</v>
      </c>
    </row>
    <row r="468" spans="1:14" x14ac:dyDescent="0.25">
      <c r="A468" s="8" t="s">
        <v>3777</v>
      </c>
      <c r="C468" t="s">
        <v>499</v>
      </c>
      <c r="D468" t="s">
        <v>3778</v>
      </c>
      <c r="E468" t="s">
        <v>79</v>
      </c>
      <c r="F468" t="s">
        <v>3779</v>
      </c>
      <c r="G468" s="1">
        <v>45229</v>
      </c>
      <c r="H468" s="1"/>
      <c r="I468" t="s">
        <v>1737</v>
      </c>
      <c r="J468" t="s">
        <v>3494</v>
      </c>
      <c r="K468" t="s">
        <v>29</v>
      </c>
      <c r="L468" t="s">
        <v>639</v>
      </c>
      <c r="M468" s="74" t="s">
        <v>3780</v>
      </c>
      <c r="N468" s="1" t="s">
        <v>3781</v>
      </c>
    </row>
    <row r="469" spans="1:14" x14ac:dyDescent="0.25">
      <c r="A469" s="8" t="s">
        <v>3782</v>
      </c>
      <c r="C469" t="s">
        <v>3783</v>
      </c>
      <c r="D469" t="s">
        <v>3778</v>
      </c>
      <c r="E469" t="s">
        <v>79</v>
      </c>
      <c r="F469" t="s">
        <v>3784</v>
      </c>
      <c r="G469" s="1">
        <v>45244</v>
      </c>
      <c r="H469" s="1"/>
      <c r="I469" t="s">
        <v>1737</v>
      </c>
      <c r="J469" t="s">
        <v>29</v>
      </c>
      <c r="K469" t="s">
        <v>29</v>
      </c>
      <c r="M469" s="74" t="s">
        <v>3785</v>
      </c>
      <c r="N469" s="1" t="s">
        <v>3786</v>
      </c>
    </row>
    <row r="470" spans="1:14" x14ac:dyDescent="0.25">
      <c r="A470" s="8" t="s">
        <v>3787</v>
      </c>
      <c r="B470" t="s">
        <v>3788</v>
      </c>
      <c r="C470" t="s">
        <v>220</v>
      </c>
      <c r="D470" t="s">
        <v>43</v>
      </c>
      <c r="E470" t="s">
        <v>446</v>
      </c>
      <c r="F470" t="s">
        <v>3789</v>
      </c>
      <c r="G470" s="1">
        <v>45231</v>
      </c>
      <c r="H470" s="1"/>
      <c r="I470" t="s">
        <v>3675</v>
      </c>
      <c r="J470" t="s">
        <v>29</v>
      </c>
      <c r="K470" t="s">
        <v>29</v>
      </c>
      <c r="M470" s="74" t="s">
        <v>3790</v>
      </c>
      <c r="N470" s="1"/>
    </row>
    <row r="471" spans="1:14" x14ac:dyDescent="0.25">
      <c r="A471" s="8" t="s">
        <v>3791</v>
      </c>
      <c r="C471" t="s">
        <v>3792</v>
      </c>
      <c r="D471" t="s">
        <v>43</v>
      </c>
      <c r="E471" t="s">
        <v>446</v>
      </c>
      <c r="F471" t="s">
        <v>3793</v>
      </c>
      <c r="G471" s="1">
        <v>45356</v>
      </c>
      <c r="H471" s="1"/>
      <c r="I471" t="s">
        <v>1737</v>
      </c>
      <c r="J471" t="s">
        <v>29</v>
      </c>
      <c r="M471" s="74">
        <v>45358</v>
      </c>
      <c r="N471" s="1">
        <v>100</v>
      </c>
    </row>
    <row r="472" spans="1:14" x14ac:dyDescent="0.25">
      <c r="A472" s="8" t="s">
        <v>3794</v>
      </c>
      <c r="C472" t="s">
        <v>499</v>
      </c>
      <c r="D472" t="s">
        <v>3778</v>
      </c>
      <c r="E472" t="s">
        <v>79</v>
      </c>
      <c r="F472" t="s">
        <v>3795</v>
      </c>
      <c r="G472" s="1">
        <v>45232</v>
      </c>
      <c r="H472" s="1"/>
      <c r="I472" t="s">
        <v>1737</v>
      </c>
      <c r="J472" t="s">
        <v>3494</v>
      </c>
      <c r="L472" t="s">
        <v>641</v>
      </c>
      <c r="M472" s="74" t="s">
        <v>3796</v>
      </c>
      <c r="N472" s="1" t="s">
        <v>3797</v>
      </c>
    </row>
    <row r="473" spans="1:14" x14ac:dyDescent="0.25">
      <c r="A473" s="8" t="s">
        <v>3798</v>
      </c>
      <c r="C473" t="s">
        <v>13</v>
      </c>
      <c r="D473" t="s">
        <v>3778</v>
      </c>
      <c r="E473" t="s">
        <v>79</v>
      </c>
      <c r="F473" t="s">
        <v>3799</v>
      </c>
      <c r="G473" s="1">
        <v>45413</v>
      </c>
      <c r="H473" s="1"/>
      <c r="I473" t="s">
        <v>1737</v>
      </c>
      <c r="J473" t="s">
        <v>29</v>
      </c>
      <c r="L473" t="s">
        <v>3800</v>
      </c>
      <c r="M473" s="74">
        <v>1</v>
      </c>
      <c r="N473" s="1">
        <v>45421</v>
      </c>
    </row>
    <row r="474" spans="1:14" x14ac:dyDescent="0.25">
      <c r="A474" s="8" t="s">
        <v>3801</v>
      </c>
      <c r="C474" t="s">
        <v>3802</v>
      </c>
      <c r="D474" t="s">
        <v>3778</v>
      </c>
      <c r="E474" t="s">
        <v>79</v>
      </c>
      <c r="F474" t="s">
        <v>3803</v>
      </c>
      <c r="G474" s="1">
        <v>45426</v>
      </c>
      <c r="H474" s="1"/>
      <c r="I474" t="s">
        <v>1737</v>
      </c>
      <c r="J474" t="s">
        <v>29</v>
      </c>
      <c r="M474" s="74">
        <v>1</v>
      </c>
      <c r="N474" s="1">
        <v>45450</v>
      </c>
    </row>
    <row r="475" spans="1:14" x14ac:dyDescent="0.25">
      <c r="A475" s="8" t="s">
        <v>3804</v>
      </c>
      <c r="C475" t="s">
        <v>13</v>
      </c>
      <c r="D475" t="s">
        <v>3778</v>
      </c>
      <c r="E475" t="s">
        <v>79</v>
      </c>
      <c r="F475" t="s">
        <v>3805</v>
      </c>
      <c r="G475" s="1">
        <v>45450</v>
      </c>
      <c r="H475" s="1"/>
      <c r="I475" t="s">
        <v>3675</v>
      </c>
      <c r="J475" t="s">
        <v>29</v>
      </c>
      <c r="M475" s="74"/>
      <c r="N475" s="1"/>
    </row>
    <row r="476" spans="1:14" x14ac:dyDescent="0.25">
      <c r="A476" s="8" t="s">
        <v>3806</v>
      </c>
      <c r="C476" t="s">
        <v>13</v>
      </c>
      <c r="D476" t="s">
        <v>3778</v>
      </c>
      <c r="E476" t="s">
        <v>79</v>
      </c>
      <c r="F476" t="s">
        <v>3807</v>
      </c>
      <c r="G476" s="1">
        <v>45450</v>
      </c>
      <c r="H476" s="1"/>
      <c r="I476" t="s">
        <v>1737</v>
      </c>
      <c r="J476" t="s">
        <v>29</v>
      </c>
      <c r="M476" s="74">
        <v>1</v>
      </c>
      <c r="N476" s="1">
        <v>45533</v>
      </c>
    </row>
    <row r="477" spans="1:14" x14ac:dyDescent="0.25">
      <c r="A477" s="8" t="s">
        <v>3808</v>
      </c>
      <c r="C477" t="s">
        <v>13</v>
      </c>
      <c r="D477" t="s">
        <v>3778</v>
      </c>
      <c r="E477" t="s">
        <v>79</v>
      </c>
      <c r="F477" t="s">
        <v>3809</v>
      </c>
      <c r="G477" s="1">
        <v>45474</v>
      </c>
      <c r="H477" s="1"/>
      <c r="I477" t="s">
        <v>1737</v>
      </c>
      <c r="J477" t="s">
        <v>29</v>
      </c>
      <c r="M477" s="74">
        <v>1</v>
      </c>
      <c r="N477" s="1">
        <v>45534</v>
      </c>
    </row>
    <row r="478" spans="1:14" x14ac:dyDescent="0.25">
      <c r="A478" s="8" t="s">
        <v>3810</v>
      </c>
      <c r="C478" t="s">
        <v>13</v>
      </c>
      <c r="D478" t="s">
        <v>3778</v>
      </c>
      <c r="E478" t="s">
        <v>79</v>
      </c>
      <c r="F478" t="s">
        <v>3811</v>
      </c>
      <c r="G478" s="1">
        <v>45481</v>
      </c>
      <c r="H478" s="1"/>
      <c r="I478" t="s">
        <v>1737</v>
      </c>
      <c r="J478" t="s">
        <v>29</v>
      </c>
      <c r="M478" s="74">
        <v>1</v>
      </c>
      <c r="N478" s="1">
        <v>45533</v>
      </c>
    </row>
    <row r="479" spans="1:14" x14ac:dyDescent="0.25">
      <c r="A479" s="8" t="s">
        <v>3812</v>
      </c>
      <c r="C479" t="s">
        <v>13</v>
      </c>
      <c r="D479" t="s">
        <v>3778</v>
      </c>
      <c r="E479" t="s">
        <v>79</v>
      </c>
      <c r="F479" t="s">
        <v>3813</v>
      </c>
      <c r="G479" s="1">
        <v>45533</v>
      </c>
      <c r="H479" s="1"/>
      <c r="I479" t="s">
        <v>1737</v>
      </c>
      <c r="J479" t="s">
        <v>29</v>
      </c>
      <c r="M479" s="74">
        <v>1</v>
      </c>
      <c r="N479" s="1">
        <v>45596</v>
      </c>
    </row>
    <row r="480" spans="1:14" x14ac:dyDescent="0.25">
      <c r="A480" s="8" t="s">
        <v>3814</v>
      </c>
      <c r="C480" t="s">
        <v>13</v>
      </c>
      <c r="D480" t="s">
        <v>3778</v>
      </c>
      <c r="E480" t="s">
        <v>79</v>
      </c>
      <c r="F480" t="s">
        <v>3815</v>
      </c>
      <c r="G480" s="1">
        <v>45558</v>
      </c>
      <c r="H480" s="1"/>
      <c r="I480" t="s">
        <v>1737</v>
      </c>
      <c r="J480" t="s">
        <v>29</v>
      </c>
      <c r="M480" s="74">
        <v>1</v>
      </c>
      <c r="N480" s="1">
        <v>45596</v>
      </c>
    </row>
    <row r="481" spans="1:14" x14ac:dyDescent="0.25">
      <c r="A481" s="8" t="s">
        <v>3816</v>
      </c>
      <c r="C481" t="s">
        <v>13</v>
      </c>
      <c r="D481" t="s">
        <v>3778</v>
      </c>
      <c r="E481" t="s">
        <v>79</v>
      </c>
      <c r="F481" t="s">
        <v>3817</v>
      </c>
      <c r="G481" s="1">
        <v>45572</v>
      </c>
      <c r="H481" s="1"/>
      <c r="I481" t="s">
        <v>1737</v>
      </c>
      <c r="J481" t="s">
        <v>29</v>
      </c>
      <c r="M481" s="74">
        <v>1</v>
      </c>
      <c r="N481" s="1">
        <v>45582</v>
      </c>
    </row>
    <row r="482" spans="1:14" x14ac:dyDescent="0.25">
      <c r="A482" s="8" t="s">
        <v>3818</v>
      </c>
      <c r="C482" t="s">
        <v>13</v>
      </c>
      <c r="D482" t="s">
        <v>3778</v>
      </c>
      <c r="E482" t="s">
        <v>79</v>
      </c>
      <c r="F482" t="s">
        <v>3819</v>
      </c>
      <c r="G482" s="1">
        <v>45583</v>
      </c>
      <c r="H482" s="1"/>
      <c r="I482" t="s">
        <v>1737</v>
      </c>
      <c r="J482" t="s">
        <v>29</v>
      </c>
      <c r="M482" s="74">
        <v>1</v>
      </c>
      <c r="N482" s="1">
        <v>45614</v>
      </c>
    </row>
    <row r="483" spans="1:14" x14ac:dyDescent="0.25">
      <c r="A483" s="8" t="s">
        <v>3820</v>
      </c>
      <c r="C483" t="s">
        <v>13</v>
      </c>
      <c r="D483" t="s">
        <v>3778</v>
      </c>
      <c r="E483" t="s">
        <v>79</v>
      </c>
      <c r="F483" t="s">
        <v>3821</v>
      </c>
      <c r="G483" s="1">
        <v>45594</v>
      </c>
      <c r="H483" s="1"/>
      <c r="I483" t="s">
        <v>1737</v>
      </c>
      <c r="J483" t="s">
        <v>29</v>
      </c>
      <c r="M483" s="74">
        <v>1</v>
      </c>
      <c r="N483" s="1">
        <v>44560</v>
      </c>
    </row>
    <row r="484" spans="1:14" x14ac:dyDescent="0.25">
      <c r="A484" s="8" t="s">
        <v>3822</v>
      </c>
      <c r="C484" t="s">
        <v>13</v>
      </c>
      <c r="D484" t="s">
        <v>3778</v>
      </c>
      <c r="E484" t="s">
        <v>79</v>
      </c>
      <c r="F484" t="s">
        <v>3823</v>
      </c>
      <c r="G484" s="1">
        <v>45686</v>
      </c>
      <c r="H484" s="1"/>
      <c r="I484" t="s">
        <v>1737</v>
      </c>
      <c r="J484" t="s">
        <v>29</v>
      </c>
      <c r="L484" t="s">
        <v>1202</v>
      </c>
      <c r="M484" s="74">
        <v>100</v>
      </c>
      <c r="N484" s="1">
        <v>45856</v>
      </c>
    </row>
    <row r="485" spans="1:14" x14ac:dyDescent="0.25">
      <c r="A485" s="8" t="s">
        <v>3824</v>
      </c>
      <c r="C485" t="s">
        <v>13</v>
      </c>
      <c r="D485" t="s">
        <v>3778</v>
      </c>
      <c r="E485" t="s">
        <v>79</v>
      </c>
      <c r="F485" t="s">
        <v>3825</v>
      </c>
      <c r="G485" s="1">
        <v>45730</v>
      </c>
      <c r="H485" s="1"/>
      <c r="I485" t="s">
        <v>1737</v>
      </c>
      <c r="J485" t="s">
        <v>29</v>
      </c>
      <c r="M485" s="74">
        <v>100</v>
      </c>
      <c r="N485" s="1">
        <v>45856</v>
      </c>
    </row>
    <row r="486" spans="1:14" x14ac:dyDescent="0.25">
      <c r="A486" s="8" t="s">
        <v>3826</v>
      </c>
      <c r="C486" t="s">
        <v>13</v>
      </c>
      <c r="D486" t="s">
        <v>3778</v>
      </c>
      <c r="E486" t="s">
        <v>79</v>
      </c>
      <c r="F486" t="s">
        <v>3827</v>
      </c>
      <c r="G486" s="1">
        <v>45772</v>
      </c>
      <c r="H486" s="1"/>
      <c r="I486" t="s">
        <v>1737</v>
      </c>
      <c r="J486" t="s">
        <v>29</v>
      </c>
      <c r="M486" s="74">
        <v>100</v>
      </c>
      <c r="N486" s="1">
        <v>45856</v>
      </c>
    </row>
    <row r="487" spans="1:14" x14ac:dyDescent="0.25">
      <c r="A487" s="8" t="s">
        <v>3828</v>
      </c>
      <c r="C487" t="s">
        <v>325</v>
      </c>
      <c r="D487" t="s">
        <v>1494</v>
      </c>
      <c r="E487" t="s">
        <v>254</v>
      </c>
      <c r="F487" t="s">
        <v>3829</v>
      </c>
      <c r="G487" s="1">
        <v>45229</v>
      </c>
      <c r="H487" s="1"/>
      <c r="I487" t="s">
        <v>1737</v>
      </c>
      <c r="J487" t="s">
        <v>29</v>
      </c>
      <c r="M487" s="74"/>
      <c r="N487" s="1"/>
    </row>
    <row r="488" spans="1:14" x14ac:dyDescent="0.25">
      <c r="A488" s="8" t="s">
        <v>3830</v>
      </c>
      <c r="C488" t="s">
        <v>325</v>
      </c>
      <c r="D488" t="s">
        <v>1494</v>
      </c>
      <c r="E488" t="s">
        <v>254</v>
      </c>
      <c r="F488" t="s">
        <v>3831</v>
      </c>
      <c r="G488" s="1">
        <v>45229</v>
      </c>
      <c r="H488" s="1"/>
      <c r="I488" t="s">
        <v>1737</v>
      </c>
      <c r="J488" t="s">
        <v>29</v>
      </c>
      <c r="M488" s="74"/>
      <c r="N488" s="1"/>
    </row>
    <row r="489" spans="1:14" x14ac:dyDescent="0.25">
      <c r="A489" s="8" t="s">
        <v>3832</v>
      </c>
      <c r="B489" t="s">
        <v>3833</v>
      </c>
      <c r="C489" t="s">
        <v>176</v>
      </c>
      <c r="D489" t="s">
        <v>1922</v>
      </c>
      <c r="E489" t="s">
        <v>3834</v>
      </c>
      <c r="F489" t="s">
        <v>3835</v>
      </c>
      <c r="G489" s="1">
        <v>45240</v>
      </c>
      <c r="H489" s="1"/>
      <c r="I489" t="s">
        <v>1737</v>
      </c>
      <c r="J489" t="s">
        <v>29</v>
      </c>
      <c r="K489" t="s">
        <v>18</v>
      </c>
      <c r="M489" s="74">
        <v>100</v>
      </c>
      <c r="N489" s="1">
        <v>45323</v>
      </c>
    </row>
    <row r="490" spans="1:14" x14ac:dyDescent="0.25">
      <c r="A490" s="8" t="s">
        <v>3836</v>
      </c>
      <c r="C490" t="s">
        <v>3554</v>
      </c>
      <c r="D490" t="s">
        <v>3837</v>
      </c>
      <c r="E490" t="s">
        <v>111</v>
      </c>
      <c r="F490" t="s">
        <v>3838</v>
      </c>
      <c r="G490" s="1">
        <v>45243</v>
      </c>
      <c r="H490" s="1"/>
      <c r="I490" t="s">
        <v>1737</v>
      </c>
      <c r="J490" t="s">
        <v>29</v>
      </c>
      <c r="K490" t="s">
        <v>29</v>
      </c>
      <c r="M490" s="74">
        <v>100</v>
      </c>
      <c r="N490" s="1">
        <v>45258</v>
      </c>
    </row>
    <row r="491" spans="1:14" x14ac:dyDescent="0.25">
      <c r="A491" s="8" t="s">
        <v>3839</v>
      </c>
      <c r="C491" t="s">
        <v>474</v>
      </c>
      <c r="G491" s="1"/>
      <c r="H491" s="1"/>
      <c r="M491" s="74"/>
      <c r="N491" s="1"/>
    </row>
    <row r="492" spans="1:14" x14ac:dyDescent="0.25">
      <c r="A492" s="8" t="s">
        <v>3833</v>
      </c>
      <c r="B492" t="s">
        <v>3840</v>
      </c>
      <c r="C492" t="s">
        <v>325</v>
      </c>
      <c r="D492" t="s">
        <v>3841</v>
      </c>
      <c r="E492" t="s">
        <v>3842</v>
      </c>
      <c r="F492" t="s">
        <v>3843</v>
      </c>
      <c r="G492" s="1">
        <v>45250</v>
      </c>
      <c r="H492" s="1"/>
      <c r="I492" t="s">
        <v>1737</v>
      </c>
      <c r="J492" t="s">
        <v>29</v>
      </c>
      <c r="K492" t="s">
        <v>29</v>
      </c>
      <c r="M492" s="74">
        <v>100</v>
      </c>
      <c r="N492" s="1" t="s">
        <v>3844</v>
      </c>
    </row>
    <row r="493" spans="1:14" x14ac:dyDescent="0.25">
      <c r="A493" s="8" t="s">
        <v>3845</v>
      </c>
      <c r="C493" t="s">
        <v>325</v>
      </c>
      <c r="D493" t="s">
        <v>1494</v>
      </c>
      <c r="E493" t="s">
        <v>254</v>
      </c>
      <c r="F493" t="s">
        <v>3846</v>
      </c>
      <c r="G493" s="1">
        <v>45247</v>
      </c>
      <c r="H493" s="1"/>
      <c r="I493" t="s">
        <v>1737</v>
      </c>
      <c r="J493" t="s">
        <v>29</v>
      </c>
      <c r="K493" t="s">
        <v>29</v>
      </c>
      <c r="M493" s="74">
        <v>100</v>
      </c>
      <c r="N493" s="1">
        <v>45257</v>
      </c>
    </row>
    <row r="494" spans="1:14" x14ac:dyDescent="0.25">
      <c r="A494" s="8" t="s">
        <v>3847</v>
      </c>
      <c r="C494" t="s">
        <v>325</v>
      </c>
      <c r="D494" t="s">
        <v>539</v>
      </c>
      <c r="F494" t="s">
        <v>3848</v>
      </c>
      <c r="G494" s="1">
        <v>45255</v>
      </c>
      <c r="H494" s="1"/>
      <c r="I494" t="s">
        <v>1737</v>
      </c>
      <c r="J494" t="s">
        <v>29</v>
      </c>
      <c r="M494" s="74">
        <v>100</v>
      </c>
      <c r="N494" s="1">
        <v>45289</v>
      </c>
    </row>
    <row r="495" spans="1:14" x14ac:dyDescent="0.25">
      <c r="A495" s="8" t="s">
        <v>3849</v>
      </c>
      <c r="C495" t="s">
        <v>325</v>
      </c>
      <c r="D495" t="s">
        <v>778</v>
      </c>
      <c r="F495" t="s">
        <v>3850</v>
      </c>
      <c r="G495" s="1">
        <v>45274</v>
      </c>
      <c r="H495" s="1"/>
      <c r="I495" t="s">
        <v>1737</v>
      </c>
      <c r="J495" t="s">
        <v>29</v>
      </c>
      <c r="K495" t="s">
        <v>29</v>
      </c>
      <c r="M495" s="74">
        <v>100</v>
      </c>
      <c r="N495" s="1">
        <v>45412</v>
      </c>
    </row>
    <row r="496" spans="1:14" x14ac:dyDescent="0.25">
      <c r="A496" s="8" t="s">
        <v>3851</v>
      </c>
      <c r="B496">
        <v>3009</v>
      </c>
      <c r="C496" t="s">
        <v>773</v>
      </c>
      <c r="D496" t="s">
        <v>3852</v>
      </c>
      <c r="E496" t="s">
        <v>111</v>
      </c>
      <c r="F496" t="s">
        <v>3853</v>
      </c>
      <c r="G496" s="1">
        <v>45271</v>
      </c>
      <c r="H496" s="1"/>
      <c r="I496" t="s">
        <v>1737</v>
      </c>
      <c r="J496" t="s">
        <v>29</v>
      </c>
      <c r="K496" t="s">
        <v>29</v>
      </c>
      <c r="L496" t="s">
        <v>3854</v>
      </c>
      <c r="M496" s="74">
        <v>100</v>
      </c>
      <c r="N496" s="1">
        <v>45435</v>
      </c>
    </row>
    <row r="497" spans="1:14" x14ac:dyDescent="0.25">
      <c r="A497" s="8" t="s">
        <v>3855</v>
      </c>
      <c r="B497" t="s">
        <v>3856</v>
      </c>
      <c r="C497" t="s">
        <v>3554</v>
      </c>
      <c r="D497" t="s">
        <v>3857</v>
      </c>
      <c r="E497" t="s">
        <v>633</v>
      </c>
      <c r="F497" t="s">
        <v>3858</v>
      </c>
      <c r="G497" s="1">
        <v>45292</v>
      </c>
      <c r="H497" s="1"/>
      <c r="I497" t="s">
        <v>2952</v>
      </c>
      <c r="J497" t="s">
        <v>29</v>
      </c>
      <c r="M497" s="74"/>
      <c r="N497" s="1"/>
    </row>
    <row r="498" spans="1:14" x14ac:dyDescent="0.25">
      <c r="A498" s="8" t="s">
        <v>3859</v>
      </c>
      <c r="B498" t="s">
        <v>3860</v>
      </c>
      <c r="C498" t="s">
        <v>3554</v>
      </c>
      <c r="D498" t="s">
        <v>2893</v>
      </c>
      <c r="F498" t="s">
        <v>3861</v>
      </c>
      <c r="G498" s="1">
        <v>45292</v>
      </c>
      <c r="H498" s="1"/>
      <c r="I498" t="s">
        <v>2952</v>
      </c>
      <c r="J498" t="s">
        <v>29</v>
      </c>
      <c r="M498" s="74"/>
      <c r="N498" s="1"/>
    </row>
    <row r="499" spans="1:14" x14ac:dyDescent="0.25">
      <c r="A499" s="8" t="s">
        <v>3862</v>
      </c>
      <c r="C499" t="s">
        <v>325</v>
      </c>
      <c r="D499" t="s">
        <v>3863</v>
      </c>
      <c r="G499" s="1">
        <v>45300</v>
      </c>
      <c r="H499" s="1"/>
      <c r="I499" t="s">
        <v>2952</v>
      </c>
      <c r="J499" t="s">
        <v>3864</v>
      </c>
      <c r="M499" s="74"/>
      <c r="N499" s="1"/>
    </row>
    <row r="500" spans="1:14" x14ac:dyDescent="0.25">
      <c r="A500" s="8" t="s">
        <v>3865</v>
      </c>
      <c r="C500" t="s">
        <v>167</v>
      </c>
      <c r="D500" t="s">
        <v>411</v>
      </c>
      <c r="E500" t="s">
        <v>817</v>
      </c>
      <c r="F500" t="s">
        <v>3866</v>
      </c>
      <c r="G500" s="1">
        <v>45306</v>
      </c>
      <c r="H500" s="1"/>
      <c r="I500" t="s">
        <v>1737</v>
      </c>
      <c r="J500" t="s">
        <v>29</v>
      </c>
      <c r="K500" t="s">
        <v>3494</v>
      </c>
      <c r="L500" t="s">
        <v>399</v>
      </c>
      <c r="M500" s="74">
        <v>100</v>
      </c>
      <c r="N500" s="1">
        <v>45412</v>
      </c>
    </row>
    <row r="501" spans="1:14" x14ac:dyDescent="0.25">
      <c r="A501" s="8" t="s">
        <v>3867</v>
      </c>
      <c r="C501" t="s">
        <v>3554</v>
      </c>
      <c r="D501" t="s">
        <v>3868</v>
      </c>
      <c r="E501" t="s">
        <v>232</v>
      </c>
      <c r="F501" t="s">
        <v>3869</v>
      </c>
      <c r="G501" s="1">
        <v>45307</v>
      </c>
      <c r="H501" s="1"/>
      <c r="I501" t="s">
        <v>1737</v>
      </c>
      <c r="J501" t="s">
        <v>29</v>
      </c>
      <c r="K501" t="s">
        <v>29</v>
      </c>
      <c r="M501" s="74">
        <v>100</v>
      </c>
      <c r="N501" s="1">
        <v>45443</v>
      </c>
    </row>
    <row r="502" spans="1:14" x14ac:dyDescent="0.25">
      <c r="A502" s="8" t="s">
        <v>3870</v>
      </c>
      <c r="C502" t="s">
        <v>3554</v>
      </c>
      <c r="D502" t="s">
        <v>3868</v>
      </c>
      <c r="E502" t="s">
        <v>232</v>
      </c>
      <c r="F502" t="s">
        <v>3871</v>
      </c>
      <c r="G502" s="1">
        <v>45307</v>
      </c>
      <c r="H502" s="1"/>
      <c r="I502" t="s">
        <v>1737</v>
      </c>
      <c r="J502" t="s">
        <v>29</v>
      </c>
      <c r="K502" t="s">
        <v>29</v>
      </c>
      <c r="M502" s="74">
        <v>100</v>
      </c>
      <c r="N502" s="1">
        <v>45443</v>
      </c>
    </row>
    <row r="503" spans="1:14" x14ac:dyDescent="0.25">
      <c r="A503" s="8" t="s">
        <v>3872</v>
      </c>
      <c r="C503" t="s">
        <v>3554</v>
      </c>
      <c r="D503" t="s">
        <v>3868</v>
      </c>
      <c r="E503" t="s">
        <v>232</v>
      </c>
      <c r="F503" t="s">
        <v>3869</v>
      </c>
      <c r="G503" s="1">
        <v>45309</v>
      </c>
      <c r="H503" s="1"/>
      <c r="I503" t="s">
        <v>1737</v>
      </c>
      <c r="J503" t="s">
        <v>29</v>
      </c>
      <c r="K503" t="s">
        <v>29</v>
      </c>
      <c r="M503" s="74">
        <v>100</v>
      </c>
      <c r="N503" s="1">
        <v>45443</v>
      </c>
    </row>
    <row r="504" spans="1:14" x14ac:dyDescent="0.25">
      <c r="A504" s="8" t="s">
        <v>3873</v>
      </c>
      <c r="C504" t="s">
        <v>24</v>
      </c>
      <c r="D504" t="s">
        <v>3868</v>
      </c>
      <c r="E504" t="s">
        <v>232</v>
      </c>
      <c r="F504" t="s">
        <v>3874</v>
      </c>
      <c r="G504" s="1">
        <v>45315</v>
      </c>
      <c r="H504" s="1"/>
      <c r="I504" t="s">
        <v>1737</v>
      </c>
      <c r="J504" t="s">
        <v>29</v>
      </c>
      <c r="K504" t="s">
        <v>29</v>
      </c>
      <c r="M504" s="74">
        <v>100</v>
      </c>
      <c r="N504" s="1">
        <v>45443</v>
      </c>
    </row>
    <row r="505" spans="1:14" x14ac:dyDescent="0.25">
      <c r="A505" s="8" t="s">
        <v>3875</v>
      </c>
      <c r="C505" t="s">
        <v>24</v>
      </c>
      <c r="D505" t="s">
        <v>3868</v>
      </c>
      <c r="E505" t="s">
        <v>232</v>
      </c>
      <c r="F505" t="s">
        <v>3874</v>
      </c>
      <c r="G505" s="1">
        <v>45355</v>
      </c>
      <c r="H505" s="1"/>
      <c r="I505" t="s">
        <v>1737</v>
      </c>
      <c r="J505" t="s">
        <v>29</v>
      </c>
      <c r="K505" t="s">
        <v>29</v>
      </c>
      <c r="M505" s="74">
        <v>100</v>
      </c>
      <c r="N505" s="1">
        <v>45443</v>
      </c>
    </row>
    <row r="506" spans="1:14" x14ac:dyDescent="0.25">
      <c r="A506" s="8" t="s">
        <v>3876</v>
      </c>
      <c r="C506" t="s">
        <v>24</v>
      </c>
      <c r="D506" t="s">
        <v>3868</v>
      </c>
      <c r="E506" t="s">
        <v>232</v>
      </c>
      <c r="F506" t="s">
        <v>3874</v>
      </c>
      <c r="G506" s="1">
        <v>45369</v>
      </c>
      <c r="H506" s="1"/>
      <c r="I506" t="s">
        <v>1737</v>
      </c>
      <c r="J506" t="s">
        <v>29</v>
      </c>
      <c r="K506" t="s">
        <v>29</v>
      </c>
      <c r="M506" s="74">
        <v>100</v>
      </c>
      <c r="N506" s="1">
        <v>45443</v>
      </c>
    </row>
    <row r="507" spans="1:14" x14ac:dyDescent="0.25">
      <c r="A507" s="8" t="s">
        <v>3877</v>
      </c>
      <c r="C507" t="s">
        <v>24</v>
      </c>
      <c r="D507" t="s">
        <v>3868</v>
      </c>
      <c r="E507" t="s">
        <v>232</v>
      </c>
      <c r="F507" t="s">
        <v>3874</v>
      </c>
      <c r="G507" s="1">
        <v>45376</v>
      </c>
      <c r="H507" s="1"/>
      <c r="I507" t="s">
        <v>1737</v>
      </c>
      <c r="J507" t="s">
        <v>29</v>
      </c>
      <c r="K507" t="s">
        <v>29</v>
      </c>
      <c r="M507" s="74">
        <v>100</v>
      </c>
      <c r="N507" s="1">
        <v>45443</v>
      </c>
    </row>
    <row r="508" spans="1:14" x14ac:dyDescent="0.25">
      <c r="A508" s="8" t="s">
        <v>3878</v>
      </c>
      <c r="C508" t="s">
        <v>773</v>
      </c>
      <c r="D508" t="s">
        <v>3879</v>
      </c>
      <c r="E508" t="s">
        <v>3880</v>
      </c>
      <c r="F508" t="s">
        <v>3881</v>
      </c>
      <c r="G508" s="1">
        <v>45309</v>
      </c>
      <c r="H508" s="1"/>
      <c r="I508" t="s">
        <v>1737</v>
      </c>
      <c r="J508" t="s">
        <v>29</v>
      </c>
      <c r="K508" t="s">
        <v>29</v>
      </c>
      <c r="M508" s="74">
        <v>100</v>
      </c>
      <c r="N508" s="1">
        <v>45314</v>
      </c>
    </row>
    <row r="509" spans="1:14" x14ac:dyDescent="0.25">
      <c r="A509" s="8" t="s">
        <v>3882</v>
      </c>
      <c r="C509" t="s">
        <v>325</v>
      </c>
      <c r="D509" t="s">
        <v>903</v>
      </c>
      <c r="E509" t="s">
        <v>3883</v>
      </c>
      <c r="F509" t="s">
        <v>3884</v>
      </c>
      <c r="G509" s="1">
        <v>45309</v>
      </c>
      <c r="H509" s="1"/>
      <c r="I509" t="s">
        <v>1737</v>
      </c>
      <c r="J509" t="s">
        <v>29</v>
      </c>
      <c r="K509" t="s">
        <v>29</v>
      </c>
      <c r="M509" s="74">
        <v>100</v>
      </c>
      <c r="N509" s="1">
        <v>45506</v>
      </c>
    </row>
    <row r="510" spans="1:14" x14ac:dyDescent="0.25">
      <c r="A510" s="8" t="s">
        <v>3885</v>
      </c>
      <c r="C510" t="s">
        <v>13</v>
      </c>
      <c r="D510" t="s">
        <v>903</v>
      </c>
      <c r="E510" t="s">
        <v>3883</v>
      </c>
      <c r="F510" t="s">
        <v>3886</v>
      </c>
      <c r="G510" s="1">
        <v>45436</v>
      </c>
      <c r="H510" s="1"/>
      <c r="I510" t="s">
        <v>1737</v>
      </c>
      <c r="J510" t="s">
        <v>29</v>
      </c>
      <c r="K510" t="s">
        <v>18</v>
      </c>
      <c r="M510" s="74">
        <v>100</v>
      </c>
      <c r="N510" s="1">
        <v>45462</v>
      </c>
    </row>
    <row r="511" spans="1:14" x14ac:dyDescent="0.25">
      <c r="A511" s="8" t="s">
        <v>3887</v>
      </c>
      <c r="C511" t="s">
        <v>13</v>
      </c>
      <c r="D511" t="s">
        <v>903</v>
      </c>
      <c r="E511" t="s">
        <v>3883</v>
      </c>
      <c r="F511" t="s">
        <v>3888</v>
      </c>
      <c r="G511" s="1">
        <v>45436</v>
      </c>
      <c r="H511" s="1"/>
      <c r="I511" t="s">
        <v>1737</v>
      </c>
      <c r="J511" t="s">
        <v>29</v>
      </c>
      <c r="K511" t="s">
        <v>18</v>
      </c>
      <c r="M511" s="74">
        <v>100</v>
      </c>
      <c r="N511" s="1">
        <v>45552</v>
      </c>
    </row>
    <row r="512" spans="1:14" x14ac:dyDescent="0.25">
      <c r="A512" s="8" t="s">
        <v>3889</v>
      </c>
      <c r="C512" t="s">
        <v>13</v>
      </c>
      <c r="D512" t="s">
        <v>903</v>
      </c>
      <c r="E512" t="s">
        <v>3883</v>
      </c>
      <c r="F512" t="s">
        <v>3890</v>
      </c>
      <c r="G512" s="1">
        <v>155046</v>
      </c>
      <c r="H512" s="1"/>
      <c r="I512" t="s">
        <v>1737</v>
      </c>
      <c r="J512" t="s">
        <v>29</v>
      </c>
      <c r="K512" t="s">
        <v>29</v>
      </c>
      <c r="M512" s="74">
        <v>100</v>
      </c>
      <c r="N512" s="1">
        <v>45552</v>
      </c>
    </row>
    <row r="513" spans="1:15" x14ac:dyDescent="0.25">
      <c r="A513" s="8" t="s">
        <v>3891</v>
      </c>
      <c r="C513" t="s">
        <v>13</v>
      </c>
      <c r="D513" t="s">
        <v>903</v>
      </c>
      <c r="E513" t="s">
        <v>3883</v>
      </c>
      <c r="F513" t="s">
        <v>3892</v>
      </c>
      <c r="G513" s="1">
        <v>45495</v>
      </c>
      <c r="H513" s="1"/>
      <c r="I513" t="s">
        <v>1737</v>
      </c>
      <c r="J513" t="s">
        <v>29</v>
      </c>
      <c r="K513" t="s">
        <v>29</v>
      </c>
      <c r="M513" s="74">
        <v>100</v>
      </c>
      <c r="N513" s="1">
        <v>45506</v>
      </c>
    </row>
    <row r="514" spans="1:15" x14ac:dyDescent="0.25">
      <c r="A514" s="8" t="s">
        <v>3893</v>
      </c>
      <c r="C514" t="s">
        <v>13</v>
      </c>
      <c r="D514" t="s">
        <v>903</v>
      </c>
      <c r="E514" t="s">
        <v>3883</v>
      </c>
      <c r="F514" t="s">
        <v>3894</v>
      </c>
      <c r="G514" s="1">
        <v>45474</v>
      </c>
      <c r="H514" s="1"/>
      <c r="I514" t="s">
        <v>1737</v>
      </c>
      <c r="J514" t="s">
        <v>29</v>
      </c>
      <c r="K514" t="s">
        <v>29</v>
      </c>
      <c r="M514" s="74">
        <v>100</v>
      </c>
      <c r="N514" s="1">
        <v>45559</v>
      </c>
    </row>
    <row r="515" spans="1:15" x14ac:dyDescent="0.25">
      <c r="A515" s="8" t="s">
        <v>3895</v>
      </c>
      <c r="C515" t="s">
        <v>13</v>
      </c>
      <c r="D515" t="s">
        <v>903</v>
      </c>
      <c r="E515" t="s">
        <v>3883</v>
      </c>
      <c r="F515" t="s">
        <v>3896</v>
      </c>
      <c r="G515" s="1">
        <v>45551</v>
      </c>
      <c r="H515" s="1"/>
      <c r="I515" t="s">
        <v>1737</v>
      </c>
      <c r="J515" t="s">
        <v>29</v>
      </c>
      <c r="K515" t="s">
        <v>29</v>
      </c>
      <c r="M515" s="74">
        <v>100</v>
      </c>
      <c r="N515" s="1">
        <v>45559</v>
      </c>
    </row>
    <row r="516" spans="1:15" x14ac:dyDescent="0.25">
      <c r="A516" s="8" t="s">
        <v>3897</v>
      </c>
      <c r="C516" t="s">
        <v>3898</v>
      </c>
      <c r="D516" t="s">
        <v>177</v>
      </c>
      <c r="E516" t="s">
        <v>1299</v>
      </c>
      <c r="F516" t="s">
        <v>3899</v>
      </c>
      <c r="G516" s="1">
        <v>45309</v>
      </c>
      <c r="H516" s="1"/>
      <c r="I516" t="s">
        <v>1737</v>
      </c>
      <c r="J516" t="s">
        <v>29</v>
      </c>
      <c r="K516" t="s">
        <v>29</v>
      </c>
      <c r="M516" s="74">
        <v>1</v>
      </c>
      <c r="N516" s="1" t="s">
        <v>3900</v>
      </c>
    </row>
    <row r="517" spans="1:15" x14ac:dyDescent="0.25">
      <c r="A517" s="8" t="s">
        <v>3901</v>
      </c>
      <c r="C517" t="s">
        <v>825</v>
      </c>
      <c r="D517" t="s">
        <v>43</v>
      </c>
      <c r="E517" t="s">
        <v>3721</v>
      </c>
      <c r="F517" t="s">
        <v>3902</v>
      </c>
      <c r="G517" s="1">
        <v>45293</v>
      </c>
      <c r="H517" s="1"/>
      <c r="I517" t="s">
        <v>1737</v>
      </c>
      <c r="J517" t="s">
        <v>29</v>
      </c>
      <c r="K517" t="s">
        <v>29</v>
      </c>
      <c r="M517" s="74">
        <v>100</v>
      </c>
      <c r="N517" s="1" t="s">
        <v>3903</v>
      </c>
    </row>
    <row r="518" spans="1:15" x14ac:dyDescent="0.25">
      <c r="A518" s="8" t="s">
        <v>3904</v>
      </c>
      <c r="B518" t="s">
        <v>3905</v>
      </c>
      <c r="C518" t="s">
        <v>474</v>
      </c>
      <c r="D518" t="s">
        <v>3906</v>
      </c>
      <c r="E518" t="s">
        <v>3907</v>
      </c>
      <c r="F518" t="s">
        <v>3908</v>
      </c>
      <c r="G518" s="1">
        <v>45310</v>
      </c>
      <c r="H518" s="1"/>
      <c r="I518" t="s">
        <v>1737</v>
      </c>
      <c r="J518" t="s">
        <v>3494</v>
      </c>
      <c r="M518" s="74">
        <v>100</v>
      </c>
      <c r="N518" s="1">
        <v>45455</v>
      </c>
    </row>
    <row r="519" spans="1:15" x14ac:dyDescent="0.25">
      <c r="A519" s="8" t="s">
        <v>3905</v>
      </c>
      <c r="C519" t="s">
        <v>3909</v>
      </c>
      <c r="D519" t="s">
        <v>3906</v>
      </c>
      <c r="E519" t="s">
        <v>3907</v>
      </c>
      <c r="F519" t="s">
        <v>3910</v>
      </c>
      <c r="G519" s="1">
        <v>45315</v>
      </c>
      <c r="H519" s="1"/>
      <c r="I519" t="s">
        <v>3675</v>
      </c>
      <c r="J519" t="s">
        <v>29</v>
      </c>
      <c r="M519" s="74"/>
      <c r="N519" s="1">
        <v>45455</v>
      </c>
      <c r="O519" t="s">
        <v>3911</v>
      </c>
    </row>
    <row r="520" spans="1:15" x14ac:dyDescent="0.25">
      <c r="A520" s="8" t="s">
        <v>3912</v>
      </c>
      <c r="C520" t="s">
        <v>13</v>
      </c>
      <c r="D520" t="s">
        <v>247</v>
      </c>
      <c r="E520" t="s">
        <v>1313</v>
      </c>
      <c r="F520" t="s">
        <v>3913</v>
      </c>
      <c r="G520" s="1">
        <v>45313</v>
      </c>
      <c r="H520" s="1">
        <v>45566</v>
      </c>
      <c r="I520" t="s">
        <v>3493</v>
      </c>
      <c r="J520" t="s">
        <v>29</v>
      </c>
      <c r="K520" t="s">
        <v>29</v>
      </c>
      <c r="L520" t="s">
        <v>676</v>
      </c>
      <c r="M520" s="74">
        <v>0.9</v>
      </c>
      <c r="N520" s="1" t="s">
        <v>3914</v>
      </c>
    </row>
    <row r="521" spans="1:15" x14ac:dyDescent="0.25">
      <c r="A521" s="8" t="s">
        <v>3915</v>
      </c>
      <c r="C521" t="s">
        <v>1920</v>
      </c>
      <c r="D521" t="s">
        <v>247</v>
      </c>
      <c r="E521" t="s">
        <v>1313</v>
      </c>
      <c r="F521" t="s">
        <v>3916</v>
      </c>
      <c r="G521" s="1">
        <v>45580</v>
      </c>
      <c r="H521" s="1"/>
      <c r="I521" t="s">
        <v>1737</v>
      </c>
      <c r="J521" t="s">
        <v>29</v>
      </c>
      <c r="M521" s="74">
        <v>1</v>
      </c>
      <c r="N521" s="1">
        <v>45644</v>
      </c>
    </row>
    <row r="522" spans="1:15" x14ac:dyDescent="0.25">
      <c r="A522" s="8" t="s">
        <v>3917</v>
      </c>
      <c r="C522" t="s">
        <v>1920</v>
      </c>
      <c r="D522" t="s">
        <v>247</v>
      </c>
      <c r="E522" t="s">
        <v>1313</v>
      </c>
      <c r="F522" t="s">
        <v>3918</v>
      </c>
      <c r="G522" s="1">
        <v>45580</v>
      </c>
      <c r="H522" s="1"/>
      <c r="I522" t="s">
        <v>1737</v>
      </c>
      <c r="J522" t="s">
        <v>29</v>
      </c>
      <c r="M522" s="74">
        <v>1</v>
      </c>
      <c r="N522" s="1">
        <v>45642</v>
      </c>
    </row>
    <row r="523" spans="1:15" x14ac:dyDescent="0.25">
      <c r="A523" s="8" t="s">
        <v>3919</v>
      </c>
      <c r="C523" t="s">
        <v>13</v>
      </c>
      <c r="D523" t="s">
        <v>247</v>
      </c>
      <c r="E523" t="s">
        <v>1313</v>
      </c>
      <c r="F523" t="s">
        <v>3920</v>
      </c>
      <c r="G523" s="1">
        <v>45590</v>
      </c>
      <c r="H523" s="1"/>
      <c r="I523" t="s">
        <v>1737</v>
      </c>
      <c r="J523" t="s">
        <v>29</v>
      </c>
      <c r="M523" s="74">
        <v>0.5</v>
      </c>
      <c r="N523" s="1">
        <v>45642</v>
      </c>
      <c r="O523" t="s">
        <v>3921</v>
      </c>
    </row>
    <row r="524" spans="1:15" x14ac:dyDescent="0.25">
      <c r="A524" s="8" t="s">
        <v>3922</v>
      </c>
      <c r="C524" t="s">
        <v>13</v>
      </c>
      <c r="D524" t="s">
        <v>247</v>
      </c>
      <c r="E524" t="s">
        <v>1313</v>
      </c>
      <c r="F524" t="s">
        <v>3923</v>
      </c>
      <c r="G524" s="1">
        <v>45666</v>
      </c>
      <c r="H524" s="1"/>
      <c r="I524" t="s">
        <v>1737</v>
      </c>
      <c r="J524" t="s">
        <v>29</v>
      </c>
      <c r="K524" t="s">
        <v>18</v>
      </c>
      <c r="M524" s="74">
        <v>100</v>
      </c>
      <c r="N524" s="1">
        <v>45827</v>
      </c>
    </row>
    <row r="525" spans="1:15" x14ac:dyDescent="0.25">
      <c r="A525" s="8" t="s">
        <v>3924</v>
      </c>
      <c r="B525" t="s">
        <v>3912</v>
      </c>
      <c r="C525" t="s">
        <v>135</v>
      </c>
      <c r="D525" t="s">
        <v>247</v>
      </c>
      <c r="E525" t="s">
        <v>1313</v>
      </c>
      <c r="F525" t="s">
        <v>3925</v>
      </c>
      <c r="G525" s="1">
        <v>45737</v>
      </c>
      <c r="H525" s="1"/>
      <c r="I525" t="s">
        <v>3493</v>
      </c>
      <c r="J525" t="s">
        <v>29</v>
      </c>
      <c r="L525" t="s">
        <v>3926</v>
      </c>
      <c r="M525" s="74"/>
      <c r="N525" s="1"/>
    </row>
    <row r="526" spans="1:15" x14ac:dyDescent="0.25">
      <c r="A526" s="8" t="s">
        <v>3927</v>
      </c>
      <c r="C526" t="s">
        <v>3928</v>
      </c>
      <c r="D526" t="s">
        <v>411</v>
      </c>
      <c r="E526" t="s">
        <v>3929</v>
      </c>
      <c r="F526" t="s">
        <v>3930</v>
      </c>
      <c r="G526" s="1">
        <v>45320</v>
      </c>
      <c r="H526" s="1"/>
      <c r="I526" t="s">
        <v>1737</v>
      </c>
      <c r="J526" t="s">
        <v>29</v>
      </c>
      <c r="K526" t="s">
        <v>29</v>
      </c>
      <c r="M526" s="74">
        <v>45380</v>
      </c>
      <c r="N526" s="1">
        <v>100</v>
      </c>
    </row>
    <row r="527" spans="1:15" x14ac:dyDescent="0.25">
      <c r="A527" s="8" t="s">
        <v>3931</v>
      </c>
      <c r="C527" t="s">
        <v>3932</v>
      </c>
      <c r="D527" t="s">
        <v>3778</v>
      </c>
      <c r="E527" t="s">
        <v>79</v>
      </c>
      <c r="F527" t="s">
        <v>796</v>
      </c>
      <c r="G527" s="1">
        <v>45320</v>
      </c>
      <c r="H527" s="1"/>
      <c r="I527" t="s">
        <v>1737</v>
      </c>
      <c r="J527" t="s">
        <v>29</v>
      </c>
      <c r="K527" t="s">
        <v>29</v>
      </c>
      <c r="M527" s="74">
        <v>1</v>
      </c>
      <c r="N527" s="1" t="s">
        <v>3933</v>
      </c>
    </row>
    <row r="528" spans="1:15" x14ac:dyDescent="0.25">
      <c r="A528" s="8" t="s">
        <v>3934</v>
      </c>
      <c r="C528" t="s">
        <v>13</v>
      </c>
      <c r="D528" t="s">
        <v>3778</v>
      </c>
      <c r="E528" t="s">
        <v>79</v>
      </c>
      <c r="F528" t="s">
        <v>3935</v>
      </c>
      <c r="G528" s="1">
        <v>45348</v>
      </c>
      <c r="H528" s="1"/>
      <c r="I528" t="s">
        <v>1737</v>
      </c>
      <c r="J528" t="s">
        <v>29</v>
      </c>
      <c r="K528" t="s">
        <v>29</v>
      </c>
      <c r="M528" s="74">
        <v>100</v>
      </c>
      <c r="N528" s="1">
        <v>45534</v>
      </c>
    </row>
    <row r="529" spans="1:14" x14ac:dyDescent="0.25">
      <c r="A529" s="8" t="s">
        <v>3936</v>
      </c>
      <c r="C529" t="s">
        <v>3937</v>
      </c>
      <c r="D529" t="s">
        <v>3778</v>
      </c>
      <c r="E529" t="s">
        <v>79</v>
      </c>
      <c r="F529" t="s">
        <v>3938</v>
      </c>
      <c r="G529" s="1">
        <v>45356</v>
      </c>
      <c r="H529" s="1"/>
      <c r="I529" t="s">
        <v>1737</v>
      </c>
      <c r="J529" t="s">
        <v>29</v>
      </c>
      <c r="K529" t="s">
        <v>29</v>
      </c>
      <c r="M529" s="74">
        <v>100</v>
      </c>
      <c r="N529" s="1" t="s">
        <v>3939</v>
      </c>
    </row>
    <row r="530" spans="1:14" x14ac:dyDescent="0.25">
      <c r="A530" s="8" t="s">
        <v>3940</v>
      </c>
      <c r="C530" t="s">
        <v>3430</v>
      </c>
      <c r="D530" t="s">
        <v>3778</v>
      </c>
      <c r="E530" t="s">
        <v>79</v>
      </c>
      <c r="F530" t="s">
        <v>3941</v>
      </c>
      <c r="G530" s="1">
        <v>45392</v>
      </c>
      <c r="H530" s="1"/>
      <c r="I530" t="s">
        <v>1737</v>
      </c>
      <c r="J530" t="s">
        <v>29</v>
      </c>
      <c r="K530" t="s">
        <v>29</v>
      </c>
      <c r="M530" s="74">
        <v>100</v>
      </c>
      <c r="N530" s="1">
        <v>45450</v>
      </c>
    </row>
    <row r="531" spans="1:14" x14ac:dyDescent="0.25">
      <c r="A531" s="8" t="s">
        <v>3942</v>
      </c>
      <c r="C531" t="s">
        <v>3943</v>
      </c>
      <c r="D531" t="s">
        <v>3778</v>
      </c>
      <c r="E531" t="s">
        <v>79</v>
      </c>
      <c r="F531" t="s">
        <v>3944</v>
      </c>
      <c r="G531" s="1">
        <v>45412</v>
      </c>
      <c r="H531" s="1"/>
      <c r="I531" t="s">
        <v>1737</v>
      </c>
      <c r="J531" t="s">
        <v>29</v>
      </c>
      <c r="K531" t="s">
        <v>29</v>
      </c>
      <c r="L531" t="s">
        <v>3945</v>
      </c>
      <c r="M531" s="74">
        <v>100</v>
      </c>
      <c r="N531" s="1">
        <v>45450</v>
      </c>
    </row>
    <row r="532" spans="1:14" x14ac:dyDescent="0.25">
      <c r="A532" s="8" t="s">
        <v>3946</v>
      </c>
      <c r="C532" t="s">
        <v>13</v>
      </c>
      <c r="D532" t="s">
        <v>3778</v>
      </c>
      <c r="E532" t="s">
        <v>79</v>
      </c>
      <c r="F532" t="s">
        <v>3947</v>
      </c>
      <c r="G532" s="1">
        <v>45413</v>
      </c>
      <c r="H532" s="1"/>
      <c r="I532" t="s">
        <v>1737</v>
      </c>
      <c r="J532" t="s">
        <v>29</v>
      </c>
      <c r="K532" t="s">
        <v>29</v>
      </c>
      <c r="L532" t="s">
        <v>3948</v>
      </c>
      <c r="M532" s="74">
        <v>100</v>
      </c>
      <c r="N532" s="1">
        <v>45450</v>
      </c>
    </row>
    <row r="533" spans="1:14" x14ac:dyDescent="0.25">
      <c r="A533" s="8" t="s">
        <v>3949</v>
      </c>
      <c r="C533" t="s">
        <v>13</v>
      </c>
      <c r="D533" t="s">
        <v>3778</v>
      </c>
      <c r="E533" t="s">
        <v>79</v>
      </c>
      <c r="F533" t="s">
        <v>3950</v>
      </c>
      <c r="G533" s="1">
        <v>45464</v>
      </c>
      <c r="H533" s="1"/>
      <c r="I533" t="s">
        <v>1737</v>
      </c>
      <c r="J533" t="s">
        <v>29</v>
      </c>
      <c r="K533" t="s">
        <v>29</v>
      </c>
      <c r="M533" s="74">
        <v>100</v>
      </c>
      <c r="N533" s="1">
        <v>45506</v>
      </c>
    </row>
    <row r="534" spans="1:14" x14ac:dyDescent="0.25">
      <c r="A534" s="8" t="s">
        <v>3951</v>
      </c>
      <c r="C534" t="s">
        <v>13</v>
      </c>
      <c r="D534" t="s">
        <v>3778</v>
      </c>
      <c r="E534" t="s">
        <v>79</v>
      </c>
      <c r="F534" t="s">
        <v>3952</v>
      </c>
      <c r="G534" s="1">
        <v>45474</v>
      </c>
      <c r="H534" s="1"/>
      <c r="I534" t="s">
        <v>1737</v>
      </c>
      <c r="J534" t="s">
        <v>29</v>
      </c>
      <c r="K534" t="s">
        <v>29</v>
      </c>
      <c r="M534" s="74">
        <v>100</v>
      </c>
      <c r="N534" s="1">
        <v>45534</v>
      </c>
    </row>
    <row r="535" spans="1:14" x14ac:dyDescent="0.25">
      <c r="A535" s="8" t="s">
        <v>3953</v>
      </c>
      <c r="C535" t="s">
        <v>13</v>
      </c>
      <c r="D535" t="s">
        <v>3778</v>
      </c>
      <c r="E535" t="s">
        <v>79</v>
      </c>
      <c r="F535" t="s">
        <v>3954</v>
      </c>
      <c r="G535" s="1">
        <v>45474</v>
      </c>
      <c r="H535" s="1"/>
      <c r="I535" t="s">
        <v>1737</v>
      </c>
      <c r="J535" t="s">
        <v>29</v>
      </c>
      <c r="K535" t="s">
        <v>29</v>
      </c>
      <c r="M535" s="74">
        <v>100</v>
      </c>
      <c r="N535" s="1">
        <v>45534</v>
      </c>
    </row>
    <row r="536" spans="1:14" x14ac:dyDescent="0.25">
      <c r="A536" s="8" t="s">
        <v>3955</v>
      </c>
      <c r="C536" t="s">
        <v>13</v>
      </c>
      <c r="D536" t="s">
        <v>3778</v>
      </c>
      <c r="E536" t="s">
        <v>79</v>
      </c>
      <c r="F536" t="s">
        <v>3956</v>
      </c>
      <c r="G536" s="1">
        <v>45480</v>
      </c>
      <c r="H536" s="1"/>
      <c r="I536" t="s">
        <v>1737</v>
      </c>
      <c r="J536" t="s">
        <v>29</v>
      </c>
      <c r="K536" t="s">
        <v>29</v>
      </c>
      <c r="M536" s="74">
        <v>100</v>
      </c>
      <c r="N536" s="1">
        <v>45534</v>
      </c>
    </row>
    <row r="537" spans="1:14" x14ac:dyDescent="0.25">
      <c r="A537" s="8" t="s">
        <v>3957</v>
      </c>
      <c r="C537" t="s">
        <v>13</v>
      </c>
      <c r="D537" t="s">
        <v>3778</v>
      </c>
      <c r="E537" t="s">
        <v>79</v>
      </c>
      <c r="F537" t="s">
        <v>3958</v>
      </c>
      <c r="G537" s="1">
        <v>45533</v>
      </c>
      <c r="H537" s="1"/>
      <c r="I537" t="s">
        <v>3493</v>
      </c>
      <c r="J537" t="s">
        <v>29</v>
      </c>
      <c r="K537" t="s">
        <v>29</v>
      </c>
      <c r="M537" s="74"/>
      <c r="N537" s="1"/>
    </row>
    <row r="538" spans="1:14" x14ac:dyDescent="0.25">
      <c r="A538" s="8" t="s">
        <v>3959</v>
      </c>
      <c r="C538" t="s">
        <v>3554</v>
      </c>
      <c r="D538" t="s">
        <v>3960</v>
      </c>
      <c r="E538" t="s">
        <v>516</v>
      </c>
      <c r="F538" t="s">
        <v>3961</v>
      </c>
      <c r="G538" s="1">
        <v>45323</v>
      </c>
      <c r="H538" s="1"/>
      <c r="I538" t="s">
        <v>3493</v>
      </c>
      <c r="J538" t="s">
        <v>29</v>
      </c>
      <c r="K538" t="s">
        <v>29</v>
      </c>
      <c r="M538" s="74"/>
      <c r="N538" s="1"/>
    </row>
    <row r="539" spans="1:14" x14ac:dyDescent="0.25">
      <c r="A539" s="8" t="s">
        <v>3962</v>
      </c>
      <c r="C539" t="s">
        <v>325</v>
      </c>
      <c r="D539" t="s">
        <v>3963</v>
      </c>
      <c r="E539" t="s">
        <v>3964</v>
      </c>
      <c r="F539" t="s">
        <v>3965</v>
      </c>
      <c r="G539" s="1">
        <v>45336</v>
      </c>
      <c r="H539" s="1"/>
      <c r="I539" t="s">
        <v>2952</v>
      </c>
      <c r="J539" t="s">
        <v>29</v>
      </c>
      <c r="K539" t="s">
        <v>29</v>
      </c>
      <c r="M539" s="74"/>
      <c r="N539" s="1"/>
    </row>
    <row r="540" spans="1:14" x14ac:dyDescent="0.25">
      <c r="A540" s="8" t="s">
        <v>3966</v>
      </c>
      <c r="C540" t="s">
        <v>621</v>
      </c>
      <c r="D540" t="s">
        <v>3967</v>
      </c>
      <c r="E540" t="s">
        <v>511</v>
      </c>
      <c r="F540" t="s">
        <v>3968</v>
      </c>
      <c r="G540" s="1">
        <v>45336</v>
      </c>
      <c r="H540" s="1"/>
      <c r="I540" t="s">
        <v>1737</v>
      </c>
      <c r="J540" t="s">
        <v>3494</v>
      </c>
      <c r="K540" t="s">
        <v>29</v>
      </c>
      <c r="M540" s="74">
        <v>100</v>
      </c>
      <c r="N540" s="1">
        <v>44989</v>
      </c>
    </row>
    <row r="541" spans="1:14" x14ac:dyDescent="0.25">
      <c r="A541" s="8" t="s">
        <v>3969</v>
      </c>
      <c r="B541" t="s">
        <v>3970</v>
      </c>
      <c r="C541" t="s">
        <v>621</v>
      </c>
      <c r="D541" t="s">
        <v>3548</v>
      </c>
      <c r="E541" t="s">
        <v>3971</v>
      </c>
      <c r="F541" t="s">
        <v>3972</v>
      </c>
      <c r="G541" s="1">
        <v>45337</v>
      </c>
      <c r="H541" s="1"/>
      <c r="I541" t="s">
        <v>3675</v>
      </c>
      <c r="J541" t="s">
        <v>3864</v>
      </c>
      <c r="K541" t="s">
        <v>18</v>
      </c>
      <c r="L541" t="s">
        <v>3973</v>
      </c>
      <c r="M541" s="74"/>
      <c r="N541" s="1"/>
    </row>
    <row r="542" spans="1:14" x14ac:dyDescent="0.25">
      <c r="A542" s="8" t="s">
        <v>3974</v>
      </c>
      <c r="C542" t="s">
        <v>3975</v>
      </c>
      <c r="D542" t="s">
        <v>903</v>
      </c>
      <c r="E542" t="s">
        <v>3883</v>
      </c>
      <c r="F542" t="s">
        <v>3976</v>
      </c>
      <c r="G542" s="1">
        <v>45342</v>
      </c>
      <c r="H542" s="1"/>
      <c r="I542" t="s">
        <v>2952</v>
      </c>
      <c r="J542" t="s">
        <v>29</v>
      </c>
      <c r="K542" t="s">
        <v>29</v>
      </c>
      <c r="M542" s="74" t="s">
        <v>3977</v>
      </c>
      <c r="N542" s="1">
        <v>45446</v>
      </c>
    </row>
    <row r="543" spans="1:14" x14ac:dyDescent="0.25">
      <c r="A543" s="8" t="s">
        <v>3978</v>
      </c>
      <c r="C543" t="s">
        <v>3928</v>
      </c>
      <c r="D543" t="s">
        <v>25</v>
      </c>
      <c r="E543" t="s">
        <v>886</v>
      </c>
      <c r="F543" t="s">
        <v>3979</v>
      </c>
      <c r="G543" s="1">
        <v>45330</v>
      </c>
      <c r="H543" s="1"/>
      <c r="I543" t="s">
        <v>1737</v>
      </c>
      <c r="J543" t="s">
        <v>29</v>
      </c>
      <c r="K543" t="s">
        <v>29</v>
      </c>
      <c r="M543" s="74">
        <v>100</v>
      </c>
      <c r="N543" s="1">
        <v>45355</v>
      </c>
    </row>
    <row r="544" spans="1:14" x14ac:dyDescent="0.25">
      <c r="A544" s="8" t="s">
        <v>3980</v>
      </c>
      <c r="C544" t="s">
        <v>3554</v>
      </c>
      <c r="D544" t="s">
        <v>411</v>
      </c>
      <c r="F544" t="s">
        <v>3981</v>
      </c>
      <c r="G544" s="1">
        <v>45352</v>
      </c>
      <c r="H544" s="1"/>
      <c r="I544" t="s">
        <v>2952</v>
      </c>
      <c r="J544" t="s">
        <v>3494</v>
      </c>
      <c r="K544" t="s">
        <v>29</v>
      </c>
      <c r="M544" s="74" t="s">
        <v>3982</v>
      </c>
      <c r="N544" s="1"/>
    </row>
    <row r="545" spans="1:14" x14ac:dyDescent="0.25">
      <c r="A545" s="8" t="s">
        <v>3983</v>
      </c>
      <c r="C545" t="s">
        <v>3774</v>
      </c>
      <c r="D545" t="s">
        <v>243</v>
      </c>
      <c r="E545" t="s">
        <v>244</v>
      </c>
      <c r="F545" t="s">
        <v>3984</v>
      </c>
      <c r="G545" s="1">
        <v>45349</v>
      </c>
      <c r="H545" s="1"/>
      <c r="I545" t="s">
        <v>1737</v>
      </c>
      <c r="J545" t="s">
        <v>3494</v>
      </c>
      <c r="K545" t="s">
        <v>29</v>
      </c>
      <c r="M545" s="74" t="s">
        <v>3982</v>
      </c>
      <c r="N545" s="1" t="s">
        <v>3985</v>
      </c>
    </row>
    <row r="546" spans="1:14" x14ac:dyDescent="0.25">
      <c r="A546" s="8" t="s">
        <v>3986</v>
      </c>
      <c r="C546" t="s">
        <v>825</v>
      </c>
      <c r="D546" t="s">
        <v>243</v>
      </c>
      <c r="E546" t="s">
        <v>244</v>
      </c>
      <c r="F546" t="s">
        <v>3987</v>
      </c>
      <c r="G546" s="1">
        <v>45352</v>
      </c>
      <c r="H546" s="1"/>
      <c r="I546" t="s">
        <v>1737</v>
      </c>
      <c r="J546" t="s">
        <v>3494</v>
      </c>
      <c r="K546" t="s">
        <v>29</v>
      </c>
      <c r="M546" s="74">
        <v>100</v>
      </c>
      <c r="N546" s="1">
        <v>45363</v>
      </c>
    </row>
    <row r="547" spans="1:14" x14ac:dyDescent="0.25">
      <c r="A547" s="8" t="s">
        <v>3988</v>
      </c>
      <c r="C547" t="s">
        <v>825</v>
      </c>
      <c r="D547" t="s">
        <v>43</v>
      </c>
      <c r="F547" t="s">
        <v>3989</v>
      </c>
      <c r="G547" s="1">
        <v>45357</v>
      </c>
      <c r="H547" s="1"/>
      <c r="I547" t="s">
        <v>1737</v>
      </c>
      <c r="J547" t="s">
        <v>29</v>
      </c>
      <c r="K547" t="s">
        <v>29</v>
      </c>
      <c r="M547" s="74">
        <v>100</v>
      </c>
      <c r="N547" s="1">
        <v>45415</v>
      </c>
    </row>
    <row r="548" spans="1:14" x14ac:dyDescent="0.25">
      <c r="A548" s="8" t="s">
        <v>3990</v>
      </c>
      <c r="C548" t="s">
        <v>220</v>
      </c>
      <c r="D548" t="s">
        <v>329</v>
      </c>
      <c r="E548" t="s">
        <v>330</v>
      </c>
      <c r="F548" t="s">
        <v>3991</v>
      </c>
      <c r="G548" s="1">
        <v>45358</v>
      </c>
      <c r="H548" s="1"/>
      <c r="I548" t="s">
        <v>1737</v>
      </c>
      <c r="J548" t="s">
        <v>29</v>
      </c>
      <c r="K548" t="s">
        <v>29</v>
      </c>
      <c r="M548" s="74">
        <v>100</v>
      </c>
      <c r="N548" s="1">
        <v>45595</v>
      </c>
    </row>
    <row r="549" spans="1:14" x14ac:dyDescent="0.25">
      <c r="A549" s="8" t="s">
        <v>3992</v>
      </c>
      <c r="C549" t="s">
        <v>220</v>
      </c>
      <c r="D549" t="s">
        <v>329</v>
      </c>
      <c r="E549" t="s">
        <v>330</v>
      </c>
      <c r="F549" t="s">
        <v>3993</v>
      </c>
      <c r="G549" s="1">
        <v>45378</v>
      </c>
      <c r="H549" s="1"/>
      <c r="I549" t="s">
        <v>3675</v>
      </c>
      <c r="J549" t="s">
        <v>29</v>
      </c>
      <c r="M549" s="74"/>
      <c r="N549" s="1"/>
    </row>
    <row r="550" spans="1:14" x14ac:dyDescent="0.25">
      <c r="A550" s="8" t="s">
        <v>3994</v>
      </c>
      <c r="C550" t="s">
        <v>3995</v>
      </c>
      <c r="D550" t="s">
        <v>329</v>
      </c>
      <c r="E550" t="s">
        <v>330</v>
      </c>
      <c r="F550" t="s">
        <v>3996</v>
      </c>
      <c r="G550" s="1">
        <v>45553</v>
      </c>
      <c r="H550" s="1"/>
      <c r="I550" t="s">
        <v>2952</v>
      </c>
      <c r="J550" t="s">
        <v>29</v>
      </c>
      <c r="M550" s="74"/>
      <c r="N550" s="1"/>
    </row>
    <row r="551" spans="1:14" x14ac:dyDescent="0.25">
      <c r="A551" s="8" t="s">
        <v>3997</v>
      </c>
      <c r="C551" t="s">
        <v>3995</v>
      </c>
      <c r="D551" t="s">
        <v>329</v>
      </c>
      <c r="E551" t="s">
        <v>330</v>
      </c>
      <c r="F551" t="s">
        <v>3998</v>
      </c>
      <c r="G551" s="1">
        <v>45536</v>
      </c>
      <c r="H551" s="1"/>
      <c r="I551" t="s">
        <v>2952</v>
      </c>
      <c r="J551" t="s">
        <v>29</v>
      </c>
      <c r="M551" s="74"/>
      <c r="N551" s="1"/>
    </row>
    <row r="552" spans="1:14" x14ac:dyDescent="0.25">
      <c r="A552" s="8" t="s">
        <v>3999</v>
      </c>
      <c r="C552" t="s">
        <v>135</v>
      </c>
      <c r="D552" t="s">
        <v>25</v>
      </c>
      <c r="E552" t="s">
        <v>886</v>
      </c>
      <c r="F552" t="s">
        <v>4000</v>
      </c>
      <c r="G552" s="1">
        <v>45366</v>
      </c>
      <c r="H552" s="1"/>
      <c r="I552" t="s">
        <v>1737</v>
      </c>
      <c r="J552" t="s">
        <v>29</v>
      </c>
      <c r="K552" t="s">
        <v>29</v>
      </c>
      <c r="M552" s="74">
        <v>1</v>
      </c>
      <c r="N552" s="1">
        <v>45392</v>
      </c>
    </row>
    <row r="553" spans="1:14" x14ac:dyDescent="0.25">
      <c r="A553" s="8" t="s">
        <v>4001</v>
      </c>
      <c r="C553" t="s">
        <v>135</v>
      </c>
      <c r="D553" t="s">
        <v>25</v>
      </c>
      <c r="E553" t="s">
        <v>886</v>
      </c>
      <c r="F553" t="s">
        <v>4002</v>
      </c>
      <c r="G553" s="1">
        <v>45366</v>
      </c>
      <c r="H553" s="1"/>
      <c r="I553" t="s">
        <v>1737</v>
      </c>
      <c r="J553" t="s">
        <v>29</v>
      </c>
      <c r="M553" s="74">
        <v>1</v>
      </c>
      <c r="N553" s="1">
        <v>45428</v>
      </c>
    </row>
    <row r="554" spans="1:14" x14ac:dyDescent="0.25">
      <c r="A554" s="8" t="s">
        <v>4003</v>
      </c>
      <c r="C554" t="s">
        <v>220</v>
      </c>
      <c r="D554" t="s">
        <v>25</v>
      </c>
      <c r="E554" t="s">
        <v>333</v>
      </c>
      <c r="F554" t="s">
        <v>4004</v>
      </c>
      <c r="G554" s="1">
        <v>45428</v>
      </c>
      <c r="H554" s="1"/>
      <c r="I554" t="s">
        <v>1737</v>
      </c>
      <c r="J554" t="s">
        <v>29</v>
      </c>
      <c r="M554" s="74">
        <v>1</v>
      </c>
      <c r="N554" s="1">
        <v>45665</v>
      </c>
    </row>
    <row r="555" spans="1:14" x14ac:dyDescent="0.25">
      <c r="A555" s="8" t="s">
        <v>4005</v>
      </c>
      <c r="C555" t="s">
        <v>325</v>
      </c>
      <c r="D555" t="s">
        <v>4006</v>
      </c>
      <c r="F555" t="s">
        <v>4007</v>
      </c>
      <c r="G555" s="1">
        <v>45352</v>
      </c>
      <c r="H555" s="1"/>
      <c r="I555" t="s">
        <v>2952</v>
      </c>
      <c r="J555" t="s">
        <v>3494</v>
      </c>
      <c r="M555" s="74"/>
      <c r="N555" s="1"/>
    </row>
    <row r="556" spans="1:14" x14ac:dyDescent="0.25">
      <c r="A556" s="8" t="s">
        <v>4008</v>
      </c>
      <c r="C556" t="s">
        <v>13</v>
      </c>
      <c r="D556" t="s">
        <v>35</v>
      </c>
      <c r="E556" t="s">
        <v>4009</v>
      </c>
      <c r="F556" t="s">
        <v>4010</v>
      </c>
      <c r="G556" s="1">
        <v>45369</v>
      </c>
      <c r="H556" s="1"/>
      <c r="I556" t="s">
        <v>1737</v>
      </c>
      <c r="J556" t="s">
        <v>29</v>
      </c>
      <c r="K556" t="s">
        <v>29</v>
      </c>
      <c r="M556" s="74">
        <v>100</v>
      </c>
      <c r="N556" s="1">
        <v>45434</v>
      </c>
    </row>
    <row r="557" spans="1:14" x14ac:dyDescent="0.25">
      <c r="A557" s="8" t="s">
        <v>4011</v>
      </c>
      <c r="C557" t="s">
        <v>433</v>
      </c>
      <c r="D557" t="s">
        <v>32</v>
      </c>
      <c r="E557" t="s">
        <v>4012</v>
      </c>
      <c r="F557" t="s">
        <v>4013</v>
      </c>
      <c r="G557" s="1">
        <v>45372</v>
      </c>
      <c r="H557" s="1"/>
      <c r="I557" t="s">
        <v>1737</v>
      </c>
      <c r="J557" t="s">
        <v>29</v>
      </c>
      <c r="M557" s="74">
        <v>100</v>
      </c>
      <c r="N557" s="1">
        <v>45429</v>
      </c>
    </row>
    <row r="558" spans="1:14" x14ac:dyDescent="0.25">
      <c r="A558" s="8" t="s">
        <v>4014</v>
      </c>
      <c r="C558" t="s">
        <v>4015</v>
      </c>
      <c r="D558" t="s">
        <v>3868</v>
      </c>
      <c r="F558" t="s">
        <v>4016</v>
      </c>
      <c r="G558" s="1">
        <v>45377</v>
      </c>
      <c r="H558" s="1"/>
      <c r="I558" t="s">
        <v>2952</v>
      </c>
      <c r="J558" t="s">
        <v>29</v>
      </c>
      <c r="M558" s="74">
        <v>100</v>
      </c>
      <c r="N558" s="1">
        <v>45400</v>
      </c>
    </row>
    <row r="559" spans="1:14" x14ac:dyDescent="0.25">
      <c r="A559" s="8" t="s">
        <v>4017</v>
      </c>
      <c r="C559" t="s">
        <v>3365</v>
      </c>
      <c r="D559" t="s">
        <v>4018</v>
      </c>
      <c r="E559" t="s">
        <v>4019</v>
      </c>
      <c r="F559" t="s">
        <v>4020</v>
      </c>
      <c r="G559" s="1">
        <v>45379</v>
      </c>
      <c r="H559" s="1"/>
      <c r="I559" t="s">
        <v>1737</v>
      </c>
      <c r="J559" t="s">
        <v>29</v>
      </c>
      <c r="K559" t="s">
        <v>29</v>
      </c>
      <c r="M559" s="74" t="s">
        <v>4021</v>
      </c>
      <c r="N559" s="1" t="s">
        <v>4022</v>
      </c>
    </row>
    <row r="560" spans="1:14" x14ac:dyDescent="0.25">
      <c r="A560" s="8" t="s">
        <v>4023</v>
      </c>
      <c r="C560" t="s">
        <v>13</v>
      </c>
      <c r="D560" t="s">
        <v>14</v>
      </c>
      <c r="E560" t="s">
        <v>2469</v>
      </c>
      <c r="F560" t="s">
        <v>4024</v>
      </c>
      <c r="G560" s="1">
        <v>45383</v>
      </c>
      <c r="H560" s="1"/>
      <c r="I560" t="s">
        <v>3493</v>
      </c>
      <c r="J560" t="s">
        <v>3494</v>
      </c>
      <c r="K560" t="s">
        <v>29</v>
      </c>
      <c r="M560" s="74"/>
      <c r="N560" s="1"/>
    </row>
    <row r="561" spans="1:14" x14ac:dyDescent="0.25">
      <c r="A561" s="8" t="s">
        <v>2436</v>
      </c>
      <c r="C561" t="s">
        <v>932</v>
      </c>
      <c r="D561" t="s">
        <v>4025</v>
      </c>
      <c r="E561" t="s">
        <v>4026</v>
      </c>
      <c r="F561" t="s">
        <v>4027</v>
      </c>
      <c r="G561" s="1">
        <v>45387</v>
      </c>
      <c r="H561" s="1"/>
      <c r="I561" t="s">
        <v>1737</v>
      </c>
      <c r="J561" t="s">
        <v>3494</v>
      </c>
      <c r="K561" t="s">
        <v>29</v>
      </c>
      <c r="M561" s="74">
        <v>1</v>
      </c>
      <c r="N561" s="1" t="s">
        <v>4028</v>
      </c>
    </row>
    <row r="562" spans="1:14" x14ac:dyDescent="0.25">
      <c r="A562" s="8" t="s">
        <v>4029</v>
      </c>
      <c r="C562" t="s">
        <v>24</v>
      </c>
      <c r="D562" t="s">
        <v>35</v>
      </c>
      <c r="E562" t="s">
        <v>746</v>
      </c>
      <c r="F562" t="s">
        <v>4030</v>
      </c>
      <c r="G562" s="1">
        <v>45391</v>
      </c>
      <c r="H562" s="1"/>
      <c r="I562" t="s">
        <v>1737</v>
      </c>
      <c r="J562" t="s">
        <v>3494</v>
      </c>
      <c r="K562" t="s">
        <v>29</v>
      </c>
      <c r="L562" t="s">
        <v>842</v>
      </c>
      <c r="M562" s="74" t="s">
        <v>3780</v>
      </c>
      <c r="N562" s="1" t="s">
        <v>4031</v>
      </c>
    </row>
    <row r="563" spans="1:14" x14ac:dyDescent="0.25">
      <c r="A563" s="8" t="s">
        <v>4032</v>
      </c>
      <c r="B563" t="s">
        <v>4033</v>
      </c>
      <c r="C563" t="s">
        <v>4034</v>
      </c>
      <c r="D563" t="s">
        <v>253</v>
      </c>
      <c r="E563" t="s">
        <v>4035</v>
      </c>
      <c r="F563" t="s">
        <v>4036</v>
      </c>
      <c r="G563" s="1">
        <v>45392</v>
      </c>
      <c r="H563" s="1"/>
      <c r="I563" t="s">
        <v>1737</v>
      </c>
      <c r="J563" t="s">
        <v>29</v>
      </c>
      <c r="M563" s="74">
        <v>100</v>
      </c>
      <c r="N563" s="1">
        <v>45429</v>
      </c>
    </row>
    <row r="564" spans="1:14" x14ac:dyDescent="0.25">
      <c r="A564" s="8" t="s">
        <v>4037</v>
      </c>
      <c r="C564" t="s">
        <v>3712</v>
      </c>
      <c r="D564" t="s">
        <v>4038</v>
      </c>
      <c r="E564" t="s">
        <v>4039</v>
      </c>
      <c r="F564" t="s">
        <v>4040</v>
      </c>
      <c r="G564" s="1">
        <v>45392</v>
      </c>
      <c r="H564" s="1"/>
      <c r="I564" t="s">
        <v>1737</v>
      </c>
      <c r="J564" t="s">
        <v>29</v>
      </c>
      <c r="K564" t="s">
        <v>29</v>
      </c>
      <c r="M564" s="74">
        <v>100</v>
      </c>
      <c r="N564" s="1">
        <v>45408</v>
      </c>
    </row>
    <row r="565" spans="1:14" x14ac:dyDescent="0.25">
      <c r="A565" s="8" t="s">
        <v>4041</v>
      </c>
      <c r="B565" t="s">
        <v>4042</v>
      </c>
      <c r="C565" t="s">
        <v>3975</v>
      </c>
      <c r="D565" t="s">
        <v>4043</v>
      </c>
      <c r="E565" t="s">
        <v>397</v>
      </c>
      <c r="F565" t="s">
        <v>4044</v>
      </c>
      <c r="G565" s="1">
        <v>45393</v>
      </c>
      <c r="H565" s="1"/>
      <c r="I565" t="s">
        <v>1737</v>
      </c>
      <c r="J565" t="s">
        <v>3494</v>
      </c>
      <c r="K565" t="s">
        <v>29</v>
      </c>
      <c r="M565" s="74">
        <v>100</v>
      </c>
      <c r="N565" s="1">
        <v>45413</v>
      </c>
    </row>
    <row r="566" spans="1:14" x14ac:dyDescent="0.25">
      <c r="A566" s="8" t="s">
        <v>4045</v>
      </c>
      <c r="C566" t="s">
        <v>24</v>
      </c>
      <c r="D566" t="s">
        <v>35</v>
      </c>
      <c r="E566" t="s">
        <v>746</v>
      </c>
      <c r="F566" t="s">
        <v>851</v>
      </c>
      <c r="G566" s="1">
        <v>45393</v>
      </c>
      <c r="H566" s="1"/>
      <c r="I566" t="s">
        <v>1737</v>
      </c>
      <c r="J566" t="s">
        <v>3494</v>
      </c>
      <c r="K566" t="s">
        <v>29</v>
      </c>
      <c r="M566" s="74" t="s">
        <v>3780</v>
      </c>
      <c r="N566" s="1" t="s">
        <v>4046</v>
      </c>
    </row>
    <row r="567" spans="1:14" x14ac:dyDescent="0.25">
      <c r="A567" s="8" t="s">
        <v>4047</v>
      </c>
      <c r="C567" t="s">
        <v>4048</v>
      </c>
      <c r="D567" t="s">
        <v>4049</v>
      </c>
      <c r="E567" t="s">
        <v>860</v>
      </c>
      <c r="F567" t="s">
        <v>4050</v>
      </c>
      <c r="G567" s="1">
        <v>45393</v>
      </c>
      <c r="H567" s="1"/>
      <c r="I567" t="s">
        <v>1737</v>
      </c>
      <c r="J567" t="s">
        <v>29</v>
      </c>
      <c r="K567" t="s">
        <v>29</v>
      </c>
      <c r="M567" s="74">
        <v>100</v>
      </c>
      <c r="N567" s="1" t="s">
        <v>4051</v>
      </c>
    </row>
    <row r="568" spans="1:14" x14ac:dyDescent="0.25">
      <c r="A568" s="8" t="s">
        <v>4052</v>
      </c>
      <c r="C568" t="s">
        <v>24</v>
      </c>
      <c r="D568" t="s">
        <v>4049</v>
      </c>
      <c r="F568" t="s">
        <v>4053</v>
      </c>
      <c r="G568" s="1">
        <v>45511</v>
      </c>
      <c r="H568" s="1"/>
      <c r="I568" t="s">
        <v>1737</v>
      </c>
      <c r="J568" t="s">
        <v>29</v>
      </c>
      <c r="M568" s="74">
        <v>100</v>
      </c>
      <c r="N568" s="1">
        <v>45681</v>
      </c>
    </row>
    <row r="569" spans="1:14" x14ac:dyDescent="0.25">
      <c r="A569" s="8" t="s">
        <v>4054</v>
      </c>
      <c r="C569" t="s">
        <v>4055</v>
      </c>
      <c r="D569" t="s">
        <v>43</v>
      </c>
      <c r="E569" s="22" t="s">
        <v>4056</v>
      </c>
      <c r="F569" t="s">
        <v>4057</v>
      </c>
      <c r="G569" s="1">
        <v>45394</v>
      </c>
      <c r="H569" s="1"/>
      <c r="I569" t="s">
        <v>3493</v>
      </c>
      <c r="J569" t="s">
        <v>3494</v>
      </c>
      <c r="K569" t="s">
        <v>3494</v>
      </c>
      <c r="L569" t="s">
        <v>448</v>
      </c>
      <c r="M569" s="74"/>
      <c r="N569" s="1"/>
    </row>
    <row r="570" spans="1:14" x14ac:dyDescent="0.25">
      <c r="A570" s="8" t="s">
        <v>4058</v>
      </c>
      <c r="C570" t="s">
        <v>4059</v>
      </c>
      <c r="D570" t="s">
        <v>43</v>
      </c>
      <c r="E570" t="s">
        <v>1188</v>
      </c>
      <c r="F570" t="s">
        <v>4060</v>
      </c>
      <c r="G570" s="1">
        <v>45394</v>
      </c>
      <c r="H570" s="1"/>
      <c r="I570" t="s">
        <v>1737</v>
      </c>
      <c r="J570" t="s">
        <v>29</v>
      </c>
      <c r="K570" t="s">
        <v>29</v>
      </c>
      <c r="L570" t="s">
        <v>4061</v>
      </c>
      <c r="M570" s="74">
        <v>1</v>
      </c>
      <c r="N570" s="1" t="s">
        <v>4062</v>
      </c>
    </row>
    <row r="571" spans="1:14" x14ac:dyDescent="0.25">
      <c r="A571" s="8" t="s">
        <v>4063</v>
      </c>
      <c r="C571" t="s">
        <v>3365</v>
      </c>
      <c r="D571" t="s">
        <v>25</v>
      </c>
      <c r="E571" t="s">
        <v>333</v>
      </c>
      <c r="F571" t="s">
        <v>4064</v>
      </c>
      <c r="G571" s="1">
        <v>45398</v>
      </c>
      <c r="H571" s="1"/>
      <c r="I571" t="s">
        <v>1737</v>
      </c>
      <c r="J571" t="s">
        <v>29</v>
      </c>
      <c r="K571" t="s">
        <v>29</v>
      </c>
      <c r="M571" s="74">
        <v>100</v>
      </c>
      <c r="N571" s="1">
        <v>45435</v>
      </c>
    </row>
    <row r="572" spans="1:14" x14ac:dyDescent="0.25">
      <c r="A572" s="8" t="s">
        <v>4065</v>
      </c>
      <c r="C572" t="s">
        <v>474</v>
      </c>
      <c r="D572" t="s">
        <v>43</v>
      </c>
      <c r="E572" t="s">
        <v>3721</v>
      </c>
      <c r="F572" t="s">
        <v>4066</v>
      </c>
      <c r="G572" s="1">
        <v>45406</v>
      </c>
      <c r="H572" s="1"/>
      <c r="I572" t="s">
        <v>2952</v>
      </c>
      <c r="J572" t="s">
        <v>29</v>
      </c>
      <c r="M572" s="74"/>
      <c r="N572" s="1"/>
    </row>
    <row r="573" spans="1:14" x14ac:dyDescent="0.25">
      <c r="A573" s="8" t="s">
        <v>4067</v>
      </c>
      <c r="C573" t="s">
        <v>4068</v>
      </c>
      <c r="D573" t="s">
        <v>4069</v>
      </c>
      <c r="E573" t="s">
        <v>111</v>
      </c>
      <c r="F573" t="s">
        <v>4070</v>
      </c>
      <c r="G573" s="1">
        <v>45407</v>
      </c>
      <c r="H573" s="1"/>
      <c r="I573" t="s">
        <v>1737</v>
      </c>
      <c r="J573" t="s">
        <v>29</v>
      </c>
      <c r="M573" s="74">
        <v>100</v>
      </c>
      <c r="N573" s="1">
        <v>45449</v>
      </c>
    </row>
    <row r="574" spans="1:14" x14ac:dyDescent="0.25">
      <c r="A574" s="8" t="s">
        <v>4071</v>
      </c>
      <c r="C574" t="s">
        <v>4068</v>
      </c>
      <c r="D574" t="s">
        <v>4069</v>
      </c>
      <c r="E574" t="s">
        <v>111</v>
      </c>
      <c r="F574" t="s">
        <v>4072</v>
      </c>
      <c r="G574" s="1">
        <v>45407</v>
      </c>
      <c r="H574" s="1"/>
      <c r="I574" t="s">
        <v>1737</v>
      </c>
      <c r="J574" t="s">
        <v>3494</v>
      </c>
      <c r="K574" t="s">
        <v>29</v>
      </c>
      <c r="M574" s="74">
        <v>100</v>
      </c>
      <c r="N574" s="1">
        <v>45435</v>
      </c>
    </row>
    <row r="575" spans="1:14" x14ac:dyDescent="0.25">
      <c r="A575" s="8" t="s">
        <v>4073</v>
      </c>
      <c r="C575" t="s">
        <v>4068</v>
      </c>
      <c r="D575" t="s">
        <v>4069</v>
      </c>
      <c r="E575" t="s">
        <v>111</v>
      </c>
      <c r="F575" t="s">
        <v>4074</v>
      </c>
      <c r="G575" s="1">
        <v>45432</v>
      </c>
      <c r="H575" s="1"/>
      <c r="I575" t="s">
        <v>2952</v>
      </c>
      <c r="J575" t="s">
        <v>29</v>
      </c>
      <c r="M575" s="74">
        <v>100</v>
      </c>
      <c r="N575" s="1">
        <v>45449</v>
      </c>
    </row>
    <row r="576" spans="1:14" x14ac:dyDescent="0.25">
      <c r="A576" s="8" t="s">
        <v>4075</v>
      </c>
      <c r="C576" t="s">
        <v>3076</v>
      </c>
      <c r="D576" t="s">
        <v>253</v>
      </c>
      <c r="E576" t="s">
        <v>876</v>
      </c>
      <c r="F576" t="s">
        <v>4076</v>
      </c>
      <c r="G576" s="1">
        <v>45407</v>
      </c>
      <c r="H576" s="1"/>
      <c r="I576" t="s">
        <v>1737</v>
      </c>
      <c r="J576" t="s">
        <v>29</v>
      </c>
      <c r="K576" t="s">
        <v>29</v>
      </c>
      <c r="M576" s="74">
        <v>100</v>
      </c>
      <c r="N576" s="1">
        <v>45433</v>
      </c>
    </row>
    <row r="577" spans="1:14" x14ac:dyDescent="0.25">
      <c r="A577" s="8" t="s">
        <v>4077</v>
      </c>
      <c r="C577" t="s">
        <v>24</v>
      </c>
      <c r="D577" t="s">
        <v>253</v>
      </c>
      <c r="E577" t="s">
        <v>876</v>
      </c>
      <c r="F577" t="s">
        <v>4078</v>
      </c>
      <c r="G577" s="1">
        <v>45429</v>
      </c>
      <c r="H577" s="1"/>
      <c r="I577" t="s">
        <v>1737</v>
      </c>
      <c r="J577" t="s">
        <v>29</v>
      </c>
      <c r="K577" t="s">
        <v>29</v>
      </c>
      <c r="M577" s="74">
        <v>100</v>
      </c>
      <c r="N577" s="1">
        <v>45456</v>
      </c>
    </row>
    <row r="578" spans="1:14" x14ac:dyDescent="0.25">
      <c r="A578" s="8" t="s">
        <v>4079</v>
      </c>
      <c r="C578" t="s">
        <v>135</v>
      </c>
      <c r="D578" t="s">
        <v>253</v>
      </c>
      <c r="E578" t="s">
        <v>876</v>
      </c>
      <c r="F578" t="s">
        <v>4080</v>
      </c>
      <c r="G578" s="1">
        <v>45408</v>
      </c>
      <c r="H578" s="1"/>
      <c r="I578" t="s">
        <v>1737</v>
      </c>
      <c r="J578" t="s">
        <v>29</v>
      </c>
      <c r="K578" t="s">
        <v>29</v>
      </c>
      <c r="M578" s="74">
        <v>100</v>
      </c>
      <c r="N578" s="1">
        <v>45433</v>
      </c>
    </row>
    <row r="579" spans="1:14" x14ac:dyDescent="0.25">
      <c r="A579" s="8" t="s">
        <v>4081</v>
      </c>
      <c r="C579" t="s">
        <v>24</v>
      </c>
      <c r="D579" t="s">
        <v>3386</v>
      </c>
      <c r="E579" t="s">
        <v>3387</v>
      </c>
      <c r="F579" t="s">
        <v>3869</v>
      </c>
      <c r="G579" s="1">
        <v>45411</v>
      </c>
      <c r="H579" s="1"/>
      <c r="I579" t="s">
        <v>1737</v>
      </c>
      <c r="J579" t="s">
        <v>3494</v>
      </c>
      <c r="M579" s="74">
        <v>100</v>
      </c>
      <c r="N579" s="1">
        <v>45457</v>
      </c>
    </row>
    <row r="580" spans="1:14" x14ac:dyDescent="0.25">
      <c r="A580" s="8" t="s">
        <v>4082</v>
      </c>
      <c r="C580" t="s">
        <v>24</v>
      </c>
      <c r="D580" t="s">
        <v>479</v>
      </c>
      <c r="E580" t="s">
        <v>633</v>
      </c>
      <c r="F580" t="s">
        <v>4083</v>
      </c>
      <c r="G580" s="1">
        <v>45593</v>
      </c>
      <c r="H580" s="1"/>
      <c r="I580" t="s">
        <v>1737</v>
      </c>
      <c r="M580" s="74">
        <v>100</v>
      </c>
      <c r="N580" s="1">
        <v>45594</v>
      </c>
    </row>
    <row r="581" spans="1:14" x14ac:dyDescent="0.25">
      <c r="A581" s="8" t="s">
        <v>4084</v>
      </c>
      <c r="C581" t="s">
        <v>220</v>
      </c>
      <c r="D581" t="s">
        <v>253</v>
      </c>
      <c r="E581" t="s">
        <v>876</v>
      </c>
      <c r="F581" t="s">
        <v>4085</v>
      </c>
      <c r="G581" s="1">
        <v>45419</v>
      </c>
      <c r="H581" s="1"/>
      <c r="I581" t="s">
        <v>1737</v>
      </c>
      <c r="J581" t="s">
        <v>29</v>
      </c>
      <c r="K581" t="s">
        <v>29</v>
      </c>
      <c r="M581" s="74">
        <v>100</v>
      </c>
      <c r="N581" s="1">
        <v>45595</v>
      </c>
    </row>
    <row r="582" spans="1:14" ht="14.25" customHeight="1" x14ac:dyDescent="0.25">
      <c r="A582" s="8" t="s">
        <v>4086</v>
      </c>
      <c r="C582" t="s">
        <v>135</v>
      </c>
      <c r="D582" t="s">
        <v>32</v>
      </c>
      <c r="E582" t="s">
        <v>932</v>
      </c>
      <c r="F582" t="s">
        <v>4087</v>
      </c>
      <c r="G582" s="1">
        <v>45420</v>
      </c>
      <c r="H582" s="1"/>
      <c r="I582" t="s">
        <v>1737</v>
      </c>
      <c r="J582" t="s">
        <v>29</v>
      </c>
      <c r="K582" t="s">
        <v>29</v>
      </c>
      <c r="M582" s="74">
        <v>100</v>
      </c>
      <c r="N582" s="1">
        <v>45510</v>
      </c>
    </row>
    <row r="583" spans="1:14" x14ac:dyDescent="0.25">
      <c r="A583" s="8" t="s">
        <v>4088</v>
      </c>
      <c r="C583" t="s">
        <v>325</v>
      </c>
      <c r="D583" t="s">
        <v>4089</v>
      </c>
      <c r="F583" t="s">
        <v>4090</v>
      </c>
      <c r="G583" s="1">
        <v>45418</v>
      </c>
      <c r="H583" s="1"/>
      <c r="I583" t="s">
        <v>1737</v>
      </c>
      <c r="J583" t="s">
        <v>29</v>
      </c>
      <c r="M583" s="74">
        <v>100</v>
      </c>
      <c r="N583" s="1">
        <v>45434</v>
      </c>
    </row>
    <row r="584" spans="1:14" x14ac:dyDescent="0.25">
      <c r="A584" s="8" t="s">
        <v>4091</v>
      </c>
      <c r="C584" t="s">
        <v>220</v>
      </c>
      <c r="D584" t="s">
        <v>893</v>
      </c>
      <c r="E584" t="s">
        <v>894</v>
      </c>
      <c r="F584" t="s">
        <v>4092</v>
      </c>
      <c r="G584" s="1">
        <v>45425</v>
      </c>
      <c r="H584" s="1"/>
      <c r="I584" t="s">
        <v>1737</v>
      </c>
      <c r="J584" t="s">
        <v>29</v>
      </c>
      <c r="K584" t="s">
        <v>29</v>
      </c>
      <c r="M584" s="74">
        <v>100</v>
      </c>
      <c r="N584" s="1">
        <v>45433</v>
      </c>
    </row>
    <row r="585" spans="1:14" x14ac:dyDescent="0.25">
      <c r="A585" s="8" t="s">
        <v>4093</v>
      </c>
      <c r="C585" t="s">
        <v>24</v>
      </c>
      <c r="D585" t="s">
        <v>3857</v>
      </c>
      <c r="E585" t="s">
        <v>633</v>
      </c>
      <c r="F585" t="s">
        <v>4094</v>
      </c>
      <c r="G585" s="1">
        <v>45413</v>
      </c>
      <c r="H585" s="1"/>
      <c r="I585" t="s">
        <v>2952</v>
      </c>
      <c r="J585" t="s">
        <v>3494</v>
      </c>
      <c r="M585" s="74"/>
      <c r="N585" s="1"/>
    </row>
    <row r="586" spans="1:14" x14ac:dyDescent="0.25">
      <c r="A586" s="8" t="s">
        <v>4095</v>
      </c>
      <c r="C586" t="s">
        <v>24</v>
      </c>
      <c r="D586" t="s">
        <v>3868</v>
      </c>
      <c r="E586" t="s">
        <v>36</v>
      </c>
      <c r="F586" t="s">
        <v>4096</v>
      </c>
      <c r="G586" s="1">
        <v>45428</v>
      </c>
      <c r="H586" s="1"/>
      <c r="I586" t="s">
        <v>1737</v>
      </c>
      <c r="J586" t="s">
        <v>29</v>
      </c>
      <c r="M586" s="74" t="s">
        <v>4097</v>
      </c>
      <c r="N586" s="1" t="s">
        <v>4098</v>
      </c>
    </row>
    <row r="587" spans="1:14" x14ac:dyDescent="0.25">
      <c r="A587" s="8" t="s">
        <v>4099</v>
      </c>
      <c r="C587" t="s">
        <v>13</v>
      </c>
      <c r="D587" t="s">
        <v>4100</v>
      </c>
      <c r="E587" t="s">
        <v>61</v>
      </c>
      <c r="F587" t="s">
        <v>4101</v>
      </c>
      <c r="G587" s="1">
        <v>45428</v>
      </c>
      <c r="H587" s="1"/>
      <c r="I587" t="s">
        <v>2952</v>
      </c>
      <c r="J587" t="s">
        <v>29</v>
      </c>
      <c r="K587" t="s">
        <v>29</v>
      </c>
      <c r="L587" t="s">
        <v>811</v>
      </c>
      <c r="M587" s="74">
        <v>5.0000000000000001E-4</v>
      </c>
      <c r="N587" s="1">
        <v>45645</v>
      </c>
    </row>
    <row r="588" spans="1:14" x14ac:dyDescent="0.25">
      <c r="A588" s="8" t="s">
        <v>4102</v>
      </c>
      <c r="C588" t="s">
        <v>3365</v>
      </c>
      <c r="D588" t="s">
        <v>14</v>
      </c>
      <c r="F588" t="s">
        <v>4103</v>
      </c>
      <c r="G588" s="1">
        <v>45413</v>
      </c>
      <c r="H588" s="1"/>
      <c r="I588" t="s">
        <v>2952</v>
      </c>
      <c r="J588" t="s">
        <v>29</v>
      </c>
      <c r="K588" t="s">
        <v>29</v>
      </c>
      <c r="M588" s="74"/>
      <c r="N588" s="1"/>
    </row>
    <row r="589" spans="1:14" x14ac:dyDescent="0.25">
      <c r="A589" s="8" t="s">
        <v>4104</v>
      </c>
      <c r="C589" t="s">
        <v>220</v>
      </c>
      <c r="D589" t="s">
        <v>253</v>
      </c>
      <c r="E589" t="s">
        <v>4035</v>
      </c>
      <c r="F589" t="s">
        <v>4105</v>
      </c>
      <c r="G589" s="1">
        <v>45442</v>
      </c>
      <c r="H589" s="1"/>
      <c r="I589" t="s">
        <v>1737</v>
      </c>
      <c r="J589" t="s">
        <v>3494</v>
      </c>
      <c r="K589" t="s">
        <v>29</v>
      </c>
      <c r="L589" t="s">
        <v>857</v>
      </c>
      <c r="M589" s="74">
        <v>100</v>
      </c>
      <c r="N589" s="1" t="s">
        <v>4106</v>
      </c>
    </row>
    <row r="590" spans="1:14" x14ac:dyDescent="0.25">
      <c r="A590" s="8" t="s">
        <v>4107</v>
      </c>
      <c r="C590" t="s">
        <v>13</v>
      </c>
      <c r="D590" t="s">
        <v>937</v>
      </c>
      <c r="E590" t="s">
        <v>938</v>
      </c>
      <c r="F590" t="s">
        <v>939</v>
      </c>
      <c r="G590" s="1">
        <v>45450</v>
      </c>
      <c r="H590" s="1"/>
      <c r="I590" t="s">
        <v>1737</v>
      </c>
      <c r="J590" t="s">
        <v>29</v>
      </c>
      <c r="L590" t="s">
        <v>923</v>
      </c>
      <c r="M590" s="74">
        <v>100</v>
      </c>
      <c r="N590" s="1">
        <v>45594</v>
      </c>
    </row>
    <row r="591" spans="1:14" x14ac:dyDescent="0.25">
      <c r="A591" s="8" t="s">
        <v>4108</v>
      </c>
      <c r="C591" t="s">
        <v>135</v>
      </c>
      <c r="D591" t="s">
        <v>177</v>
      </c>
      <c r="E591" t="s">
        <v>511</v>
      </c>
      <c r="F591" t="s">
        <v>4109</v>
      </c>
      <c r="G591" s="1">
        <v>45454</v>
      </c>
      <c r="H591" s="1"/>
      <c r="I591" t="s">
        <v>1737</v>
      </c>
      <c r="J591" t="s">
        <v>3494</v>
      </c>
      <c r="K591" t="s">
        <v>29</v>
      </c>
      <c r="L591" t="s">
        <v>902</v>
      </c>
      <c r="M591" s="74">
        <v>100</v>
      </c>
      <c r="N591" s="1">
        <v>45635</v>
      </c>
    </row>
    <row r="592" spans="1:14" x14ac:dyDescent="0.25">
      <c r="A592" s="8" t="s">
        <v>4110</v>
      </c>
      <c r="C592" t="s">
        <v>135</v>
      </c>
      <c r="D592" t="s">
        <v>177</v>
      </c>
      <c r="E592" t="s">
        <v>511</v>
      </c>
      <c r="F592" t="s">
        <v>4111</v>
      </c>
      <c r="G592" s="1">
        <v>45566</v>
      </c>
      <c r="H592" s="1"/>
      <c r="I592" t="s">
        <v>2762</v>
      </c>
      <c r="J592" t="s">
        <v>29</v>
      </c>
      <c r="M592" s="74" t="s">
        <v>4112</v>
      </c>
      <c r="N592" s="1"/>
    </row>
    <row r="593" spans="1:14" x14ac:dyDescent="0.25">
      <c r="A593" s="8" t="s">
        <v>4113</v>
      </c>
      <c r="C593" t="s">
        <v>24</v>
      </c>
      <c r="D593" t="s">
        <v>35</v>
      </c>
      <c r="E593" t="s">
        <v>232</v>
      </c>
      <c r="F593" t="s">
        <v>4114</v>
      </c>
      <c r="G593" s="1">
        <v>45457</v>
      </c>
      <c r="H593" s="1"/>
      <c r="I593" t="s">
        <v>1737</v>
      </c>
      <c r="J593" t="s">
        <v>29</v>
      </c>
      <c r="K593" t="s">
        <v>29</v>
      </c>
      <c r="L593" t="s">
        <v>928</v>
      </c>
      <c r="M593" s="74">
        <v>100</v>
      </c>
      <c r="N593" s="1">
        <v>45464</v>
      </c>
    </row>
    <row r="594" spans="1:14" x14ac:dyDescent="0.25">
      <c r="A594" s="8" t="s">
        <v>4115</v>
      </c>
      <c r="C594" t="s">
        <v>24</v>
      </c>
      <c r="D594" t="s">
        <v>3868</v>
      </c>
      <c r="E594" t="s">
        <v>746</v>
      </c>
      <c r="F594" t="s">
        <v>4116</v>
      </c>
      <c r="G594" s="1">
        <v>45462</v>
      </c>
      <c r="H594" s="1"/>
      <c r="I594" t="s">
        <v>1737</v>
      </c>
      <c r="J594" t="s">
        <v>3494</v>
      </c>
      <c r="K594" t="s">
        <v>29</v>
      </c>
      <c r="M594" s="74">
        <v>1</v>
      </c>
      <c r="N594" s="1" t="s">
        <v>4117</v>
      </c>
    </row>
    <row r="595" spans="1:14" x14ac:dyDescent="0.25">
      <c r="A595" s="8" t="s">
        <v>4118</v>
      </c>
      <c r="C595" t="s">
        <v>135</v>
      </c>
      <c r="D595" t="s">
        <v>4119</v>
      </c>
      <c r="E595" t="s">
        <v>4120</v>
      </c>
      <c r="F595" t="s">
        <v>4121</v>
      </c>
      <c r="G595" s="1">
        <v>45463</v>
      </c>
      <c r="H595" s="1"/>
      <c r="I595" t="s">
        <v>1737</v>
      </c>
      <c r="J595" t="s">
        <v>3494</v>
      </c>
      <c r="K595" t="s">
        <v>29</v>
      </c>
      <c r="M595" s="74">
        <v>100</v>
      </c>
      <c r="N595" s="1">
        <v>45468</v>
      </c>
    </row>
    <row r="596" spans="1:14" x14ac:dyDescent="0.25">
      <c r="A596" s="8" t="s">
        <v>4122</v>
      </c>
      <c r="B596" t="s">
        <v>4123</v>
      </c>
      <c r="C596" t="s">
        <v>3928</v>
      </c>
      <c r="D596" t="s">
        <v>253</v>
      </c>
      <c r="E596" t="s">
        <v>4035</v>
      </c>
      <c r="F596" t="s">
        <v>4124</v>
      </c>
      <c r="G596" s="1">
        <v>45468</v>
      </c>
      <c r="H596" s="1"/>
      <c r="I596" t="s">
        <v>1737</v>
      </c>
      <c r="J596" t="s">
        <v>3494</v>
      </c>
      <c r="K596" t="s">
        <v>29</v>
      </c>
      <c r="M596" s="74">
        <v>100</v>
      </c>
      <c r="N596" s="1" t="s">
        <v>4125</v>
      </c>
    </row>
    <row r="597" spans="1:14" x14ac:dyDescent="0.25">
      <c r="A597" s="8" t="s">
        <v>4126</v>
      </c>
      <c r="C597" t="s">
        <v>24</v>
      </c>
      <c r="D597" t="s">
        <v>4127</v>
      </c>
      <c r="E597" t="s">
        <v>4128</v>
      </c>
      <c r="F597" t="s">
        <v>952</v>
      </c>
      <c r="G597" s="1">
        <v>45469</v>
      </c>
      <c r="H597" s="1"/>
      <c r="I597" t="s">
        <v>2952</v>
      </c>
      <c r="J597" t="s">
        <v>29</v>
      </c>
      <c r="K597" t="s">
        <v>29</v>
      </c>
      <c r="L597" t="s">
        <v>940</v>
      </c>
      <c r="M597" s="74">
        <v>100</v>
      </c>
      <c r="N597" s="1">
        <v>45527</v>
      </c>
    </row>
    <row r="598" spans="1:14" x14ac:dyDescent="0.25">
      <c r="A598" s="8" t="s">
        <v>4129</v>
      </c>
      <c r="C598" t="s">
        <v>704</v>
      </c>
      <c r="D598" t="s">
        <v>32</v>
      </c>
      <c r="E598" t="s">
        <v>397</v>
      </c>
      <c r="F598" t="s">
        <v>4130</v>
      </c>
      <c r="G598" s="1">
        <v>45475</v>
      </c>
      <c r="H598" s="1"/>
      <c r="I598" t="s">
        <v>1737</v>
      </c>
      <c r="J598" t="s">
        <v>29</v>
      </c>
      <c r="L598" t="s">
        <v>942</v>
      </c>
      <c r="M598" s="74">
        <v>100</v>
      </c>
      <c r="N598" s="1">
        <v>45559</v>
      </c>
    </row>
    <row r="599" spans="1:14" x14ac:dyDescent="0.25">
      <c r="A599" s="8" t="s">
        <v>4131</v>
      </c>
      <c r="C599" t="s">
        <v>474</v>
      </c>
      <c r="D599" t="s">
        <v>253</v>
      </c>
      <c r="E599" t="s">
        <v>254</v>
      </c>
      <c r="F599" t="s">
        <v>4132</v>
      </c>
      <c r="G599" s="1">
        <v>45476</v>
      </c>
      <c r="H599" s="1"/>
      <c r="I599" t="s">
        <v>1737</v>
      </c>
      <c r="J599" t="s">
        <v>29</v>
      </c>
      <c r="L599" t="s">
        <v>4133</v>
      </c>
      <c r="M599" s="74" t="s">
        <v>4134</v>
      </c>
      <c r="N599" s="1" t="s">
        <v>4135</v>
      </c>
    </row>
    <row r="600" spans="1:14" x14ac:dyDescent="0.25">
      <c r="A600" s="8" t="s">
        <v>4136</v>
      </c>
      <c r="C600" t="s">
        <v>4137</v>
      </c>
      <c r="D600" t="s">
        <v>4138</v>
      </c>
      <c r="E600" t="s">
        <v>4139</v>
      </c>
      <c r="F600" t="s">
        <v>4140</v>
      </c>
      <c r="G600" s="1">
        <v>45481</v>
      </c>
      <c r="H600" s="1"/>
      <c r="I600" t="s">
        <v>1737</v>
      </c>
      <c r="J600" t="s">
        <v>3494</v>
      </c>
      <c r="K600" t="s">
        <v>29</v>
      </c>
      <c r="M600" s="74" t="s">
        <v>4141</v>
      </c>
      <c r="N600" s="1" t="s">
        <v>4142</v>
      </c>
    </row>
    <row r="601" spans="1:14" x14ac:dyDescent="0.25">
      <c r="A601" s="8" t="s">
        <v>4143</v>
      </c>
      <c r="C601" t="s">
        <v>4144</v>
      </c>
      <c r="D601" t="s">
        <v>1922</v>
      </c>
      <c r="E601" t="s">
        <v>3834</v>
      </c>
      <c r="F601" t="s">
        <v>4145</v>
      </c>
      <c r="G601" s="1">
        <v>45481</v>
      </c>
      <c r="H601" s="1"/>
      <c r="I601" t="s">
        <v>1737</v>
      </c>
      <c r="J601" t="s">
        <v>3494</v>
      </c>
      <c r="M601" s="74">
        <v>100</v>
      </c>
      <c r="N601" s="1">
        <v>45482</v>
      </c>
    </row>
    <row r="602" spans="1:14" x14ac:dyDescent="0.25">
      <c r="A602" s="8" t="s">
        <v>4146</v>
      </c>
      <c r="C602" t="s">
        <v>2956</v>
      </c>
      <c r="D602" t="s">
        <v>3868</v>
      </c>
      <c r="E602" t="s">
        <v>4147</v>
      </c>
      <c r="F602" t="s">
        <v>3874</v>
      </c>
      <c r="G602" s="1">
        <v>45483</v>
      </c>
      <c r="H602" s="1"/>
      <c r="I602" t="s">
        <v>1737</v>
      </c>
      <c r="J602" t="s">
        <v>29</v>
      </c>
      <c r="K602" t="s">
        <v>29</v>
      </c>
      <c r="M602" s="74">
        <v>100</v>
      </c>
      <c r="N602" s="1">
        <v>45569</v>
      </c>
    </row>
    <row r="603" spans="1:14" x14ac:dyDescent="0.25">
      <c r="A603" s="8" t="s">
        <v>4148</v>
      </c>
      <c r="C603" t="s">
        <v>2956</v>
      </c>
      <c r="D603" t="s">
        <v>3868</v>
      </c>
      <c r="E603" t="s">
        <v>4147</v>
      </c>
      <c r="F603" t="s">
        <v>3874</v>
      </c>
      <c r="G603" s="1">
        <v>45483</v>
      </c>
      <c r="H603" s="1"/>
      <c r="I603" t="s">
        <v>1737</v>
      </c>
      <c r="J603" t="s">
        <v>29</v>
      </c>
      <c r="K603" t="s">
        <v>29</v>
      </c>
      <c r="M603" s="74">
        <v>100</v>
      </c>
      <c r="N603" s="1">
        <v>45569</v>
      </c>
    </row>
    <row r="604" spans="1:14" x14ac:dyDescent="0.25">
      <c r="A604" s="8" t="s">
        <v>4149</v>
      </c>
      <c r="C604" t="s">
        <v>2956</v>
      </c>
      <c r="D604" t="s">
        <v>3868</v>
      </c>
      <c r="E604" t="s">
        <v>4147</v>
      </c>
      <c r="F604" t="s">
        <v>3874</v>
      </c>
      <c r="G604" s="1">
        <v>45484</v>
      </c>
      <c r="H604" s="1"/>
      <c r="I604" t="s">
        <v>1737</v>
      </c>
      <c r="J604" t="s">
        <v>29</v>
      </c>
      <c r="K604" t="s">
        <v>29</v>
      </c>
      <c r="M604" s="74">
        <v>100</v>
      </c>
      <c r="N604" s="1">
        <v>45569</v>
      </c>
    </row>
    <row r="605" spans="1:14" x14ac:dyDescent="0.25">
      <c r="A605" s="8" t="s">
        <v>4150</v>
      </c>
      <c r="C605" t="s">
        <v>2956</v>
      </c>
      <c r="D605" t="s">
        <v>3868</v>
      </c>
      <c r="E605" t="s">
        <v>4147</v>
      </c>
      <c r="F605" t="s">
        <v>3874</v>
      </c>
      <c r="G605" s="1">
        <v>45484</v>
      </c>
      <c r="H605" s="1"/>
      <c r="I605" t="s">
        <v>1737</v>
      </c>
      <c r="J605" t="s">
        <v>29</v>
      </c>
      <c r="K605" t="s">
        <v>29</v>
      </c>
      <c r="M605" s="74">
        <v>100</v>
      </c>
      <c r="N605" s="1">
        <v>45569</v>
      </c>
    </row>
    <row r="606" spans="1:14" x14ac:dyDescent="0.25">
      <c r="A606" s="8" t="s">
        <v>4151</v>
      </c>
      <c r="C606" t="s">
        <v>2956</v>
      </c>
      <c r="D606" t="s">
        <v>3868</v>
      </c>
      <c r="E606" t="s">
        <v>4147</v>
      </c>
      <c r="F606" t="s">
        <v>4152</v>
      </c>
      <c r="G606" s="1">
        <v>45488</v>
      </c>
      <c r="H606" s="1"/>
      <c r="I606" t="s">
        <v>1737</v>
      </c>
      <c r="J606" t="s">
        <v>29</v>
      </c>
      <c r="K606" t="s">
        <v>29</v>
      </c>
      <c r="M606" s="74">
        <v>100</v>
      </c>
      <c r="N606" s="1">
        <v>45569</v>
      </c>
    </row>
    <row r="607" spans="1:14" x14ac:dyDescent="0.25">
      <c r="A607" s="8" t="s">
        <v>4153</v>
      </c>
      <c r="C607" t="s">
        <v>4154</v>
      </c>
      <c r="D607" t="s">
        <v>3868</v>
      </c>
      <c r="E607" t="s">
        <v>4147</v>
      </c>
      <c r="F607" t="s">
        <v>3874</v>
      </c>
      <c r="G607" s="1">
        <v>45489</v>
      </c>
      <c r="H607" s="1"/>
      <c r="I607" t="s">
        <v>1737</v>
      </c>
      <c r="J607" t="s">
        <v>29</v>
      </c>
      <c r="K607" t="s">
        <v>29</v>
      </c>
      <c r="M607" s="74">
        <v>100</v>
      </c>
      <c r="N607" s="1" t="s">
        <v>4155</v>
      </c>
    </row>
    <row r="608" spans="1:14" x14ac:dyDescent="0.25">
      <c r="A608" s="8" t="s">
        <v>4156</v>
      </c>
      <c r="C608" t="s">
        <v>4154</v>
      </c>
      <c r="D608" t="s">
        <v>3868</v>
      </c>
      <c r="E608" t="s">
        <v>4147</v>
      </c>
      <c r="F608" t="s">
        <v>3874</v>
      </c>
      <c r="G608" s="1">
        <v>45502</v>
      </c>
      <c r="H608" s="1"/>
      <c r="I608" t="s">
        <v>1737</v>
      </c>
      <c r="J608" t="s">
        <v>29</v>
      </c>
      <c r="K608" t="s">
        <v>29</v>
      </c>
      <c r="M608" s="74">
        <v>100</v>
      </c>
      <c r="N608" s="1">
        <v>45582</v>
      </c>
    </row>
    <row r="609" spans="1:15" x14ac:dyDescent="0.25">
      <c r="A609" s="8" t="s">
        <v>4157</v>
      </c>
      <c r="C609" t="s">
        <v>4154</v>
      </c>
      <c r="D609" t="s">
        <v>3868</v>
      </c>
      <c r="E609" t="s">
        <v>4147</v>
      </c>
      <c r="F609" t="s">
        <v>4158</v>
      </c>
      <c r="G609" s="1">
        <v>45502</v>
      </c>
      <c r="H609" s="1"/>
      <c r="I609" t="s">
        <v>1737</v>
      </c>
      <c r="J609" t="s">
        <v>29</v>
      </c>
      <c r="K609" t="s">
        <v>29</v>
      </c>
      <c r="M609" s="74">
        <v>100</v>
      </c>
      <c r="N609" s="1">
        <v>45582</v>
      </c>
    </row>
    <row r="610" spans="1:15" x14ac:dyDescent="0.25">
      <c r="A610" s="8" t="s">
        <v>4159</v>
      </c>
      <c r="C610" t="s">
        <v>4154</v>
      </c>
      <c r="D610" t="s">
        <v>3868</v>
      </c>
      <c r="E610" t="s">
        <v>4147</v>
      </c>
      <c r="F610" s="6" t="s">
        <v>4158</v>
      </c>
      <c r="G610" s="1">
        <v>45497</v>
      </c>
      <c r="H610" s="1"/>
      <c r="I610" t="s">
        <v>1737</v>
      </c>
      <c r="J610" t="s">
        <v>29</v>
      </c>
      <c r="K610" t="s">
        <v>29</v>
      </c>
      <c r="M610" s="74">
        <v>100</v>
      </c>
      <c r="N610" s="1">
        <v>45582</v>
      </c>
    </row>
    <row r="611" spans="1:15" x14ac:dyDescent="0.25">
      <c r="A611" s="8" t="s">
        <v>4160</v>
      </c>
      <c r="C611" t="s">
        <v>4154</v>
      </c>
      <c r="D611" t="s">
        <v>3868</v>
      </c>
      <c r="E611" t="s">
        <v>4147</v>
      </c>
      <c r="F611" s="6" t="s">
        <v>3874</v>
      </c>
      <c r="G611" s="1">
        <v>45499</v>
      </c>
      <c r="H611" s="1"/>
      <c r="I611" t="s">
        <v>1737</v>
      </c>
      <c r="J611" t="s">
        <v>29</v>
      </c>
      <c r="K611" t="s">
        <v>29</v>
      </c>
      <c r="M611" s="74">
        <v>100</v>
      </c>
      <c r="N611" s="1">
        <v>45582</v>
      </c>
    </row>
    <row r="612" spans="1:15" x14ac:dyDescent="0.25">
      <c r="A612" s="8" t="s">
        <v>4161</v>
      </c>
      <c r="C612" t="s">
        <v>4154</v>
      </c>
      <c r="D612" t="s">
        <v>3868</v>
      </c>
      <c r="E612" t="s">
        <v>4147</v>
      </c>
      <c r="F612" s="6" t="s">
        <v>3874</v>
      </c>
      <c r="G612" s="1">
        <v>45503</v>
      </c>
      <c r="H612" s="1"/>
      <c r="I612" t="s">
        <v>1737</v>
      </c>
      <c r="J612" t="s">
        <v>29</v>
      </c>
      <c r="K612" t="s">
        <v>29</v>
      </c>
      <c r="M612" s="74">
        <v>100</v>
      </c>
      <c r="N612" s="1">
        <v>45582</v>
      </c>
    </row>
    <row r="613" spans="1:15" x14ac:dyDescent="0.25">
      <c r="A613" s="8" t="s">
        <v>4162</v>
      </c>
      <c r="C613" t="s">
        <v>4154</v>
      </c>
      <c r="D613" t="s">
        <v>3868</v>
      </c>
      <c r="E613" t="s">
        <v>4147</v>
      </c>
      <c r="F613" s="6" t="s">
        <v>4163</v>
      </c>
      <c r="G613" s="1">
        <v>45518</v>
      </c>
      <c r="H613" s="1"/>
      <c r="I613" t="s">
        <v>1737</v>
      </c>
      <c r="J613" t="s">
        <v>29</v>
      </c>
      <c r="K613" t="s">
        <v>29</v>
      </c>
      <c r="M613" s="74">
        <v>100</v>
      </c>
      <c r="N613" s="1">
        <v>45602</v>
      </c>
    </row>
    <row r="614" spans="1:15" x14ac:dyDescent="0.25">
      <c r="A614" s="8" t="s">
        <v>4164</v>
      </c>
      <c r="C614" t="s">
        <v>4154</v>
      </c>
      <c r="D614" t="s">
        <v>3868</v>
      </c>
      <c r="E614" t="s">
        <v>4147</v>
      </c>
      <c r="F614" s="6" t="s">
        <v>4165</v>
      </c>
      <c r="G614" s="1">
        <v>45518</v>
      </c>
      <c r="H614" s="1"/>
      <c r="I614" t="s">
        <v>1737</v>
      </c>
      <c r="J614" t="s">
        <v>29</v>
      </c>
      <c r="K614" t="s">
        <v>29</v>
      </c>
      <c r="M614" s="74">
        <v>100</v>
      </c>
      <c r="N614" s="1">
        <v>45602</v>
      </c>
    </row>
    <row r="615" spans="1:15" x14ac:dyDescent="0.25">
      <c r="A615" s="8" t="s">
        <v>4166</v>
      </c>
      <c r="C615" t="s">
        <v>3547</v>
      </c>
      <c r="D615" t="s">
        <v>963</v>
      </c>
      <c r="E615" t="s">
        <v>964</v>
      </c>
      <c r="F615" t="s">
        <v>4167</v>
      </c>
      <c r="G615" s="1">
        <v>45484</v>
      </c>
      <c r="H615" s="1"/>
      <c r="I615" t="s">
        <v>1737</v>
      </c>
      <c r="J615" t="s">
        <v>29</v>
      </c>
      <c r="K615" t="s">
        <v>29</v>
      </c>
      <c r="L615" t="s">
        <v>4168</v>
      </c>
      <c r="M615" s="74">
        <v>100</v>
      </c>
      <c r="N615" s="1">
        <v>45586</v>
      </c>
    </row>
    <row r="616" spans="1:15" x14ac:dyDescent="0.25">
      <c r="A616" s="8" t="s">
        <v>4169</v>
      </c>
      <c r="C616" t="s">
        <v>4144</v>
      </c>
      <c r="D616" t="s">
        <v>4170</v>
      </c>
      <c r="E616" t="s">
        <v>964</v>
      </c>
      <c r="F616" t="s">
        <v>1731</v>
      </c>
      <c r="G616" s="1">
        <v>45566</v>
      </c>
      <c r="H616" s="1"/>
      <c r="I616" t="s">
        <v>2952</v>
      </c>
      <c r="J616" t="s">
        <v>29</v>
      </c>
      <c r="M616" s="74"/>
      <c r="N616" s="1"/>
    </row>
    <row r="617" spans="1:15" x14ac:dyDescent="0.25">
      <c r="A617" s="8" t="s">
        <v>4171</v>
      </c>
      <c r="C617" t="s">
        <v>474</v>
      </c>
      <c r="D617" t="s">
        <v>903</v>
      </c>
      <c r="E617" t="s">
        <v>4172</v>
      </c>
      <c r="F617" t="s">
        <v>4173</v>
      </c>
      <c r="G617" s="1">
        <v>45488</v>
      </c>
      <c r="H617" s="1"/>
      <c r="I617" t="s">
        <v>1737</v>
      </c>
      <c r="J617" t="s">
        <v>29</v>
      </c>
      <c r="K617" t="s">
        <v>29</v>
      </c>
      <c r="L617" t="s">
        <v>946</v>
      </c>
      <c r="M617" s="74" t="s">
        <v>4174</v>
      </c>
      <c r="N617" s="1" t="s">
        <v>4175</v>
      </c>
      <c r="O617" t="s">
        <v>2762</v>
      </c>
    </row>
    <row r="618" spans="1:15" x14ac:dyDescent="0.25">
      <c r="A618" s="8" t="s">
        <v>4176</v>
      </c>
      <c r="C618" t="s">
        <v>825</v>
      </c>
      <c r="D618" t="s">
        <v>903</v>
      </c>
      <c r="E618" t="s">
        <v>4172</v>
      </c>
      <c r="F618" t="s">
        <v>4177</v>
      </c>
      <c r="G618" s="1">
        <v>45614</v>
      </c>
      <c r="H618" s="1"/>
      <c r="I618" t="s">
        <v>1737</v>
      </c>
      <c r="J618" t="s">
        <v>29</v>
      </c>
      <c r="M618" s="74">
        <v>1</v>
      </c>
      <c r="N618" s="1">
        <v>45614</v>
      </c>
    </row>
    <row r="619" spans="1:15" x14ac:dyDescent="0.25">
      <c r="A619" s="8" t="s">
        <v>4178</v>
      </c>
      <c r="C619" t="s">
        <v>474</v>
      </c>
      <c r="D619" t="s">
        <v>14</v>
      </c>
      <c r="E619" t="s">
        <v>4179</v>
      </c>
      <c r="F619" t="s">
        <v>4180</v>
      </c>
      <c r="G619" s="1">
        <v>45496</v>
      </c>
      <c r="H619" s="1"/>
      <c r="I619" t="s">
        <v>2952</v>
      </c>
      <c r="J619" t="s">
        <v>29</v>
      </c>
      <c r="K619" t="s">
        <v>29</v>
      </c>
      <c r="M619" s="74"/>
      <c r="N619" s="1"/>
    </row>
    <row r="620" spans="1:15" x14ac:dyDescent="0.25">
      <c r="A620" s="8" t="s">
        <v>4181</v>
      </c>
      <c r="C620" t="s">
        <v>135</v>
      </c>
      <c r="D620" t="s">
        <v>25</v>
      </c>
      <c r="E620" t="s">
        <v>4182</v>
      </c>
      <c r="F620" t="s">
        <v>4183</v>
      </c>
      <c r="G620" s="1">
        <v>45498</v>
      </c>
      <c r="H620" s="1"/>
      <c r="I620" t="s">
        <v>1737</v>
      </c>
      <c r="J620" t="s">
        <v>29</v>
      </c>
      <c r="K620" t="s">
        <v>29</v>
      </c>
      <c r="M620" s="74">
        <v>100</v>
      </c>
      <c r="N620" s="1">
        <v>45530</v>
      </c>
    </row>
    <row r="621" spans="1:15" x14ac:dyDescent="0.25">
      <c r="A621" s="8" t="s">
        <v>4184</v>
      </c>
      <c r="C621" t="s">
        <v>825</v>
      </c>
      <c r="D621" t="s">
        <v>43</v>
      </c>
      <c r="E621" t="s">
        <v>1188</v>
      </c>
      <c r="F621" t="s">
        <v>4185</v>
      </c>
      <c r="G621" s="1">
        <v>45503</v>
      </c>
      <c r="H621" s="1"/>
      <c r="I621" t="s">
        <v>1737</v>
      </c>
      <c r="J621" t="s">
        <v>29</v>
      </c>
      <c r="K621" t="s">
        <v>29</v>
      </c>
      <c r="M621" s="74" t="s">
        <v>4186</v>
      </c>
      <c r="N621" s="1" t="s">
        <v>4187</v>
      </c>
    </row>
    <row r="622" spans="1:15" x14ac:dyDescent="0.25">
      <c r="A622" s="8" t="s">
        <v>4188</v>
      </c>
      <c r="C622" t="s">
        <v>325</v>
      </c>
      <c r="D622" t="s">
        <v>253</v>
      </c>
      <c r="E622" t="s">
        <v>4035</v>
      </c>
      <c r="F622" t="s">
        <v>4189</v>
      </c>
      <c r="G622" s="1">
        <v>45505</v>
      </c>
      <c r="H622" s="1"/>
      <c r="I622" t="s">
        <v>1737</v>
      </c>
      <c r="J622" t="s">
        <v>29</v>
      </c>
      <c r="K622" t="s">
        <v>29</v>
      </c>
      <c r="M622" s="74">
        <v>100</v>
      </c>
      <c r="N622" s="1">
        <v>45506</v>
      </c>
    </row>
    <row r="623" spans="1:15" x14ac:dyDescent="0.25">
      <c r="A623" s="8" t="s">
        <v>4190</v>
      </c>
      <c r="C623" t="s">
        <v>3898</v>
      </c>
      <c r="D623" t="s">
        <v>956</v>
      </c>
      <c r="F623" t="s">
        <v>4191</v>
      </c>
      <c r="G623" s="1">
        <v>45501</v>
      </c>
      <c r="H623" s="1"/>
      <c r="I623" t="s">
        <v>2952</v>
      </c>
      <c r="J623" t="s">
        <v>29</v>
      </c>
      <c r="M623" s="74"/>
      <c r="N623" s="1"/>
    </row>
    <row r="624" spans="1:15" x14ac:dyDescent="0.25">
      <c r="A624" s="8" t="s">
        <v>4192</v>
      </c>
      <c r="C624" t="s">
        <v>135</v>
      </c>
      <c r="D624" t="s">
        <v>997</v>
      </c>
      <c r="E624" t="s">
        <v>4193</v>
      </c>
      <c r="F624" t="s">
        <v>4194</v>
      </c>
      <c r="G624" s="1">
        <v>45474</v>
      </c>
      <c r="H624" s="1"/>
      <c r="I624" t="s">
        <v>1737</v>
      </c>
      <c r="J624" t="s">
        <v>29</v>
      </c>
      <c r="M624" s="74">
        <v>100</v>
      </c>
      <c r="N624" s="1">
        <v>45586</v>
      </c>
    </row>
    <row r="625" spans="1:14" x14ac:dyDescent="0.25">
      <c r="A625" s="8" t="s">
        <v>4195</v>
      </c>
      <c r="C625" t="s">
        <v>996</v>
      </c>
      <c r="D625" t="s">
        <v>997</v>
      </c>
      <c r="E625" t="s">
        <v>4193</v>
      </c>
      <c r="F625" t="s">
        <v>998</v>
      </c>
      <c r="G625" s="1">
        <v>45517</v>
      </c>
      <c r="H625" s="1"/>
      <c r="I625" t="s">
        <v>1737</v>
      </c>
      <c r="J625" t="s">
        <v>29</v>
      </c>
      <c r="K625" t="s">
        <v>29</v>
      </c>
      <c r="L625" t="s">
        <v>1007</v>
      </c>
      <c r="M625" s="74">
        <v>100</v>
      </c>
      <c r="N625" s="1">
        <v>45544</v>
      </c>
    </row>
    <row r="626" spans="1:14" x14ac:dyDescent="0.25">
      <c r="A626" s="8" t="s">
        <v>4196</v>
      </c>
      <c r="C626" t="s">
        <v>24</v>
      </c>
      <c r="D626" t="s">
        <v>4127</v>
      </c>
      <c r="E626" t="s">
        <v>1005</v>
      </c>
      <c r="F626" t="s">
        <v>4197</v>
      </c>
      <c r="G626" s="1">
        <v>45518</v>
      </c>
      <c r="H626" s="1"/>
      <c r="I626" t="s">
        <v>1737</v>
      </c>
      <c r="J626" t="s">
        <v>29</v>
      </c>
      <c r="K626" t="s">
        <v>29</v>
      </c>
      <c r="L626" t="s">
        <v>1012</v>
      </c>
      <c r="M626" s="74">
        <v>100</v>
      </c>
      <c r="N626" s="1">
        <v>45545</v>
      </c>
    </row>
    <row r="627" spans="1:14" x14ac:dyDescent="0.25">
      <c r="A627" s="8" t="s">
        <v>4198</v>
      </c>
      <c r="C627" t="s">
        <v>24</v>
      </c>
      <c r="D627" t="s">
        <v>4127</v>
      </c>
      <c r="E627" t="s">
        <v>232</v>
      </c>
      <c r="F627" t="s">
        <v>4199</v>
      </c>
      <c r="G627" s="1">
        <v>45519</v>
      </c>
      <c r="H627" s="1"/>
      <c r="I627" t="s">
        <v>1737</v>
      </c>
      <c r="J627" t="s">
        <v>29</v>
      </c>
      <c r="K627" t="s">
        <v>29</v>
      </c>
      <c r="L627" t="s">
        <v>1014</v>
      </c>
      <c r="M627" s="74">
        <v>100</v>
      </c>
      <c r="N627" s="1">
        <v>45596</v>
      </c>
    </row>
    <row r="628" spans="1:14" x14ac:dyDescent="0.25">
      <c r="A628" s="8" t="s">
        <v>4200</v>
      </c>
      <c r="C628" t="s">
        <v>325</v>
      </c>
      <c r="D628" t="s">
        <v>253</v>
      </c>
      <c r="E628" t="s">
        <v>254</v>
      </c>
      <c r="F628" t="s">
        <v>4201</v>
      </c>
      <c r="G628" s="1">
        <v>45521</v>
      </c>
      <c r="H628" s="1"/>
      <c r="I628" t="s">
        <v>2952</v>
      </c>
      <c r="J628" t="s">
        <v>29</v>
      </c>
      <c r="M628" s="74"/>
      <c r="N628" s="1"/>
    </row>
    <row r="629" spans="1:14" x14ac:dyDescent="0.25">
      <c r="A629" s="8" t="s">
        <v>4202</v>
      </c>
      <c r="B629" t="s">
        <v>917</v>
      </c>
      <c r="C629" t="s">
        <v>220</v>
      </c>
      <c r="D629" t="s">
        <v>4203</v>
      </c>
      <c r="E629" t="s">
        <v>4204</v>
      </c>
      <c r="F629" t="s">
        <v>4205</v>
      </c>
      <c r="G629" s="1">
        <v>45523</v>
      </c>
      <c r="H629" s="1"/>
      <c r="I629" t="s">
        <v>3493</v>
      </c>
      <c r="J629" t="s">
        <v>3494</v>
      </c>
      <c r="M629" s="74"/>
      <c r="N629" s="1"/>
    </row>
    <row r="630" spans="1:14" x14ac:dyDescent="0.25">
      <c r="A630" s="8" t="s">
        <v>4206</v>
      </c>
      <c r="C630" t="s">
        <v>220</v>
      </c>
      <c r="D630" t="s">
        <v>253</v>
      </c>
      <c r="E630" t="s">
        <v>254</v>
      </c>
      <c r="F630" t="s">
        <v>4207</v>
      </c>
      <c r="G630" s="1">
        <v>45539</v>
      </c>
      <c r="H630" s="1"/>
      <c r="I630" t="s">
        <v>3493</v>
      </c>
      <c r="J630" t="s">
        <v>29</v>
      </c>
      <c r="M630" s="74"/>
      <c r="N630" s="1"/>
    </row>
    <row r="631" spans="1:14" x14ac:dyDescent="0.25">
      <c r="A631" s="8" t="s">
        <v>4208</v>
      </c>
      <c r="C631" t="s">
        <v>4209</v>
      </c>
      <c r="D631" t="s">
        <v>253</v>
      </c>
      <c r="E631" t="s">
        <v>254</v>
      </c>
      <c r="F631" t="s">
        <v>4210</v>
      </c>
      <c r="G631" s="1">
        <v>45558</v>
      </c>
      <c r="H631" s="1"/>
      <c r="I631" t="s">
        <v>2952</v>
      </c>
      <c r="J631" t="s">
        <v>29</v>
      </c>
      <c r="M631" s="74"/>
      <c r="N631" s="1"/>
    </row>
    <row r="632" spans="1:14" x14ac:dyDescent="0.25">
      <c r="A632" s="8" t="s">
        <v>4211</v>
      </c>
      <c r="C632" t="s">
        <v>13</v>
      </c>
      <c r="D632" t="s">
        <v>989</v>
      </c>
      <c r="E632" t="s">
        <v>990</v>
      </c>
      <c r="F632" t="s">
        <v>4212</v>
      </c>
      <c r="G632" s="1">
        <v>45544</v>
      </c>
      <c r="H632" s="1"/>
      <c r="I632" t="s">
        <v>2952</v>
      </c>
      <c r="J632" t="s">
        <v>29</v>
      </c>
      <c r="K632" t="s">
        <v>29</v>
      </c>
      <c r="M632" s="74"/>
      <c r="N632" s="1"/>
    </row>
    <row r="633" spans="1:14" x14ac:dyDescent="0.25">
      <c r="A633" s="8" t="s">
        <v>4213</v>
      </c>
      <c r="C633" t="s">
        <v>325</v>
      </c>
      <c r="D633" t="s">
        <v>253</v>
      </c>
      <c r="E633" t="s">
        <v>254</v>
      </c>
      <c r="F633" t="s">
        <v>4214</v>
      </c>
      <c r="G633" s="1">
        <v>45555</v>
      </c>
      <c r="H633" s="1"/>
      <c r="I633" t="s">
        <v>1737</v>
      </c>
      <c r="J633" t="s">
        <v>29</v>
      </c>
      <c r="M633" s="74">
        <v>100</v>
      </c>
      <c r="N633" s="1">
        <v>45587</v>
      </c>
    </row>
    <row r="634" spans="1:14" x14ac:dyDescent="0.25">
      <c r="A634" s="8" t="s">
        <v>4215</v>
      </c>
      <c r="C634" t="s">
        <v>24</v>
      </c>
      <c r="D634" t="s">
        <v>4216</v>
      </c>
      <c r="E634" t="s">
        <v>1017</v>
      </c>
      <c r="F634" t="s">
        <v>4217</v>
      </c>
      <c r="G634" s="1">
        <v>45558</v>
      </c>
      <c r="H634" s="1"/>
      <c r="I634" t="s">
        <v>1737</v>
      </c>
      <c r="J634" t="s">
        <v>29</v>
      </c>
      <c r="M634" s="74">
        <v>100</v>
      </c>
      <c r="N634" s="1">
        <v>45594</v>
      </c>
    </row>
    <row r="635" spans="1:14" x14ac:dyDescent="0.25">
      <c r="A635" s="8" t="s">
        <v>4218</v>
      </c>
      <c r="C635" t="s">
        <v>4219</v>
      </c>
      <c r="D635" t="s">
        <v>253</v>
      </c>
      <c r="E635" t="s">
        <v>254</v>
      </c>
      <c r="F635" t="s">
        <v>4220</v>
      </c>
      <c r="G635" s="1">
        <v>45558</v>
      </c>
      <c r="H635" s="1"/>
      <c r="I635" t="s">
        <v>1737</v>
      </c>
      <c r="J635" t="s">
        <v>29</v>
      </c>
      <c r="M635" s="74">
        <v>100</v>
      </c>
      <c r="N635" s="1">
        <v>45646</v>
      </c>
    </row>
    <row r="636" spans="1:14" x14ac:dyDescent="0.25">
      <c r="A636" s="8" t="s">
        <v>4221</v>
      </c>
      <c r="C636" t="s">
        <v>4222</v>
      </c>
      <c r="D636" t="s">
        <v>243</v>
      </c>
      <c r="E636" t="s">
        <v>244</v>
      </c>
      <c r="F636" t="s">
        <v>1000</v>
      </c>
      <c r="G636" s="1">
        <v>45560</v>
      </c>
      <c r="H636" s="1"/>
      <c r="I636" t="s">
        <v>3493</v>
      </c>
      <c r="J636" t="s">
        <v>29</v>
      </c>
      <c r="K636" t="s">
        <v>29</v>
      </c>
      <c r="L636" t="s">
        <v>4223</v>
      </c>
      <c r="M636" s="74" t="s">
        <v>4224</v>
      </c>
      <c r="N636" s="1">
        <v>45670</v>
      </c>
    </row>
    <row r="637" spans="1:14" x14ac:dyDescent="0.25">
      <c r="A637" s="8" t="s">
        <v>4225</v>
      </c>
      <c r="C637" t="s">
        <v>349</v>
      </c>
      <c r="D637" t="s">
        <v>253</v>
      </c>
      <c r="E637" t="s">
        <v>254</v>
      </c>
      <c r="F637" t="s">
        <v>4226</v>
      </c>
      <c r="G637" s="1">
        <v>45566</v>
      </c>
      <c r="H637" s="1"/>
      <c r="I637" t="s">
        <v>2952</v>
      </c>
      <c r="J637" t="s">
        <v>29</v>
      </c>
      <c r="M637" s="74"/>
      <c r="N637" s="1"/>
    </row>
    <row r="638" spans="1:14" x14ac:dyDescent="0.25">
      <c r="A638" s="8" t="s">
        <v>4227</v>
      </c>
      <c r="C638" t="s">
        <v>349</v>
      </c>
      <c r="D638" t="s">
        <v>4228</v>
      </c>
      <c r="E638" t="s">
        <v>4229</v>
      </c>
      <c r="F638" t="s">
        <v>4230</v>
      </c>
      <c r="G638" s="1">
        <v>45580</v>
      </c>
      <c r="H638" s="1"/>
      <c r="I638" t="s">
        <v>2952</v>
      </c>
      <c r="J638" t="s">
        <v>29</v>
      </c>
      <c r="M638" s="74"/>
      <c r="N638" s="1"/>
    </row>
    <row r="639" spans="1:14" x14ac:dyDescent="0.25">
      <c r="A639" s="8" t="s">
        <v>4231</v>
      </c>
      <c r="C639" t="s">
        <v>4232</v>
      </c>
      <c r="D639" t="s">
        <v>4233</v>
      </c>
      <c r="E639" t="s">
        <v>4204</v>
      </c>
      <c r="F639" t="s">
        <v>4234</v>
      </c>
      <c r="G639" s="1">
        <v>45583</v>
      </c>
      <c r="H639" s="1"/>
      <c r="I639" t="s">
        <v>2952</v>
      </c>
      <c r="J639" t="s">
        <v>29</v>
      </c>
      <c r="M639" s="74"/>
      <c r="N639" s="1"/>
    </row>
    <row r="640" spans="1:14" x14ac:dyDescent="0.25">
      <c r="A640" s="8" t="s">
        <v>4235</v>
      </c>
      <c r="C640" t="s">
        <v>135</v>
      </c>
      <c r="D640" t="s">
        <v>25</v>
      </c>
      <c r="E640" t="s">
        <v>628</v>
      </c>
      <c r="F640" t="s">
        <v>4236</v>
      </c>
      <c r="G640" s="1">
        <v>45583</v>
      </c>
      <c r="H640" s="1"/>
      <c r="I640" t="s">
        <v>1737</v>
      </c>
      <c r="J640" t="s">
        <v>29</v>
      </c>
      <c r="M640" s="74">
        <v>100</v>
      </c>
      <c r="N640" s="1">
        <v>45600</v>
      </c>
    </row>
    <row r="641" spans="1:15" x14ac:dyDescent="0.25">
      <c r="A641" s="8" t="s">
        <v>4237</v>
      </c>
      <c r="C641" t="s">
        <v>220</v>
      </c>
      <c r="D641" t="s">
        <v>25</v>
      </c>
      <c r="E641" t="s">
        <v>628</v>
      </c>
      <c r="F641" t="s">
        <v>4238</v>
      </c>
      <c r="G641" s="1">
        <v>45587</v>
      </c>
      <c r="H641" s="1"/>
      <c r="I641" t="s">
        <v>1737</v>
      </c>
      <c r="J641" t="s">
        <v>29</v>
      </c>
      <c r="K641" t="s">
        <v>29</v>
      </c>
      <c r="L641" t="s">
        <v>1094</v>
      </c>
      <c r="M641" s="74">
        <v>100</v>
      </c>
      <c r="N641" s="1">
        <v>45644</v>
      </c>
    </row>
    <row r="642" spans="1:15" x14ac:dyDescent="0.25">
      <c r="A642" s="8" t="s">
        <v>4239</v>
      </c>
      <c r="C642" t="s">
        <v>4209</v>
      </c>
      <c r="D642" t="s">
        <v>4228</v>
      </c>
      <c r="E642" t="s">
        <v>4229</v>
      </c>
      <c r="F642" t="s">
        <v>4240</v>
      </c>
      <c r="G642" s="1">
        <v>45566</v>
      </c>
      <c r="H642" s="1"/>
      <c r="I642" t="s">
        <v>2952</v>
      </c>
      <c r="J642" t="s">
        <v>29</v>
      </c>
      <c r="M642" s="74"/>
      <c r="N642" s="1"/>
    </row>
    <row r="643" spans="1:15" x14ac:dyDescent="0.25">
      <c r="A643" s="8" t="s">
        <v>4241</v>
      </c>
      <c r="C643" t="s">
        <v>325</v>
      </c>
      <c r="D643" t="s">
        <v>4242</v>
      </c>
      <c r="E643" t="s">
        <v>4243</v>
      </c>
      <c r="F643" t="s">
        <v>4244</v>
      </c>
      <c r="G643" s="1">
        <v>45586</v>
      </c>
      <c r="H643" s="1"/>
      <c r="I643" t="s">
        <v>2952</v>
      </c>
      <c r="J643" t="s">
        <v>29</v>
      </c>
      <c r="K643" t="s">
        <v>29</v>
      </c>
      <c r="M643" s="74"/>
      <c r="N643" s="1"/>
    </row>
    <row r="644" spans="1:15" x14ac:dyDescent="0.25">
      <c r="A644" s="8" t="s">
        <v>4245</v>
      </c>
      <c r="C644" t="s">
        <v>825</v>
      </c>
      <c r="D644" t="s">
        <v>903</v>
      </c>
      <c r="E644" t="s">
        <v>4246</v>
      </c>
      <c r="F644" t="s">
        <v>4247</v>
      </c>
      <c r="G644" s="1">
        <v>45590</v>
      </c>
      <c r="H644" s="1"/>
      <c r="I644" t="s">
        <v>1737</v>
      </c>
      <c r="J644" t="s">
        <v>29</v>
      </c>
      <c r="K644" t="s">
        <v>29</v>
      </c>
      <c r="L644" t="s">
        <v>4248</v>
      </c>
      <c r="M644" s="74">
        <v>100</v>
      </c>
      <c r="N644" s="1">
        <v>45645</v>
      </c>
      <c r="O644" t="s">
        <v>4249</v>
      </c>
    </row>
    <row r="645" spans="1:15" x14ac:dyDescent="0.25">
      <c r="A645" s="8" t="s">
        <v>4250</v>
      </c>
      <c r="C645" t="s">
        <v>2956</v>
      </c>
      <c r="D645" t="s">
        <v>3868</v>
      </c>
      <c r="E645" t="s">
        <v>4147</v>
      </c>
      <c r="F645" t="s">
        <v>3869</v>
      </c>
      <c r="G645" s="1">
        <v>45602</v>
      </c>
      <c r="H645" s="1"/>
      <c r="I645" t="s">
        <v>1737</v>
      </c>
      <c r="J645" t="s">
        <v>29</v>
      </c>
      <c r="K645" t="s">
        <v>29</v>
      </c>
      <c r="M645" s="74">
        <v>100</v>
      </c>
      <c r="N645" s="1">
        <v>45657</v>
      </c>
    </row>
    <row r="646" spans="1:15" x14ac:dyDescent="0.25">
      <c r="A646" s="8" t="s">
        <v>4251</v>
      </c>
      <c r="C646" t="s">
        <v>2956</v>
      </c>
      <c r="D646" t="s">
        <v>3868</v>
      </c>
      <c r="E646" t="s">
        <v>4147</v>
      </c>
      <c r="F646" t="s">
        <v>4252</v>
      </c>
      <c r="G646" s="1">
        <v>45602</v>
      </c>
      <c r="H646" s="1"/>
      <c r="I646" t="s">
        <v>1737</v>
      </c>
      <c r="J646" t="s">
        <v>29</v>
      </c>
      <c r="K646" t="s">
        <v>29</v>
      </c>
      <c r="M646" s="74">
        <v>100</v>
      </c>
      <c r="N646" s="1">
        <v>45657</v>
      </c>
    </row>
    <row r="647" spans="1:15" x14ac:dyDescent="0.25">
      <c r="A647" s="8" t="s">
        <v>4253</v>
      </c>
      <c r="C647" t="s">
        <v>4154</v>
      </c>
      <c r="D647" t="s">
        <v>3868</v>
      </c>
      <c r="E647" t="s">
        <v>4147</v>
      </c>
      <c r="F647" t="s">
        <v>4252</v>
      </c>
      <c r="G647" s="1">
        <v>45617</v>
      </c>
      <c r="H647" s="1"/>
      <c r="I647" t="s">
        <v>1737</v>
      </c>
      <c r="J647" t="s">
        <v>29</v>
      </c>
      <c r="K647" t="s">
        <v>29</v>
      </c>
      <c r="M647" s="74">
        <v>100</v>
      </c>
      <c r="N647" s="1">
        <v>45657</v>
      </c>
    </row>
    <row r="648" spans="1:15" x14ac:dyDescent="0.25">
      <c r="A648" s="8" t="s">
        <v>4254</v>
      </c>
      <c r="C648" t="s">
        <v>4154</v>
      </c>
      <c r="D648" t="s">
        <v>3868</v>
      </c>
      <c r="E648" t="s">
        <v>4147</v>
      </c>
      <c r="F648" t="s">
        <v>4255</v>
      </c>
      <c r="G648" s="1">
        <v>45617</v>
      </c>
      <c r="H648" s="1"/>
      <c r="I648" t="s">
        <v>1737</v>
      </c>
      <c r="J648" t="s">
        <v>29</v>
      </c>
      <c r="K648" t="s">
        <v>29</v>
      </c>
      <c r="M648" s="74">
        <v>100</v>
      </c>
      <c r="N648" s="1">
        <v>45673</v>
      </c>
    </row>
    <row r="649" spans="1:15" x14ac:dyDescent="0.25">
      <c r="A649" s="8" t="s">
        <v>4256</v>
      </c>
      <c r="C649" t="s">
        <v>4154</v>
      </c>
      <c r="D649" t="s">
        <v>3868</v>
      </c>
      <c r="E649" t="s">
        <v>4147</v>
      </c>
      <c r="F649" t="s">
        <v>4257</v>
      </c>
      <c r="G649" s="1">
        <v>45621</v>
      </c>
      <c r="H649" s="1"/>
      <c r="I649" t="s">
        <v>1737</v>
      </c>
      <c r="J649" t="s">
        <v>29</v>
      </c>
      <c r="K649" t="s">
        <v>29</v>
      </c>
      <c r="M649" s="74">
        <v>100</v>
      </c>
      <c r="N649" s="1">
        <v>45673</v>
      </c>
    </row>
    <row r="650" spans="1:15" x14ac:dyDescent="0.25">
      <c r="A650" s="8" t="s">
        <v>4258</v>
      </c>
      <c r="C650" t="s">
        <v>4154</v>
      </c>
      <c r="D650" t="s">
        <v>3868</v>
      </c>
      <c r="E650" t="s">
        <v>4147</v>
      </c>
      <c r="F650" t="s">
        <v>4252</v>
      </c>
      <c r="G650" s="1">
        <v>45631</v>
      </c>
      <c r="H650" s="1"/>
      <c r="I650" t="s">
        <v>1737</v>
      </c>
      <c r="J650" t="s">
        <v>29</v>
      </c>
      <c r="K650" t="s">
        <v>29</v>
      </c>
      <c r="M650" s="74">
        <v>100</v>
      </c>
      <c r="N650" s="1">
        <v>45673</v>
      </c>
    </row>
    <row r="651" spans="1:15" x14ac:dyDescent="0.25">
      <c r="A651" s="8" t="s">
        <v>4259</v>
      </c>
      <c r="C651" t="s">
        <v>3076</v>
      </c>
      <c r="D651" t="s">
        <v>4216</v>
      </c>
      <c r="E651" t="s">
        <v>1017</v>
      </c>
      <c r="F651" t="s">
        <v>4260</v>
      </c>
      <c r="G651" s="1">
        <v>45604</v>
      </c>
      <c r="H651" s="1"/>
      <c r="I651" t="s">
        <v>1737</v>
      </c>
      <c r="J651" t="s">
        <v>3494</v>
      </c>
      <c r="L651" t="s">
        <v>1132</v>
      </c>
      <c r="M651" s="74">
        <v>100</v>
      </c>
      <c r="N651" s="1">
        <v>45677</v>
      </c>
    </row>
    <row r="652" spans="1:15" x14ac:dyDescent="0.25">
      <c r="A652" s="8" t="s">
        <v>4261</v>
      </c>
      <c r="C652" t="s">
        <v>3774</v>
      </c>
      <c r="D652" t="s">
        <v>4262</v>
      </c>
      <c r="F652" t="s">
        <v>4263</v>
      </c>
      <c r="G652" s="1">
        <v>45610</v>
      </c>
      <c r="H652" s="1"/>
      <c r="I652" t="s">
        <v>2952</v>
      </c>
      <c r="J652" t="s">
        <v>29</v>
      </c>
      <c r="M652" s="74"/>
      <c r="N652" s="1"/>
    </row>
    <row r="653" spans="1:15" x14ac:dyDescent="0.25">
      <c r="A653" s="8" t="s">
        <v>4264</v>
      </c>
      <c r="C653" t="s">
        <v>325</v>
      </c>
      <c r="D653" t="s">
        <v>14</v>
      </c>
      <c r="F653" t="s">
        <v>4265</v>
      </c>
      <c r="G653" s="1">
        <v>45611</v>
      </c>
      <c r="H653" s="1"/>
      <c r="I653" t="s">
        <v>2952</v>
      </c>
      <c r="J653" t="s">
        <v>29</v>
      </c>
      <c r="K653" t="s">
        <v>29</v>
      </c>
      <c r="M653" s="74"/>
      <c r="N653" s="1"/>
    </row>
    <row r="654" spans="1:15" x14ac:dyDescent="0.25">
      <c r="A654" s="8" t="s">
        <v>4266</v>
      </c>
      <c r="C654" t="s">
        <v>325</v>
      </c>
      <c r="D654" t="s">
        <v>4242</v>
      </c>
      <c r="F654" t="s">
        <v>4267</v>
      </c>
      <c r="G654" s="1">
        <v>45614</v>
      </c>
      <c r="H654" s="1"/>
      <c r="I654" t="s">
        <v>2952</v>
      </c>
      <c r="J654" t="s">
        <v>29</v>
      </c>
      <c r="K654" t="s">
        <v>29</v>
      </c>
      <c r="M654" s="74"/>
      <c r="N654" s="1"/>
    </row>
    <row r="655" spans="1:15" x14ac:dyDescent="0.25">
      <c r="A655" s="8" t="s">
        <v>2605</v>
      </c>
      <c r="C655" t="s">
        <v>135</v>
      </c>
      <c r="D655" t="s">
        <v>539</v>
      </c>
      <c r="E655" t="s">
        <v>540</v>
      </c>
      <c r="F655" t="s">
        <v>4268</v>
      </c>
      <c r="G655" s="1">
        <v>45616</v>
      </c>
      <c r="H655" s="1"/>
      <c r="I655" t="s">
        <v>3493</v>
      </c>
      <c r="J655" t="s">
        <v>29</v>
      </c>
      <c r="M655" s="74">
        <v>100</v>
      </c>
      <c r="N655" s="1">
        <v>45939</v>
      </c>
    </row>
    <row r="656" spans="1:15" x14ac:dyDescent="0.25">
      <c r="A656" s="8" t="s">
        <v>4269</v>
      </c>
      <c r="C656" t="s">
        <v>1069</v>
      </c>
      <c r="D656" t="s">
        <v>989</v>
      </c>
      <c r="E656" t="s">
        <v>990</v>
      </c>
      <c r="F656" t="s">
        <v>4270</v>
      </c>
      <c r="G656" s="1">
        <v>45625</v>
      </c>
      <c r="H656" s="1"/>
      <c r="I656" t="s">
        <v>1737</v>
      </c>
      <c r="J656" t="s">
        <v>29</v>
      </c>
      <c r="K656" t="s">
        <v>29</v>
      </c>
      <c r="M656" s="74">
        <v>100</v>
      </c>
      <c r="N656" s="1">
        <v>45642</v>
      </c>
      <c r="O656">
        <v>100</v>
      </c>
    </row>
    <row r="657" spans="1:15" ht="30" x14ac:dyDescent="0.25">
      <c r="A657" s="8" t="s">
        <v>4271</v>
      </c>
      <c r="C657" t="s">
        <v>13</v>
      </c>
      <c r="D657" t="s">
        <v>989</v>
      </c>
      <c r="E657" t="s">
        <v>990</v>
      </c>
      <c r="F657" t="s">
        <v>4272</v>
      </c>
      <c r="G657" s="1">
        <v>45747</v>
      </c>
      <c r="H657" s="1"/>
      <c r="I657" t="s">
        <v>1737</v>
      </c>
      <c r="J657" t="s">
        <v>29</v>
      </c>
      <c r="K657" t="s">
        <v>18</v>
      </c>
      <c r="L657" s="34" t="s">
        <v>4273</v>
      </c>
      <c r="M657" s="74">
        <v>100</v>
      </c>
      <c r="N657" s="1">
        <v>45793</v>
      </c>
    </row>
    <row r="658" spans="1:15" x14ac:dyDescent="0.25">
      <c r="A658" s="8" t="s">
        <v>2616</v>
      </c>
      <c r="C658" t="s">
        <v>135</v>
      </c>
      <c r="D658" t="s">
        <v>253</v>
      </c>
      <c r="E658" t="s">
        <v>4274</v>
      </c>
      <c r="F658" t="s">
        <v>4275</v>
      </c>
      <c r="G658" s="1">
        <v>45629</v>
      </c>
      <c r="H658" s="1"/>
      <c r="I658" t="s">
        <v>1737</v>
      </c>
      <c r="J658" t="s">
        <v>29</v>
      </c>
      <c r="K658" t="s">
        <v>29</v>
      </c>
      <c r="M658" s="74">
        <v>100</v>
      </c>
      <c r="N658" s="1">
        <v>45694</v>
      </c>
    </row>
    <row r="659" spans="1:15" x14ac:dyDescent="0.25">
      <c r="A659" s="8" t="s">
        <v>4276</v>
      </c>
      <c r="C659" t="s">
        <v>4068</v>
      </c>
      <c r="D659" t="s">
        <v>4216</v>
      </c>
      <c r="E659" t="s">
        <v>1017</v>
      </c>
      <c r="F659" t="s">
        <v>4277</v>
      </c>
      <c r="G659" s="1">
        <v>45632</v>
      </c>
      <c r="H659" s="1"/>
      <c r="I659" t="s">
        <v>1737</v>
      </c>
      <c r="J659" t="s">
        <v>29</v>
      </c>
      <c r="K659" t="s">
        <v>29</v>
      </c>
      <c r="M659" s="74">
        <v>100</v>
      </c>
      <c r="N659" s="1">
        <v>45678</v>
      </c>
    </row>
    <row r="660" spans="1:15" x14ac:dyDescent="0.25">
      <c r="A660" s="8" t="s">
        <v>4278</v>
      </c>
      <c r="C660" t="s">
        <v>825</v>
      </c>
      <c r="D660" t="s">
        <v>177</v>
      </c>
      <c r="E660" t="s">
        <v>4279</v>
      </c>
      <c r="F660" t="s">
        <v>4280</v>
      </c>
      <c r="G660" s="1">
        <v>45632</v>
      </c>
      <c r="H660" s="1"/>
      <c r="I660" t="s">
        <v>1737</v>
      </c>
      <c r="J660" t="s">
        <v>3494</v>
      </c>
      <c r="M660" s="74">
        <v>100</v>
      </c>
      <c r="N660" s="1">
        <v>45826</v>
      </c>
    </row>
    <row r="661" spans="1:15" x14ac:dyDescent="0.25">
      <c r="A661" s="8" t="s">
        <v>4281</v>
      </c>
      <c r="C661" t="s">
        <v>135</v>
      </c>
      <c r="D661" t="s">
        <v>14</v>
      </c>
      <c r="F661" t="s">
        <v>4282</v>
      </c>
      <c r="G661" s="1">
        <v>45630</v>
      </c>
      <c r="H661" s="1"/>
      <c r="I661" t="s">
        <v>3493</v>
      </c>
      <c r="J661" t="s">
        <v>29</v>
      </c>
      <c r="M661" s="74"/>
      <c r="N661" s="1"/>
    </row>
    <row r="662" spans="1:15" x14ac:dyDescent="0.25">
      <c r="A662" s="8" t="s">
        <v>4283</v>
      </c>
      <c r="B662" t="s">
        <v>4284</v>
      </c>
      <c r="C662" t="s">
        <v>433</v>
      </c>
      <c r="D662" t="s">
        <v>253</v>
      </c>
      <c r="E662" t="s">
        <v>4035</v>
      </c>
      <c r="F662" t="s">
        <v>4285</v>
      </c>
      <c r="G662" s="1">
        <v>45636</v>
      </c>
      <c r="H662" s="1"/>
      <c r="I662" t="s">
        <v>1737</v>
      </c>
      <c r="J662" t="s">
        <v>29</v>
      </c>
      <c r="K662" t="s">
        <v>3494</v>
      </c>
      <c r="M662" s="74">
        <v>100</v>
      </c>
      <c r="N662" s="1">
        <v>45770</v>
      </c>
      <c r="O662" t="s">
        <v>4286</v>
      </c>
    </row>
    <row r="663" spans="1:15" x14ac:dyDescent="0.25">
      <c r="A663" s="8" t="s">
        <v>4287</v>
      </c>
      <c r="C663" t="s">
        <v>825</v>
      </c>
      <c r="D663" t="s">
        <v>177</v>
      </c>
      <c r="E663" t="s">
        <v>4279</v>
      </c>
      <c r="F663" t="s">
        <v>4288</v>
      </c>
      <c r="G663" s="1">
        <v>45628</v>
      </c>
      <c r="H663" s="1"/>
      <c r="I663" t="s">
        <v>1737</v>
      </c>
      <c r="J663" t="s">
        <v>3494</v>
      </c>
      <c r="K663" t="s">
        <v>3864</v>
      </c>
      <c r="M663" s="74">
        <v>100</v>
      </c>
      <c r="N663" s="1">
        <v>45664</v>
      </c>
    </row>
    <row r="664" spans="1:15" x14ac:dyDescent="0.25">
      <c r="A664" s="8" t="s">
        <v>4289</v>
      </c>
      <c r="C664" t="s">
        <v>825</v>
      </c>
      <c r="D664" t="s">
        <v>177</v>
      </c>
      <c r="E664" t="s">
        <v>4279</v>
      </c>
      <c r="F664" t="s">
        <v>4290</v>
      </c>
      <c r="G664" s="1">
        <v>45663</v>
      </c>
      <c r="H664" s="1"/>
      <c r="I664" t="s">
        <v>1737</v>
      </c>
      <c r="J664" t="s">
        <v>29</v>
      </c>
      <c r="M664" s="74">
        <v>100</v>
      </c>
      <c r="N664" s="1">
        <v>45673</v>
      </c>
    </row>
    <row r="665" spans="1:15" x14ac:dyDescent="0.25">
      <c r="A665" s="8" t="s">
        <v>4291</v>
      </c>
      <c r="C665" t="s">
        <v>474</v>
      </c>
      <c r="D665" t="s">
        <v>177</v>
      </c>
      <c r="E665" t="s">
        <v>4279</v>
      </c>
      <c r="F665" t="s">
        <v>4292</v>
      </c>
      <c r="G665" s="1">
        <v>45678</v>
      </c>
      <c r="H665" s="1"/>
      <c r="I665" t="s">
        <v>1737</v>
      </c>
      <c r="J665" t="s">
        <v>29</v>
      </c>
      <c r="M665" s="74">
        <v>100</v>
      </c>
      <c r="N665" s="1">
        <v>45979</v>
      </c>
    </row>
    <row r="666" spans="1:15" x14ac:dyDescent="0.25">
      <c r="A666" s="8" t="s">
        <v>4293</v>
      </c>
      <c r="C666" t="s">
        <v>325</v>
      </c>
      <c r="D666" t="s">
        <v>253</v>
      </c>
      <c r="E666" t="s">
        <v>254</v>
      </c>
      <c r="F666" t="s">
        <v>4294</v>
      </c>
      <c r="G666" s="1">
        <v>45639</v>
      </c>
      <c r="H666" s="1"/>
      <c r="I666" t="s">
        <v>1737</v>
      </c>
      <c r="J666" t="s">
        <v>29</v>
      </c>
      <c r="M666" s="74">
        <v>100</v>
      </c>
      <c r="N666" s="1">
        <v>45644</v>
      </c>
    </row>
    <row r="667" spans="1:15" x14ac:dyDescent="0.25">
      <c r="A667" s="8" t="s">
        <v>4295</v>
      </c>
      <c r="C667" t="s">
        <v>325</v>
      </c>
      <c r="D667" t="s">
        <v>253</v>
      </c>
      <c r="E667" t="s">
        <v>254</v>
      </c>
      <c r="F667" t="s">
        <v>4296</v>
      </c>
      <c r="G667" s="1">
        <v>45639</v>
      </c>
      <c r="H667" s="1"/>
      <c r="I667" t="s">
        <v>1737</v>
      </c>
      <c r="J667" t="s">
        <v>29</v>
      </c>
      <c r="M667" s="74">
        <v>100</v>
      </c>
      <c r="N667" s="1">
        <v>45684</v>
      </c>
    </row>
    <row r="668" spans="1:15" x14ac:dyDescent="0.25">
      <c r="A668" s="8" t="s">
        <v>4297</v>
      </c>
      <c r="C668" t="s">
        <v>325</v>
      </c>
      <c r="D668" t="s">
        <v>253</v>
      </c>
      <c r="E668" t="s">
        <v>254</v>
      </c>
      <c r="F668" t="s">
        <v>4298</v>
      </c>
      <c r="G668" s="1">
        <v>45639</v>
      </c>
      <c r="H668" s="1"/>
      <c r="I668" t="s">
        <v>1737</v>
      </c>
      <c r="J668" t="s">
        <v>29</v>
      </c>
      <c r="M668" s="74">
        <v>100</v>
      </c>
      <c r="N668" s="1">
        <v>45644</v>
      </c>
    </row>
    <row r="669" spans="1:15" x14ac:dyDescent="0.25">
      <c r="A669" s="8" t="s">
        <v>4299</v>
      </c>
      <c r="C669" t="s">
        <v>325</v>
      </c>
      <c r="D669" t="s">
        <v>253</v>
      </c>
      <c r="E669" t="s">
        <v>254</v>
      </c>
      <c r="F669" t="s">
        <v>4300</v>
      </c>
      <c r="G669" s="1">
        <v>45639</v>
      </c>
      <c r="H669" s="1"/>
      <c r="I669" t="s">
        <v>1737</v>
      </c>
      <c r="J669" t="s">
        <v>29</v>
      </c>
      <c r="M669" s="74">
        <v>100</v>
      </c>
      <c r="N669" s="1">
        <v>45800</v>
      </c>
    </row>
    <row r="670" spans="1:15" x14ac:dyDescent="0.25">
      <c r="A670" s="8" t="s">
        <v>4301</v>
      </c>
      <c r="C670" t="s">
        <v>3928</v>
      </c>
      <c r="D670" t="s">
        <v>253</v>
      </c>
      <c r="E670" t="s">
        <v>4035</v>
      </c>
      <c r="F670" t="s">
        <v>4302</v>
      </c>
      <c r="G670" s="1">
        <v>45639</v>
      </c>
      <c r="H670" s="1"/>
      <c r="I670" t="s">
        <v>1737</v>
      </c>
      <c r="J670" t="s">
        <v>29</v>
      </c>
      <c r="M670" s="74">
        <v>100</v>
      </c>
      <c r="N670" s="1">
        <v>45684</v>
      </c>
    </row>
    <row r="671" spans="1:15" x14ac:dyDescent="0.25">
      <c r="A671" s="8" t="s">
        <v>4303</v>
      </c>
      <c r="C671" t="s">
        <v>13</v>
      </c>
      <c r="D671" t="s">
        <v>2535</v>
      </c>
      <c r="E671" t="s">
        <v>4304</v>
      </c>
      <c r="F671" t="s">
        <v>4305</v>
      </c>
      <c r="G671" s="1">
        <v>45642</v>
      </c>
      <c r="H671" s="1"/>
      <c r="I671" t="s">
        <v>1737</v>
      </c>
      <c r="J671" t="s">
        <v>29</v>
      </c>
      <c r="M671" s="74">
        <v>100</v>
      </c>
      <c r="N671" s="1">
        <v>45835</v>
      </c>
    </row>
    <row r="672" spans="1:15" x14ac:dyDescent="0.25">
      <c r="A672" s="8" t="s">
        <v>4306</v>
      </c>
      <c r="C672" t="s">
        <v>773</v>
      </c>
      <c r="D672" t="s">
        <v>253</v>
      </c>
      <c r="E672" t="s">
        <v>4035</v>
      </c>
      <c r="F672" t="s">
        <v>4307</v>
      </c>
      <c r="G672" s="1">
        <v>45642</v>
      </c>
      <c r="H672" s="1"/>
      <c r="I672" t="s">
        <v>1737</v>
      </c>
      <c r="J672" t="s">
        <v>29</v>
      </c>
      <c r="L672" s="6" t="s">
        <v>1179</v>
      </c>
      <c r="M672" s="74">
        <v>100</v>
      </c>
      <c r="N672" s="1">
        <v>45674</v>
      </c>
    </row>
    <row r="673" spans="1:15" x14ac:dyDescent="0.25">
      <c r="A673" s="8" t="s">
        <v>4308</v>
      </c>
      <c r="C673" t="s">
        <v>13</v>
      </c>
      <c r="D673" t="s">
        <v>411</v>
      </c>
      <c r="E673" t="s">
        <v>817</v>
      </c>
      <c r="F673" t="s">
        <v>1186</v>
      </c>
      <c r="G673" s="1">
        <v>45643</v>
      </c>
      <c r="H673" s="1"/>
      <c r="I673" t="s">
        <v>1737</v>
      </c>
      <c r="J673" t="s">
        <v>29</v>
      </c>
      <c r="K673" t="s">
        <v>29</v>
      </c>
      <c r="L673" s="6" t="s">
        <v>1190</v>
      </c>
      <c r="M673" s="74">
        <v>100</v>
      </c>
      <c r="N673" s="1">
        <v>45798</v>
      </c>
    </row>
    <row r="674" spans="1:15" x14ac:dyDescent="0.25">
      <c r="A674" s="8" t="s">
        <v>4309</v>
      </c>
      <c r="C674" t="s">
        <v>13</v>
      </c>
      <c r="D674" t="s">
        <v>4310</v>
      </c>
      <c r="E674" t="s">
        <v>817</v>
      </c>
      <c r="F674" t="s">
        <v>4311</v>
      </c>
      <c r="G674" s="1">
        <v>45643</v>
      </c>
      <c r="H674" s="1"/>
      <c r="I674" t="s">
        <v>1737</v>
      </c>
      <c r="J674" t="s">
        <v>29</v>
      </c>
      <c r="K674" t="s">
        <v>29</v>
      </c>
      <c r="L674" s="6"/>
      <c r="M674" s="74">
        <v>100</v>
      </c>
      <c r="N674" s="1">
        <v>45657</v>
      </c>
    </row>
    <row r="675" spans="1:15" x14ac:dyDescent="0.25">
      <c r="A675" s="8" t="s">
        <v>4312</v>
      </c>
      <c r="C675" t="s">
        <v>4313</v>
      </c>
      <c r="D675" t="s">
        <v>611</v>
      </c>
      <c r="E675" t="s">
        <v>111</v>
      </c>
      <c r="F675" t="s">
        <v>4314</v>
      </c>
      <c r="G675" s="1">
        <v>45644</v>
      </c>
      <c r="H675" s="1"/>
      <c r="I675" t="s">
        <v>2952</v>
      </c>
      <c r="J675" t="s">
        <v>29</v>
      </c>
      <c r="K675" t="s">
        <v>29</v>
      </c>
      <c r="M675" s="74"/>
      <c r="N675" s="1"/>
    </row>
    <row r="676" spans="1:15" x14ac:dyDescent="0.25">
      <c r="A676" s="8" t="s">
        <v>4315</v>
      </c>
      <c r="C676" t="s">
        <v>13</v>
      </c>
      <c r="D676" t="s">
        <v>611</v>
      </c>
      <c r="F676" t="s">
        <v>4316</v>
      </c>
      <c r="G676" s="1">
        <v>45768</v>
      </c>
      <c r="H676" s="1"/>
      <c r="I676" t="s">
        <v>1737</v>
      </c>
      <c r="J676" t="s">
        <v>3680</v>
      </c>
      <c r="M676" s="74">
        <v>100</v>
      </c>
      <c r="N676" s="1">
        <v>45827</v>
      </c>
    </row>
    <row r="677" spans="1:15" x14ac:dyDescent="0.25">
      <c r="A677" s="8" t="s">
        <v>4317</v>
      </c>
      <c r="C677" t="s">
        <v>13</v>
      </c>
      <c r="D677" t="s">
        <v>411</v>
      </c>
      <c r="E677" t="s">
        <v>817</v>
      </c>
      <c r="F677" t="s">
        <v>4318</v>
      </c>
      <c r="G677" s="1">
        <v>45645</v>
      </c>
      <c r="H677" s="1"/>
      <c r="I677" t="s">
        <v>1737</v>
      </c>
      <c r="J677" t="s">
        <v>29</v>
      </c>
      <c r="K677" t="s">
        <v>29</v>
      </c>
      <c r="M677" s="74">
        <v>100</v>
      </c>
      <c r="N677" s="1">
        <v>45827</v>
      </c>
    </row>
    <row r="678" spans="1:15" x14ac:dyDescent="0.25">
      <c r="A678" s="8" t="s">
        <v>4319</v>
      </c>
      <c r="C678" t="s">
        <v>773</v>
      </c>
      <c r="D678" t="s">
        <v>253</v>
      </c>
      <c r="E678" t="s">
        <v>4035</v>
      </c>
      <c r="F678" t="s">
        <v>4320</v>
      </c>
      <c r="G678" s="1">
        <v>45650</v>
      </c>
      <c r="H678" s="1"/>
      <c r="I678" t="s">
        <v>1737</v>
      </c>
      <c r="J678" t="s">
        <v>29</v>
      </c>
      <c r="K678" t="s">
        <v>3494</v>
      </c>
      <c r="M678" s="74">
        <v>100</v>
      </c>
      <c r="N678" s="1" t="s">
        <v>4321</v>
      </c>
    </row>
    <row r="679" spans="1:15" x14ac:dyDescent="0.25">
      <c r="A679" s="8" t="s">
        <v>4322</v>
      </c>
      <c r="C679" t="s">
        <v>773</v>
      </c>
      <c r="D679" t="s">
        <v>1295</v>
      </c>
      <c r="E679" t="s">
        <v>4204</v>
      </c>
      <c r="F679" t="s">
        <v>4323</v>
      </c>
      <c r="G679" s="1">
        <v>45652</v>
      </c>
      <c r="H679" s="1"/>
      <c r="M679" s="74"/>
      <c r="N679" s="1"/>
    </row>
    <row r="680" spans="1:15" x14ac:dyDescent="0.25">
      <c r="A680" s="8" t="s">
        <v>4324</v>
      </c>
      <c r="C680" t="s">
        <v>220</v>
      </c>
      <c r="D680" t="s">
        <v>526</v>
      </c>
      <c r="E680" t="s">
        <v>924</v>
      </c>
      <c r="F680" t="s">
        <v>4325</v>
      </c>
      <c r="G680" s="1">
        <v>45656</v>
      </c>
      <c r="H680" s="1"/>
      <c r="I680" t="s">
        <v>1737</v>
      </c>
      <c r="J680" t="s">
        <v>3494</v>
      </c>
      <c r="K680" t="s">
        <v>29</v>
      </c>
      <c r="L680" t="s">
        <v>909</v>
      </c>
      <c r="M680" s="74">
        <v>100</v>
      </c>
      <c r="N680" s="1">
        <v>45777</v>
      </c>
    </row>
    <row r="681" spans="1:15" x14ac:dyDescent="0.25">
      <c r="A681" s="8" t="s">
        <v>4326</v>
      </c>
      <c r="C681" t="s">
        <v>4209</v>
      </c>
      <c r="D681" t="s">
        <v>526</v>
      </c>
      <c r="E681" t="s">
        <v>924</v>
      </c>
      <c r="F681" t="s">
        <v>4327</v>
      </c>
      <c r="G681" s="1">
        <v>45656</v>
      </c>
      <c r="H681" s="1"/>
      <c r="I681" t="s">
        <v>1737</v>
      </c>
      <c r="J681" t="s">
        <v>3494</v>
      </c>
      <c r="K681" t="s">
        <v>29</v>
      </c>
      <c r="M681" s="74">
        <v>100</v>
      </c>
      <c r="N681" s="1">
        <v>45777</v>
      </c>
    </row>
    <row r="682" spans="1:15" x14ac:dyDescent="0.25">
      <c r="A682" s="8" t="s">
        <v>4328</v>
      </c>
      <c r="C682" t="s">
        <v>4209</v>
      </c>
      <c r="D682" t="s">
        <v>526</v>
      </c>
      <c r="E682" t="s">
        <v>924</v>
      </c>
      <c r="F682" t="s">
        <v>4329</v>
      </c>
      <c r="G682" s="1">
        <v>45763</v>
      </c>
      <c r="H682" s="1"/>
      <c r="I682" t="s">
        <v>1737</v>
      </c>
      <c r="J682" t="s">
        <v>29</v>
      </c>
      <c r="M682" s="74">
        <v>100</v>
      </c>
      <c r="N682" s="1">
        <v>45818</v>
      </c>
      <c r="O682" t="s">
        <v>4330</v>
      </c>
    </row>
    <row r="683" spans="1:15" x14ac:dyDescent="0.25">
      <c r="A683" s="8" t="s">
        <v>4331</v>
      </c>
      <c r="C683" t="s">
        <v>4209</v>
      </c>
      <c r="D683" t="s">
        <v>526</v>
      </c>
      <c r="E683" t="s">
        <v>924</v>
      </c>
      <c r="F683" t="s">
        <v>4332</v>
      </c>
      <c r="G683" s="1">
        <v>45660</v>
      </c>
      <c r="H683" s="1"/>
      <c r="I683" t="s">
        <v>1737</v>
      </c>
      <c r="J683" t="s">
        <v>29</v>
      </c>
      <c r="K683" t="s">
        <v>29</v>
      </c>
      <c r="M683" s="74">
        <v>100</v>
      </c>
      <c r="N683" s="1">
        <v>45831</v>
      </c>
    </row>
    <row r="684" spans="1:15" x14ac:dyDescent="0.25">
      <c r="A684" s="8" t="s">
        <v>4333</v>
      </c>
      <c r="C684" t="s">
        <v>4334</v>
      </c>
      <c r="D684" t="s">
        <v>253</v>
      </c>
      <c r="E684" t="s">
        <v>254</v>
      </c>
      <c r="F684" t="s">
        <v>4335</v>
      </c>
      <c r="G684" s="1">
        <v>45666</v>
      </c>
      <c r="H684" s="1"/>
      <c r="I684" t="s">
        <v>1737</v>
      </c>
      <c r="J684" t="s">
        <v>29</v>
      </c>
      <c r="K684" t="s">
        <v>29</v>
      </c>
      <c r="M684" s="74">
        <v>100</v>
      </c>
      <c r="N684" s="1">
        <v>45673</v>
      </c>
    </row>
    <row r="685" spans="1:15" x14ac:dyDescent="0.25">
      <c r="A685" s="8" t="s">
        <v>4336</v>
      </c>
      <c r="C685" t="s">
        <v>135</v>
      </c>
      <c r="D685" t="s">
        <v>539</v>
      </c>
      <c r="E685" t="s">
        <v>540</v>
      </c>
      <c r="F685" t="s">
        <v>4337</v>
      </c>
      <c r="G685" s="1">
        <v>45667</v>
      </c>
      <c r="H685" s="1"/>
      <c r="I685" t="s">
        <v>3675</v>
      </c>
      <c r="J685" t="s">
        <v>29</v>
      </c>
      <c r="K685" t="s">
        <v>29</v>
      </c>
      <c r="M685" s="74"/>
      <c r="N685" s="1"/>
      <c r="O685" t="s">
        <v>4338</v>
      </c>
    </row>
    <row r="686" spans="1:15" x14ac:dyDescent="0.25">
      <c r="A686" s="8" t="s">
        <v>4339</v>
      </c>
      <c r="C686" t="s">
        <v>4340</v>
      </c>
      <c r="D686" t="s">
        <v>3963</v>
      </c>
      <c r="E686" t="s">
        <v>3964</v>
      </c>
      <c r="F686" t="s">
        <v>4341</v>
      </c>
      <c r="G686" s="1">
        <v>45658</v>
      </c>
      <c r="H686" s="1"/>
      <c r="I686" t="s">
        <v>2952</v>
      </c>
      <c r="J686" t="s">
        <v>29</v>
      </c>
      <c r="K686" t="s">
        <v>29</v>
      </c>
      <c r="M686" s="74"/>
      <c r="N686" s="1"/>
    </row>
    <row r="687" spans="1:15" x14ac:dyDescent="0.25">
      <c r="A687" s="8" t="s">
        <v>4342</v>
      </c>
      <c r="C687" t="s">
        <v>1106</v>
      </c>
      <c r="D687" t="s">
        <v>903</v>
      </c>
      <c r="E687" t="s">
        <v>326</v>
      </c>
      <c r="F687" t="s">
        <v>4343</v>
      </c>
      <c r="G687" s="1">
        <v>45670</v>
      </c>
      <c r="H687" s="1"/>
      <c r="I687" t="s">
        <v>2952</v>
      </c>
      <c r="J687" t="s">
        <v>29</v>
      </c>
      <c r="K687" t="s">
        <v>29</v>
      </c>
      <c r="M687" s="74">
        <v>100</v>
      </c>
      <c r="N687" s="1" t="s">
        <v>4344</v>
      </c>
    </row>
    <row r="688" spans="1:15" x14ac:dyDescent="0.25">
      <c r="A688" s="8" t="s">
        <v>4345</v>
      </c>
      <c r="C688" t="s">
        <v>4209</v>
      </c>
      <c r="D688" t="s">
        <v>14</v>
      </c>
      <c r="F688" t="s">
        <v>4346</v>
      </c>
      <c r="G688" s="1">
        <v>45674</v>
      </c>
      <c r="H688" s="1"/>
      <c r="I688" t="s">
        <v>3493</v>
      </c>
      <c r="J688" t="s">
        <v>29</v>
      </c>
      <c r="K688" t="s">
        <v>29</v>
      </c>
      <c r="M688" s="74"/>
      <c r="N688" s="1"/>
    </row>
    <row r="689" spans="1:15" x14ac:dyDescent="0.25">
      <c r="A689" s="8" t="s">
        <v>4347</v>
      </c>
      <c r="C689" t="s">
        <v>433</v>
      </c>
      <c r="D689" t="s">
        <v>14</v>
      </c>
      <c r="E689" t="s">
        <v>4204</v>
      </c>
      <c r="F689" t="s">
        <v>4348</v>
      </c>
      <c r="G689" s="1">
        <v>45674</v>
      </c>
      <c r="H689" s="1"/>
      <c r="I689" t="s">
        <v>2952</v>
      </c>
      <c r="J689" t="s">
        <v>29</v>
      </c>
      <c r="K689" t="s">
        <v>29</v>
      </c>
      <c r="M689" s="74"/>
      <c r="N689" s="1"/>
    </row>
    <row r="690" spans="1:15" x14ac:dyDescent="0.25">
      <c r="A690" s="8" t="s">
        <v>4349</v>
      </c>
      <c r="C690" t="s">
        <v>433</v>
      </c>
      <c r="D690" t="s">
        <v>253</v>
      </c>
      <c r="E690" t="s">
        <v>1214</v>
      </c>
      <c r="F690" t="s">
        <v>1215</v>
      </c>
      <c r="G690" s="1">
        <v>45674</v>
      </c>
      <c r="H690" s="1"/>
      <c r="I690" t="s">
        <v>1737</v>
      </c>
      <c r="J690" t="s">
        <v>29</v>
      </c>
      <c r="K690" t="s">
        <v>3680</v>
      </c>
      <c r="L690" t="s">
        <v>1220</v>
      </c>
      <c r="M690" s="74">
        <v>100</v>
      </c>
      <c r="N690" s="1">
        <v>45796</v>
      </c>
      <c r="O690" t="s">
        <v>4350</v>
      </c>
    </row>
    <row r="691" spans="1:15" x14ac:dyDescent="0.25">
      <c r="A691" s="8" t="s">
        <v>4351</v>
      </c>
      <c r="C691" t="s">
        <v>13</v>
      </c>
      <c r="D691" t="s">
        <v>51</v>
      </c>
      <c r="E691" t="s">
        <v>588</v>
      </c>
      <c r="F691" t="s">
        <v>4352</v>
      </c>
      <c r="G691" s="1">
        <v>45678</v>
      </c>
      <c r="H691" s="1"/>
      <c r="I691" t="s">
        <v>1737</v>
      </c>
      <c r="J691" t="s">
        <v>29</v>
      </c>
      <c r="K691" t="s">
        <v>29</v>
      </c>
      <c r="L691" t="s">
        <v>1039</v>
      </c>
      <c r="M691" s="74">
        <v>100</v>
      </c>
      <c r="N691" s="1">
        <v>45777</v>
      </c>
    </row>
    <row r="692" spans="1:15" x14ac:dyDescent="0.25">
      <c r="A692" s="8" t="s">
        <v>4353</v>
      </c>
      <c r="C692" t="s">
        <v>220</v>
      </c>
      <c r="D692" t="s">
        <v>1136</v>
      </c>
      <c r="E692" t="s">
        <v>244</v>
      </c>
      <c r="F692" t="s">
        <v>4354</v>
      </c>
      <c r="G692" s="1">
        <v>45679</v>
      </c>
      <c r="H692" s="1"/>
      <c r="I692" t="s">
        <v>1737</v>
      </c>
      <c r="J692" t="s">
        <v>29</v>
      </c>
      <c r="K692" t="s">
        <v>29</v>
      </c>
      <c r="L692" t="s">
        <v>1187</v>
      </c>
      <c r="M692" s="74">
        <v>100</v>
      </c>
      <c r="N692" s="1">
        <v>45800</v>
      </c>
    </row>
    <row r="693" spans="1:15" x14ac:dyDescent="0.25">
      <c r="A693" s="8" t="s">
        <v>4355</v>
      </c>
      <c r="C693" t="s">
        <v>4356</v>
      </c>
      <c r="D693" t="s">
        <v>539</v>
      </c>
      <c r="E693" t="s">
        <v>540</v>
      </c>
      <c r="F693" t="s">
        <v>4357</v>
      </c>
      <c r="G693" s="1">
        <v>45681</v>
      </c>
      <c r="H693" s="1"/>
      <c r="I693" t="s">
        <v>1737</v>
      </c>
      <c r="J693" t="s">
        <v>29</v>
      </c>
      <c r="M693" s="74">
        <v>100</v>
      </c>
      <c r="N693" s="1">
        <v>45939</v>
      </c>
    </row>
    <row r="694" spans="1:15" x14ac:dyDescent="0.25">
      <c r="A694" s="8" t="s">
        <v>4358</v>
      </c>
      <c r="C694" t="s">
        <v>3928</v>
      </c>
      <c r="D694" t="s">
        <v>4242</v>
      </c>
      <c r="E694" t="s">
        <v>397</v>
      </c>
      <c r="F694" t="s">
        <v>4359</v>
      </c>
      <c r="G694" s="1">
        <v>45685</v>
      </c>
      <c r="H694" s="1"/>
      <c r="I694" t="s">
        <v>1737</v>
      </c>
      <c r="J694" t="s">
        <v>29</v>
      </c>
      <c r="K694" t="s">
        <v>29</v>
      </c>
      <c r="M694" s="74">
        <v>100</v>
      </c>
      <c r="N694" s="1">
        <v>45832</v>
      </c>
    </row>
    <row r="695" spans="1:15" x14ac:dyDescent="0.25">
      <c r="A695" s="8" t="s">
        <v>4360</v>
      </c>
      <c r="B695" t="s">
        <v>3376</v>
      </c>
      <c r="C695" t="s">
        <v>4361</v>
      </c>
      <c r="D695" t="s">
        <v>4242</v>
      </c>
      <c r="E695" t="s">
        <v>1563</v>
      </c>
      <c r="F695" t="s">
        <v>4362</v>
      </c>
      <c r="G695" s="1">
        <v>45685</v>
      </c>
      <c r="H695" s="1"/>
      <c r="I695" t="s">
        <v>1737</v>
      </c>
      <c r="J695" t="s">
        <v>29</v>
      </c>
      <c r="K695" t="s">
        <v>29</v>
      </c>
      <c r="M695" s="74">
        <v>100</v>
      </c>
      <c r="N695" s="1">
        <v>45796</v>
      </c>
    </row>
    <row r="696" spans="1:15" x14ac:dyDescent="0.25">
      <c r="A696" s="8" t="s">
        <v>4363</v>
      </c>
      <c r="C696" t="s">
        <v>325</v>
      </c>
      <c r="D696" t="s">
        <v>4364</v>
      </c>
      <c r="F696" t="s">
        <v>4365</v>
      </c>
      <c r="G696" s="1">
        <v>45684</v>
      </c>
      <c r="H696" s="1"/>
      <c r="I696" t="s">
        <v>3675</v>
      </c>
      <c r="J696" t="s">
        <v>29</v>
      </c>
      <c r="M696" s="74"/>
      <c r="N696" s="1"/>
    </row>
    <row r="697" spans="1:15" x14ac:dyDescent="0.25">
      <c r="A697" s="8" t="s">
        <v>4366</v>
      </c>
      <c r="B697" t="s">
        <v>4367</v>
      </c>
      <c r="C697" t="s">
        <v>773</v>
      </c>
      <c r="D697" t="s">
        <v>4368</v>
      </c>
      <c r="F697" t="s">
        <v>4369</v>
      </c>
      <c r="G697" s="1">
        <v>45681</v>
      </c>
      <c r="H697" s="1"/>
      <c r="I697" t="s">
        <v>3675</v>
      </c>
      <c r="J697" t="s">
        <v>3494</v>
      </c>
      <c r="K697" t="s">
        <v>29</v>
      </c>
      <c r="M697" s="74"/>
      <c r="N697" s="1"/>
    </row>
    <row r="698" spans="1:15" x14ac:dyDescent="0.25">
      <c r="A698" s="8" t="s">
        <v>4370</v>
      </c>
      <c r="C698" t="s">
        <v>325</v>
      </c>
      <c r="D698" t="s">
        <v>4368</v>
      </c>
      <c r="F698" t="s">
        <v>4371</v>
      </c>
      <c r="G698" s="1">
        <v>45784</v>
      </c>
      <c r="H698" s="1"/>
      <c r="I698" t="s">
        <v>1737</v>
      </c>
      <c r="J698" t="s">
        <v>3494</v>
      </c>
      <c r="M698" s="74">
        <v>100</v>
      </c>
      <c r="N698" s="1">
        <v>45798</v>
      </c>
    </row>
    <row r="699" spans="1:15" x14ac:dyDescent="0.25">
      <c r="A699" s="8" t="s">
        <v>4372</v>
      </c>
      <c r="C699" t="s">
        <v>433</v>
      </c>
      <c r="D699" t="s">
        <v>253</v>
      </c>
      <c r="E699" t="s">
        <v>1214</v>
      </c>
      <c r="F699" t="s">
        <v>4373</v>
      </c>
      <c r="G699" s="1">
        <v>45685</v>
      </c>
      <c r="H699" s="1"/>
      <c r="I699" t="s">
        <v>1737</v>
      </c>
      <c r="J699" t="s">
        <v>29</v>
      </c>
      <c r="K699" t="s">
        <v>29</v>
      </c>
      <c r="M699" s="74">
        <v>100</v>
      </c>
      <c r="N699" s="1">
        <v>45694</v>
      </c>
    </row>
    <row r="700" spans="1:15" x14ac:dyDescent="0.25">
      <c r="A700" s="8" t="s">
        <v>4374</v>
      </c>
      <c r="C700" t="s">
        <v>474</v>
      </c>
      <c r="D700" t="s">
        <v>4375</v>
      </c>
      <c r="E700" t="s">
        <v>4376</v>
      </c>
      <c r="F700" t="s">
        <v>4377</v>
      </c>
      <c r="G700" s="1">
        <v>45692</v>
      </c>
      <c r="H700" s="1"/>
      <c r="I700" t="s">
        <v>1737</v>
      </c>
      <c r="J700" t="s">
        <v>3494</v>
      </c>
      <c r="M700" s="74">
        <v>100</v>
      </c>
      <c r="N700" s="1" t="s">
        <v>4378</v>
      </c>
    </row>
    <row r="701" spans="1:15" x14ac:dyDescent="0.25">
      <c r="A701" s="8" t="s">
        <v>4379</v>
      </c>
      <c r="C701" t="s">
        <v>4380</v>
      </c>
      <c r="D701" t="s">
        <v>539</v>
      </c>
      <c r="E701" t="s">
        <v>540</v>
      </c>
      <c r="F701" t="s">
        <v>4381</v>
      </c>
      <c r="G701" s="1">
        <v>45691</v>
      </c>
      <c r="H701" s="1"/>
      <c r="I701" t="s">
        <v>4382</v>
      </c>
      <c r="J701" t="s">
        <v>29</v>
      </c>
      <c r="M701" s="74">
        <v>100</v>
      </c>
      <c r="N701" s="1">
        <v>45939</v>
      </c>
    </row>
    <row r="702" spans="1:15" x14ac:dyDescent="0.25">
      <c r="A702" s="8" t="s">
        <v>4383</v>
      </c>
      <c r="C702" t="s">
        <v>433</v>
      </c>
      <c r="D702" t="s">
        <v>253</v>
      </c>
      <c r="E702" t="s">
        <v>4384</v>
      </c>
      <c r="F702" t="s">
        <v>4385</v>
      </c>
      <c r="G702" s="1">
        <v>45694</v>
      </c>
      <c r="H702" s="1"/>
      <c r="I702" t="s">
        <v>1737</v>
      </c>
      <c r="J702" t="s">
        <v>29</v>
      </c>
      <c r="M702" s="74">
        <v>100</v>
      </c>
      <c r="N702" s="1">
        <v>45765</v>
      </c>
      <c r="O702" t="s">
        <v>4386</v>
      </c>
    </row>
    <row r="703" spans="1:15" x14ac:dyDescent="0.25">
      <c r="A703" s="8" t="s">
        <v>4387</v>
      </c>
      <c r="C703" t="s">
        <v>773</v>
      </c>
      <c r="D703" t="s">
        <v>1295</v>
      </c>
      <c r="E703" t="s">
        <v>4204</v>
      </c>
      <c r="F703" t="s">
        <v>4388</v>
      </c>
      <c r="G703" s="1"/>
      <c r="H703" s="1"/>
      <c r="M703" s="74"/>
      <c r="N703" s="1"/>
    </row>
    <row r="704" spans="1:15" x14ac:dyDescent="0.25">
      <c r="A704" s="8" t="s">
        <v>4389</v>
      </c>
      <c r="C704" t="s">
        <v>135</v>
      </c>
      <c r="D704" t="s">
        <v>903</v>
      </c>
      <c r="E704" t="s">
        <v>326</v>
      </c>
      <c r="F704" t="s">
        <v>1223</v>
      </c>
      <c r="G704" s="1"/>
      <c r="H704" s="1"/>
      <c r="I704" t="s">
        <v>1737</v>
      </c>
      <c r="J704" t="s">
        <v>29</v>
      </c>
      <c r="K704" t="s">
        <v>4390</v>
      </c>
      <c r="L704" t="s">
        <v>4391</v>
      </c>
      <c r="M704" s="74">
        <v>100</v>
      </c>
      <c r="N704" s="1">
        <v>45856</v>
      </c>
    </row>
    <row r="705" spans="1:15" x14ac:dyDescent="0.25">
      <c r="A705" s="8" t="s">
        <v>4392</v>
      </c>
      <c r="C705" t="s">
        <v>4059</v>
      </c>
      <c r="D705" t="s">
        <v>43</v>
      </c>
      <c r="E705" t="s">
        <v>4393</v>
      </c>
      <c r="F705" t="s">
        <v>4394</v>
      </c>
      <c r="G705" s="1">
        <v>45708</v>
      </c>
      <c r="H705" s="1"/>
      <c r="I705" t="s">
        <v>1737</v>
      </c>
      <c r="J705" t="s">
        <v>29</v>
      </c>
      <c r="K705" t="s">
        <v>29</v>
      </c>
      <c r="L705" t="s">
        <v>4395</v>
      </c>
      <c r="M705" s="74">
        <v>0.3</v>
      </c>
      <c r="N705" s="1">
        <v>45720</v>
      </c>
    </row>
    <row r="706" spans="1:15" x14ac:dyDescent="0.25">
      <c r="A706" s="8" t="s">
        <v>4396</v>
      </c>
      <c r="C706" t="s">
        <v>325</v>
      </c>
      <c r="D706" t="s">
        <v>539</v>
      </c>
      <c r="E706" t="s">
        <v>540</v>
      </c>
      <c r="F706" t="s">
        <v>4397</v>
      </c>
      <c r="G706" s="1">
        <v>45708</v>
      </c>
      <c r="H706" s="1"/>
      <c r="I706" t="s">
        <v>1737</v>
      </c>
      <c r="J706" t="s">
        <v>29</v>
      </c>
      <c r="M706" s="74">
        <v>100</v>
      </c>
      <c r="N706" s="1">
        <v>45939</v>
      </c>
    </row>
    <row r="707" spans="1:15" x14ac:dyDescent="0.25">
      <c r="A707" s="8" t="s">
        <v>4398</v>
      </c>
      <c r="C707" t="s">
        <v>220</v>
      </c>
      <c r="D707" t="s">
        <v>25</v>
      </c>
      <c r="E707" t="s">
        <v>628</v>
      </c>
      <c r="F707" t="s">
        <v>1282</v>
      </c>
      <c r="G707" s="1"/>
      <c r="H707" s="1"/>
      <c r="I707" t="s">
        <v>1737</v>
      </c>
      <c r="J707" t="s">
        <v>29</v>
      </c>
      <c r="K707" t="s">
        <v>29</v>
      </c>
      <c r="L707" t="s">
        <v>1283</v>
      </c>
      <c r="M707" s="74">
        <v>100</v>
      </c>
      <c r="N707" s="1">
        <v>45828</v>
      </c>
    </row>
    <row r="708" spans="1:15" x14ac:dyDescent="0.25">
      <c r="A708" s="8" t="s">
        <v>4399</v>
      </c>
      <c r="C708" t="s">
        <v>433</v>
      </c>
      <c r="D708" t="s">
        <v>253</v>
      </c>
      <c r="E708" t="s">
        <v>4035</v>
      </c>
      <c r="F708" t="s">
        <v>4400</v>
      </c>
      <c r="G708" s="1">
        <v>45709</v>
      </c>
      <c r="H708" s="1"/>
      <c r="I708" t="s">
        <v>1737</v>
      </c>
      <c r="J708" t="s">
        <v>29</v>
      </c>
      <c r="K708" t="s">
        <v>3494</v>
      </c>
      <c r="L708" t="s">
        <v>4401</v>
      </c>
      <c r="M708" s="74">
        <v>100</v>
      </c>
      <c r="N708" s="1">
        <v>45796</v>
      </c>
      <c r="O708" t="s">
        <v>4402</v>
      </c>
    </row>
    <row r="709" spans="1:15" x14ac:dyDescent="0.25">
      <c r="A709" s="8" t="s">
        <v>4403</v>
      </c>
      <c r="C709" t="s">
        <v>433</v>
      </c>
      <c r="D709" t="s">
        <v>253</v>
      </c>
      <c r="E709" t="s">
        <v>4035</v>
      </c>
      <c r="F709" t="s">
        <v>4404</v>
      </c>
      <c r="G709" s="1">
        <v>45716</v>
      </c>
      <c r="H709" s="1"/>
      <c r="I709" t="s">
        <v>1737</v>
      </c>
      <c r="J709" t="s">
        <v>29</v>
      </c>
      <c r="K709" t="s">
        <v>3494</v>
      </c>
      <c r="L709" t="s">
        <v>4405</v>
      </c>
      <c r="M709" s="74">
        <v>100</v>
      </c>
      <c r="N709" s="1">
        <v>45730</v>
      </c>
    </row>
    <row r="710" spans="1:15" x14ac:dyDescent="0.25">
      <c r="A710" s="8" t="s">
        <v>4406</v>
      </c>
      <c r="C710" t="s">
        <v>773</v>
      </c>
      <c r="D710" t="s">
        <v>253</v>
      </c>
      <c r="E710" t="s">
        <v>254</v>
      </c>
      <c r="F710" t="s">
        <v>4407</v>
      </c>
      <c r="G710" s="1">
        <v>45716</v>
      </c>
      <c r="H710" s="1"/>
      <c r="I710" t="s">
        <v>1737</v>
      </c>
      <c r="J710" t="s">
        <v>29</v>
      </c>
      <c r="K710" t="s">
        <v>3494</v>
      </c>
      <c r="L710" t="s">
        <v>4408</v>
      </c>
      <c r="M710" s="74">
        <v>100</v>
      </c>
      <c r="N710" s="1">
        <v>45740</v>
      </c>
    </row>
    <row r="711" spans="1:15" x14ac:dyDescent="0.25">
      <c r="A711" s="8" t="s">
        <v>4409</v>
      </c>
      <c r="C711" t="s">
        <v>433</v>
      </c>
      <c r="D711" t="s">
        <v>253</v>
      </c>
      <c r="E711" t="s">
        <v>4035</v>
      </c>
      <c r="F711" t="s">
        <v>4410</v>
      </c>
      <c r="G711" s="1">
        <v>45716</v>
      </c>
      <c r="H711" s="1"/>
      <c r="I711" t="s">
        <v>1737</v>
      </c>
      <c r="J711" t="s">
        <v>29</v>
      </c>
      <c r="K711" t="s">
        <v>3494</v>
      </c>
      <c r="L711" t="s">
        <v>1281</v>
      </c>
      <c r="M711" s="74">
        <v>100</v>
      </c>
      <c r="N711" s="1">
        <v>45762</v>
      </c>
      <c r="O711" t="s">
        <v>4350</v>
      </c>
    </row>
    <row r="712" spans="1:15" x14ac:dyDescent="0.25">
      <c r="A712" s="8" t="s">
        <v>4411</v>
      </c>
      <c r="C712" t="s">
        <v>433</v>
      </c>
      <c r="D712" t="s">
        <v>253</v>
      </c>
      <c r="E712" t="s">
        <v>4035</v>
      </c>
      <c r="F712" t="s">
        <v>4412</v>
      </c>
      <c r="G712" s="1">
        <v>45716</v>
      </c>
      <c r="H712" s="1"/>
      <c r="I712" t="s">
        <v>1737</v>
      </c>
      <c r="J712" t="s">
        <v>29</v>
      </c>
      <c r="K712" t="s">
        <v>3494</v>
      </c>
      <c r="L712" t="s">
        <v>4413</v>
      </c>
      <c r="M712" s="74">
        <v>100</v>
      </c>
      <c r="N712" s="1">
        <v>45740</v>
      </c>
    </row>
    <row r="713" spans="1:15" x14ac:dyDescent="0.25">
      <c r="A713" s="8" t="s">
        <v>4414</v>
      </c>
      <c r="C713" t="s">
        <v>773</v>
      </c>
      <c r="D713" t="s">
        <v>253</v>
      </c>
      <c r="E713" t="s">
        <v>4035</v>
      </c>
      <c r="F713" t="s">
        <v>4415</v>
      </c>
      <c r="G713" s="1">
        <v>45716</v>
      </c>
      <c r="H713" s="1"/>
      <c r="I713" t="s">
        <v>1737</v>
      </c>
      <c r="J713" t="s">
        <v>29</v>
      </c>
      <c r="K713" t="s">
        <v>3494</v>
      </c>
      <c r="L713" t="s">
        <v>4416</v>
      </c>
      <c r="M713" s="74">
        <v>100</v>
      </c>
      <c r="N713" s="1">
        <v>45740</v>
      </c>
    </row>
    <row r="714" spans="1:15" x14ac:dyDescent="0.25">
      <c r="A714" s="8" t="s">
        <v>4417</v>
      </c>
      <c r="C714" t="s">
        <v>4418</v>
      </c>
      <c r="D714" t="s">
        <v>539</v>
      </c>
      <c r="E714" t="s">
        <v>540</v>
      </c>
      <c r="F714" t="s">
        <v>4419</v>
      </c>
      <c r="G714" s="1">
        <v>45720</v>
      </c>
      <c r="H714" s="1"/>
      <c r="I714" t="s">
        <v>1737</v>
      </c>
      <c r="J714" t="s">
        <v>29</v>
      </c>
      <c r="K714" t="s">
        <v>29</v>
      </c>
      <c r="M714" s="74">
        <v>100</v>
      </c>
      <c r="N714" s="1">
        <v>45828</v>
      </c>
    </row>
    <row r="715" spans="1:15" x14ac:dyDescent="0.25">
      <c r="A715" s="8" t="s">
        <v>4420</v>
      </c>
      <c r="C715" t="s">
        <v>773</v>
      </c>
      <c r="D715" t="s">
        <v>1295</v>
      </c>
      <c r="E715" t="s">
        <v>4204</v>
      </c>
      <c r="F715" t="s">
        <v>4421</v>
      </c>
      <c r="G715" s="1">
        <v>45720</v>
      </c>
      <c r="H715" s="1"/>
      <c r="M715" s="74"/>
      <c r="N715" s="1"/>
    </row>
    <row r="716" spans="1:15" ht="30" x14ac:dyDescent="0.25">
      <c r="A716" s="8" t="s">
        <v>4422</v>
      </c>
      <c r="C716" t="s">
        <v>474</v>
      </c>
      <c r="D716" t="s">
        <v>4423</v>
      </c>
      <c r="E716" s="34" t="s">
        <v>1263</v>
      </c>
      <c r="F716" t="s">
        <v>4424</v>
      </c>
      <c r="G716" s="1">
        <v>45720</v>
      </c>
      <c r="H716" s="1"/>
      <c r="I716" t="s">
        <v>1737</v>
      </c>
      <c r="J716" t="s">
        <v>29</v>
      </c>
      <c r="K716" t="s">
        <v>29</v>
      </c>
      <c r="L716" t="s">
        <v>4425</v>
      </c>
      <c r="M716" s="74">
        <v>100</v>
      </c>
      <c r="N716" s="1">
        <v>45730</v>
      </c>
    </row>
    <row r="717" spans="1:15" x14ac:dyDescent="0.25">
      <c r="A717" s="8" t="s">
        <v>4426</v>
      </c>
      <c r="C717" t="s">
        <v>773</v>
      </c>
      <c r="D717" t="s">
        <v>253</v>
      </c>
      <c r="E717" t="s">
        <v>4035</v>
      </c>
      <c r="F717" t="s">
        <v>4427</v>
      </c>
      <c r="G717" s="1">
        <v>45722</v>
      </c>
      <c r="H717" s="1"/>
      <c r="I717" t="s">
        <v>1737</v>
      </c>
      <c r="J717" t="s">
        <v>29</v>
      </c>
      <c r="K717" t="s">
        <v>3494</v>
      </c>
      <c r="L717" t="s">
        <v>4428</v>
      </c>
      <c r="M717" s="74">
        <v>100</v>
      </c>
      <c r="N717" s="1">
        <v>45740</v>
      </c>
    </row>
    <row r="718" spans="1:15" x14ac:dyDescent="0.25">
      <c r="A718" s="8" t="s">
        <v>4429</v>
      </c>
      <c r="C718" t="s">
        <v>773</v>
      </c>
      <c r="D718" t="s">
        <v>253</v>
      </c>
      <c r="E718" t="s">
        <v>4035</v>
      </c>
      <c r="F718" t="s">
        <v>4430</v>
      </c>
      <c r="G718" s="1">
        <v>45722</v>
      </c>
      <c r="H718" s="1"/>
      <c r="I718" t="s">
        <v>1737</v>
      </c>
      <c r="J718" t="s">
        <v>29</v>
      </c>
      <c r="K718" t="s">
        <v>29</v>
      </c>
      <c r="L718" t="s">
        <v>4431</v>
      </c>
      <c r="M718" s="74">
        <v>100</v>
      </c>
      <c r="N718" s="1">
        <v>45740</v>
      </c>
    </row>
    <row r="719" spans="1:15" x14ac:dyDescent="0.25">
      <c r="A719" s="8" t="s">
        <v>4432</v>
      </c>
      <c r="C719" t="s">
        <v>4433</v>
      </c>
      <c r="D719" t="s">
        <v>4434</v>
      </c>
      <c r="F719" t="s">
        <v>4435</v>
      </c>
      <c r="G719" s="1">
        <v>45722</v>
      </c>
      <c r="H719" s="1"/>
      <c r="I719" t="s">
        <v>2952</v>
      </c>
      <c r="J719" t="s">
        <v>29</v>
      </c>
      <c r="M719" s="74" t="s">
        <v>2469</v>
      </c>
      <c r="N719" s="1"/>
      <c r="O719" t="s">
        <v>3658</v>
      </c>
    </row>
    <row r="720" spans="1:15" x14ac:dyDescent="0.25">
      <c r="A720" s="8" t="s">
        <v>4436</v>
      </c>
      <c r="C720" t="s">
        <v>773</v>
      </c>
      <c r="D720" t="s">
        <v>4437</v>
      </c>
      <c r="E720" t="s">
        <v>1464</v>
      </c>
      <c r="F720" t="s">
        <v>4438</v>
      </c>
      <c r="G720" s="1">
        <v>45727</v>
      </c>
      <c r="H720" s="1"/>
      <c r="I720" t="s">
        <v>1737</v>
      </c>
      <c r="J720" t="s">
        <v>29</v>
      </c>
      <c r="K720" t="s">
        <v>3494</v>
      </c>
      <c r="M720" s="74" t="s">
        <v>4439</v>
      </c>
      <c r="N720" s="1">
        <v>45729</v>
      </c>
      <c r="O720" t="s">
        <v>4440</v>
      </c>
    </row>
    <row r="721" spans="1:15" x14ac:dyDescent="0.25">
      <c r="A721" s="8" t="s">
        <v>4441</v>
      </c>
      <c r="C721" t="s">
        <v>773</v>
      </c>
      <c r="D721" t="s">
        <v>253</v>
      </c>
      <c r="E721" t="s">
        <v>4442</v>
      </c>
      <c r="F721" t="s">
        <v>4443</v>
      </c>
      <c r="G721" s="1">
        <v>45729</v>
      </c>
      <c r="H721" s="1"/>
      <c r="I721" t="s">
        <v>1737</v>
      </c>
      <c r="J721" t="s">
        <v>29</v>
      </c>
      <c r="K721" t="s">
        <v>3494</v>
      </c>
      <c r="L721" t="s">
        <v>4444</v>
      </c>
      <c r="M721" s="74">
        <v>100</v>
      </c>
      <c r="N721" s="1">
        <v>45763</v>
      </c>
      <c r="O721" t="s">
        <v>4350</v>
      </c>
    </row>
    <row r="722" spans="1:15" x14ac:dyDescent="0.25">
      <c r="A722" s="8" t="s">
        <v>4445</v>
      </c>
      <c r="C722" t="s">
        <v>474</v>
      </c>
      <c r="D722" t="s">
        <v>903</v>
      </c>
      <c r="E722" t="s">
        <v>960</v>
      </c>
      <c r="F722" t="s">
        <v>4446</v>
      </c>
      <c r="G722" s="1">
        <v>45729</v>
      </c>
      <c r="H722" s="1"/>
      <c r="I722" t="s">
        <v>1737</v>
      </c>
      <c r="J722" t="s">
        <v>29</v>
      </c>
      <c r="K722" t="s">
        <v>29</v>
      </c>
      <c r="L722" t="s">
        <v>1303</v>
      </c>
      <c r="M722" s="74">
        <v>100</v>
      </c>
      <c r="N722" s="1">
        <v>45834</v>
      </c>
    </row>
    <row r="723" spans="1:15" x14ac:dyDescent="0.25">
      <c r="A723" s="8" t="s">
        <v>4447</v>
      </c>
      <c r="C723" t="s">
        <v>325</v>
      </c>
      <c r="D723" t="s">
        <v>14</v>
      </c>
      <c r="F723" t="s">
        <v>4448</v>
      </c>
      <c r="G723" s="1">
        <v>45728</v>
      </c>
      <c r="H723" s="1"/>
      <c r="I723" t="s">
        <v>2952</v>
      </c>
      <c r="J723" t="s">
        <v>29</v>
      </c>
      <c r="M723" s="74"/>
      <c r="N723" s="1"/>
    </row>
    <row r="724" spans="1:15" x14ac:dyDescent="0.25">
      <c r="A724" s="8" t="s">
        <v>4449</v>
      </c>
      <c r="C724" t="s">
        <v>4450</v>
      </c>
      <c r="D724" t="s">
        <v>4423</v>
      </c>
      <c r="E724" t="s">
        <v>1263</v>
      </c>
      <c r="F724" t="s">
        <v>4451</v>
      </c>
      <c r="G724" s="1">
        <v>45741</v>
      </c>
      <c r="H724" s="1"/>
      <c r="I724" t="s">
        <v>1737</v>
      </c>
      <c r="J724" t="s">
        <v>29</v>
      </c>
      <c r="K724" t="s">
        <v>29</v>
      </c>
      <c r="L724" t="s">
        <v>1270</v>
      </c>
      <c r="M724" s="75">
        <v>100</v>
      </c>
      <c r="N724" s="1">
        <v>45839</v>
      </c>
    </row>
    <row r="725" spans="1:15" x14ac:dyDescent="0.25">
      <c r="A725" s="8" t="s">
        <v>4452</v>
      </c>
      <c r="B725" t="s">
        <v>4403</v>
      </c>
      <c r="C725" t="s">
        <v>4450</v>
      </c>
      <c r="D725" t="s">
        <v>253</v>
      </c>
      <c r="E725" t="s">
        <v>4035</v>
      </c>
      <c r="F725" t="s">
        <v>4453</v>
      </c>
      <c r="G725" s="1">
        <v>45741</v>
      </c>
      <c r="H725" s="1"/>
      <c r="I725" t="s">
        <v>1737</v>
      </c>
      <c r="J725" t="s">
        <v>29</v>
      </c>
      <c r="K725" t="s">
        <v>3494</v>
      </c>
      <c r="L725" t="s">
        <v>1177</v>
      </c>
      <c r="M725" s="74">
        <v>100</v>
      </c>
      <c r="N725" s="1">
        <v>45762</v>
      </c>
      <c r="O725" t="s">
        <v>4454</v>
      </c>
    </row>
    <row r="726" spans="1:15" x14ac:dyDescent="0.25">
      <c r="A726" s="8" t="s">
        <v>4455</v>
      </c>
      <c r="C726" t="s">
        <v>773</v>
      </c>
      <c r="D726" t="s">
        <v>253</v>
      </c>
      <c r="E726" t="s">
        <v>4456</v>
      </c>
      <c r="F726" t="s">
        <v>4457</v>
      </c>
      <c r="G726" s="1">
        <v>45747</v>
      </c>
      <c r="H726" s="1"/>
      <c r="I726" t="s">
        <v>1737</v>
      </c>
      <c r="J726" t="s">
        <v>29</v>
      </c>
      <c r="K726" t="s">
        <v>29</v>
      </c>
      <c r="L726" t="s">
        <v>4458</v>
      </c>
      <c r="M726" s="74">
        <v>100</v>
      </c>
      <c r="N726" s="1">
        <v>45796</v>
      </c>
      <c r="O726" t="s">
        <v>4350</v>
      </c>
    </row>
    <row r="727" spans="1:15" x14ac:dyDescent="0.25">
      <c r="A727" s="8" t="s">
        <v>4459</v>
      </c>
      <c r="C727" t="s">
        <v>474</v>
      </c>
      <c r="D727" t="s">
        <v>411</v>
      </c>
      <c r="E727" t="s">
        <v>3929</v>
      </c>
      <c r="F727" t="s">
        <v>4460</v>
      </c>
      <c r="G727" s="1">
        <v>45749</v>
      </c>
      <c r="H727" s="1"/>
      <c r="I727" t="s">
        <v>1737</v>
      </c>
      <c r="J727" t="s">
        <v>29</v>
      </c>
      <c r="L727" t="s">
        <v>1294</v>
      </c>
      <c r="M727" s="74">
        <v>100</v>
      </c>
      <c r="N727" s="1">
        <v>45821</v>
      </c>
    </row>
    <row r="728" spans="1:15" x14ac:dyDescent="0.25">
      <c r="A728" s="8" t="s">
        <v>4461</v>
      </c>
      <c r="C728" t="s">
        <v>474</v>
      </c>
      <c r="D728" t="s">
        <v>411</v>
      </c>
      <c r="E728" t="s">
        <v>3929</v>
      </c>
      <c r="F728" t="s">
        <v>4462</v>
      </c>
      <c r="G728" s="1">
        <v>45749</v>
      </c>
      <c r="H728" s="1"/>
      <c r="I728" t="s">
        <v>1737</v>
      </c>
      <c r="J728" t="s">
        <v>29</v>
      </c>
      <c r="M728" s="75">
        <v>100</v>
      </c>
      <c r="N728" s="1">
        <v>45821</v>
      </c>
    </row>
    <row r="729" spans="1:15" x14ac:dyDescent="0.25">
      <c r="A729" s="8" t="s">
        <v>4463</v>
      </c>
      <c r="C729" t="s">
        <v>1429</v>
      </c>
      <c r="D729" t="s">
        <v>411</v>
      </c>
      <c r="E729" t="s">
        <v>3929</v>
      </c>
      <c r="F729" t="s">
        <v>4464</v>
      </c>
      <c r="G729" s="1">
        <v>45764</v>
      </c>
      <c r="H729" s="1"/>
      <c r="I729" t="s">
        <v>1737</v>
      </c>
      <c r="J729" t="s">
        <v>29</v>
      </c>
      <c r="L729" t="s">
        <v>1390</v>
      </c>
      <c r="M729" s="75">
        <v>100</v>
      </c>
      <c r="N729" s="1">
        <v>45796</v>
      </c>
    </row>
    <row r="730" spans="1:15" x14ac:dyDescent="0.25">
      <c r="A730" s="8" t="s">
        <v>4465</v>
      </c>
      <c r="C730" t="s">
        <v>4466</v>
      </c>
      <c r="D730" t="s">
        <v>253</v>
      </c>
      <c r="E730" t="s">
        <v>4467</v>
      </c>
      <c r="F730" t="s">
        <v>4468</v>
      </c>
      <c r="G730" s="1">
        <v>45749</v>
      </c>
      <c r="H730" s="1"/>
      <c r="I730" t="s">
        <v>1737</v>
      </c>
      <c r="J730" t="s">
        <v>29</v>
      </c>
      <c r="M730" s="74">
        <v>100</v>
      </c>
      <c r="N730" s="1">
        <v>45800</v>
      </c>
    </row>
    <row r="731" spans="1:15" x14ac:dyDescent="0.25">
      <c r="A731" s="8" t="s">
        <v>4469</v>
      </c>
      <c r="C731" t="s">
        <v>4470</v>
      </c>
      <c r="D731" t="s">
        <v>1136</v>
      </c>
      <c r="E731" t="s">
        <v>244</v>
      </c>
      <c r="F731" t="s">
        <v>1326</v>
      </c>
      <c r="G731" s="1">
        <v>45749</v>
      </c>
      <c r="H731" s="1"/>
      <c r="I731" t="s">
        <v>1737</v>
      </c>
      <c r="J731" t="s">
        <v>29</v>
      </c>
      <c r="K731" t="s">
        <v>29</v>
      </c>
      <c r="L731" t="s">
        <v>1324</v>
      </c>
      <c r="M731" s="74">
        <v>100</v>
      </c>
      <c r="N731" s="1">
        <v>45798</v>
      </c>
    </row>
    <row r="732" spans="1:15" x14ac:dyDescent="0.25">
      <c r="A732" s="8" t="s">
        <v>4471</v>
      </c>
      <c r="B732" t="s">
        <v>4032</v>
      </c>
      <c r="C732" t="s">
        <v>773</v>
      </c>
      <c r="D732" t="s">
        <v>253</v>
      </c>
      <c r="E732" t="s">
        <v>4035</v>
      </c>
      <c r="F732" t="s">
        <v>4472</v>
      </c>
      <c r="G732" s="1">
        <v>45750</v>
      </c>
      <c r="H732" s="1"/>
      <c r="I732" t="s">
        <v>1737</v>
      </c>
      <c r="J732" t="s">
        <v>29</v>
      </c>
      <c r="K732" t="s">
        <v>3494</v>
      </c>
      <c r="L732" t="s">
        <v>1337</v>
      </c>
      <c r="M732" s="74">
        <v>100</v>
      </c>
      <c r="N732" s="1">
        <v>45762</v>
      </c>
      <c r="O732" t="s">
        <v>4350</v>
      </c>
    </row>
    <row r="733" spans="1:15" x14ac:dyDescent="0.25">
      <c r="A733" s="8" t="s">
        <v>4473</v>
      </c>
      <c r="C733" t="s">
        <v>1129</v>
      </c>
      <c r="D733" t="s">
        <v>1136</v>
      </c>
      <c r="E733" t="s">
        <v>244</v>
      </c>
      <c r="F733" t="s">
        <v>4474</v>
      </c>
      <c r="G733" s="1">
        <v>45751</v>
      </c>
      <c r="H733" s="1"/>
      <c r="I733" s="9" t="s">
        <v>1737</v>
      </c>
      <c r="J733" t="s">
        <v>29</v>
      </c>
      <c r="M733" s="74">
        <v>100</v>
      </c>
      <c r="N733" s="1">
        <v>45799</v>
      </c>
    </row>
    <row r="734" spans="1:15" ht="15" customHeight="1" x14ac:dyDescent="0.25">
      <c r="A734" s="8" t="s">
        <v>4475</v>
      </c>
      <c r="C734" t="s">
        <v>4476</v>
      </c>
      <c r="D734" t="s">
        <v>1136</v>
      </c>
      <c r="E734" t="s">
        <v>244</v>
      </c>
      <c r="F734" t="s">
        <v>4477</v>
      </c>
      <c r="G734" s="1">
        <v>45751</v>
      </c>
      <c r="H734" s="1"/>
      <c r="I734" t="s">
        <v>1715</v>
      </c>
      <c r="J734" t="s">
        <v>29</v>
      </c>
      <c r="L734" t="s">
        <v>1306</v>
      </c>
      <c r="M734" s="74"/>
      <c r="N734" s="1"/>
    </row>
    <row r="735" spans="1:15" x14ac:dyDescent="0.25">
      <c r="A735" s="8" t="s">
        <v>4478</v>
      </c>
      <c r="C735" t="s">
        <v>1203</v>
      </c>
      <c r="D735" t="s">
        <v>539</v>
      </c>
      <c r="E735" t="s">
        <v>540</v>
      </c>
      <c r="F735" t="s">
        <v>4479</v>
      </c>
      <c r="G735" s="1">
        <v>45755</v>
      </c>
      <c r="H735" s="1"/>
      <c r="I735" t="s">
        <v>1737</v>
      </c>
      <c r="J735" t="s">
        <v>29</v>
      </c>
      <c r="L735" t="s">
        <v>3075</v>
      </c>
      <c r="M735" s="74">
        <v>100</v>
      </c>
      <c r="N735" s="1">
        <v>45975</v>
      </c>
    </row>
    <row r="736" spans="1:15" x14ac:dyDescent="0.25">
      <c r="A736" s="8" t="s">
        <v>4480</v>
      </c>
      <c r="C736" t="s">
        <v>4481</v>
      </c>
      <c r="D736" t="s">
        <v>247</v>
      </c>
      <c r="E736" t="s">
        <v>1313</v>
      </c>
      <c r="F736" t="s">
        <v>4482</v>
      </c>
      <c r="G736" s="1">
        <v>45756</v>
      </c>
      <c r="H736" s="1"/>
      <c r="I736" t="s">
        <v>1737</v>
      </c>
      <c r="J736" t="s">
        <v>29</v>
      </c>
      <c r="K736" t="s">
        <v>29</v>
      </c>
      <c r="L736" t="s">
        <v>1312</v>
      </c>
      <c r="M736" s="74">
        <v>60</v>
      </c>
      <c r="N736" s="1">
        <v>45800</v>
      </c>
    </row>
    <row r="737" spans="1:15" x14ac:dyDescent="0.25">
      <c r="A737" s="8" t="s">
        <v>4483</v>
      </c>
      <c r="C737" t="s">
        <v>4484</v>
      </c>
      <c r="D737" t="s">
        <v>253</v>
      </c>
      <c r="E737" t="s">
        <v>4035</v>
      </c>
      <c r="F737" t="s">
        <v>4485</v>
      </c>
      <c r="G737" s="1">
        <v>45757</v>
      </c>
      <c r="H737" s="1"/>
      <c r="I737" t="s">
        <v>3493</v>
      </c>
      <c r="J737" t="s">
        <v>29</v>
      </c>
      <c r="K737" t="s">
        <v>3494</v>
      </c>
      <c r="L737" t="s">
        <v>1375</v>
      </c>
      <c r="M737" s="74"/>
      <c r="N737" s="1"/>
    </row>
    <row r="738" spans="1:15" x14ac:dyDescent="0.25">
      <c r="A738" s="8" t="s">
        <v>4486</v>
      </c>
      <c r="B738" t="s">
        <v>4487</v>
      </c>
      <c r="C738" t="s">
        <v>4488</v>
      </c>
      <c r="D738" t="s">
        <v>253</v>
      </c>
      <c r="E738" t="s">
        <v>4035</v>
      </c>
      <c r="F738" t="s">
        <v>4489</v>
      </c>
      <c r="G738" s="1">
        <v>45762</v>
      </c>
      <c r="H738" s="1"/>
      <c r="I738" t="s">
        <v>1737</v>
      </c>
      <c r="J738" t="s">
        <v>29</v>
      </c>
      <c r="L738" t="s">
        <v>1273</v>
      </c>
      <c r="M738" s="74">
        <v>0.35</v>
      </c>
      <c r="N738" s="1">
        <v>45770</v>
      </c>
      <c r="O738" t="s">
        <v>4490</v>
      </c>
    </row>
    <row r="739" spans="1:15" x14ac:dyDescent="0.25">
      <c r="A739" s="8" t="s">
        <v>4491</v>
      </c>
      <c r="C739" t="s">
        <v>433</v>
      </c>
      <c r="D739" t="s">
        <v>539</v>
      </c>
      <c r="E739" t="s">
        <v>540</v>
      </c>
      <c r="F739" t="s">
        <v>4492</v>
      </c>
      <c r="G739" s="1">
        <v>45772</v>
      </c>
      <c r="H739" s="1"/>
      <c r="I739" t="s">
        <v>1737</v>
      </c>
      <c r="J739" t="s">
        <v>29</v>
      </c>
      <c r="M739" s="74">
        <v>100</v>
      </c>
      <c r="N739" s="1">
        <v>45779</v>
      </c>
    </row>
    <row r="740" spans="1:15" x14ac:dyDescent="0.25">
      <c r="A740" s="8" t="s">
        <v>4493</v>
      </c>
      <c r="B740" t="s">
        <v>4494</v>
      </c>
      <c r="C740" t="s">
        <v>474</v>
      </c>
      <c r="D740" t="s">
        <v>1404</v>
      </c>
      <c r="E740" t="s">
        <v>1405</v>
      </c>
      <c r="F740" t="s">
        <v>1406</v>
      </c>
      <c r="G740" s="1">
        <v>45777</v>
      </c>
      <c r="H740" s="1"/>
      <c r="I740" t="s">
        <v>3675</v>
      </c>
      <c r="J740" t="s">
        <v>29</v>
      </c>
      <c r="L740" t="s">
        <v>1403</v>
      </c>
      <c r="M740" s="74"/>
      <c r="N740" s="1"/>
    </row>
    <row r="741" spans="1:15" x14ac:dyDescent="0.25">
      <c r="A741" s="8" t="s">
        <v>4495</v>
      </c>
      <c r="C741" t="s">
        <v>4496</v>
      </c>
      <c r="D741" t="s">
        <v>539</v>
      </c>
      <c r="E741" t="s">
        <v>540</v>
      </c>
      <c r="F741" t="s">
        <v>4497</v>
      </c>
      <c r="G741" s="1">
        <v>45784</v>
      </c>
      <c r="H741" s="1"/>
      <c r="I741" t="s">
        <v>1737</v>
      </c>
      <c r="J741" t="s">
        <v>29</v>
      </c>
      <c r="M741" s="74">
        <v>100</v>
      </c>
      <c r="N741" s="1">
        <v>45785</v>
      </c>
    </row>
    <row r="742" spans="1:15" x14ac:dyDescent="0.25">
      <c r="A742" s="8" t="s">
        <v>4498</v>
      </c>
      <c r="C742" t="s">
        <v>4499</v>
      </c>
      <c r="D742" t="s">
        <v>4500</v>
      </c>
      <c r="E742" t="s">
        <v>516</v>
      </c>
      <c r="F742" t="s">
        <v>4501</v>
      </c>
      <c r="G742" s="1">
        <v>45689</v>
      </c>
      <c r="H742" s="1"/>
      <c r="I742" t="s">
        <v>3493</v>
      </c>
      <c r="J742" t="s">
        <v>29</v>
      </c>
      <c r="M742" s="74"/>
      <c r="N742" s="1"/>
    </row>
    <row r="743" spans="1:15" x14ac:dyDescent="0.25">
      <c r="A743" s="8" t="s">
        <v>4502</v>
      </c>
      <c r="B743" t="s">
        <v>4498</v>
      </c>
      <c r="C743" t="s">
        <v>4503</v>
      </c>
      <c r="D743" t="s">
        <v>4500</v>
      </c>
      <c r="E743" t="s">
        <v>516</v>
      </c>
      <c r="F743" t="s">
        <v>4504</v>
      </c>
      <c r="G743" s="1">
        <v>45786</v>
      </c>
      <c r="H743" s="1"/>
      <c r="I743" t="s">
        <v>2952</v>
      </c>
      <c r="J743" t="s">
        <v>29</v>
      </c>
      <c r="M743" s="74"/>
      <c r="N743" s="1"/>
    </row>
    <row r="744" spans="1:15" x14ac:dyDescent="0.25">
      <c r="A744" s="8" t="s">
        <v>4505</v>
      </c>
      <c r="C744" t="s">
        <v>4466</v>
      </c>
      <c r="D744" t="s">
        <v>4506</v>
      </c>
      <c r="E744" t="s">
        <v>4507</v>
      </c>
      <c r="F744" t="s">
        <v>4508</v>
      </c>
      <c r="G744" s="1">
        <v>45789</v>
      </c>
      <c r="H744" s="1"/>
      <c r="I744" t="s">
        <v>1737</v>
      </c>
      <c r="J744" t="s">
        <v>29</v>
      </c>
      <c r="K744" t="s">
        <v>29</v>
      </c>
      <c r="M744" s="74">
        <v>100</v>
      </c>
      <c r="N744" s="1">
        <v>45820</v>
      </c>
    </row>
    <row r="745" spans="1:15" x14ac:dyDescent="0.25">
      <c r="A745" s="8" t="s">
        <v>4509</v>
      </c>
      <c r="C745" t="s">
        <v>4510</v>
      </c>
      <c r="D745" t="s">
        <v>3963</v>
      </c>
      <c r="E745" t="s">
        <v>1412</v>
      </c>
      <c r="F745" t="s">
        <v>4511</v>
      </c>
      <c r="G745" s="1">
        <v>45796</v>
      </c>
      <c r="H745" s="1"/>
      <c r="I745" t="s">
        <v>1737</v>
      </c>
      <c r="J745" t="s">
        <v>29</v>
      </c>
      <c r="K745" t="s">
        <v>29</v>
      </c>
      <c r="L745" t="s">
        <v>1411</v>
      </c>
      <c r="M745" s="74">
        <v>100</v>
      </c>
      <c r="N745" s="1">
        <v>45840</v>
      </c>
    </row>
    <row r="746" spans="1:15" x14ac:dyDescent="0.25">
      <c r="A746" s="8" t="s">
        <v>4512</v>
      </c>
      <c r="C746" t="s">
        <v>220</v>
      </c>
      <c r="D746" t="s">
        <v>253</v>
      </c>
      <c r="E746" t="s">
        <v>254</v>
      </c>
      <c r="F746" t="s">
        <v>4513</v>
      </c>
      <c r="G746" s="1">
        <v>45805</v>
      </c>
      <c r="H746" s="1"/>
      <c r="I746" t="s">
        <v>1737</v>
      </c>
      <c r="J746" t="s">
        <v>29</v>
      </c>
      <c r="K746" t="s">
        <v>29</v>
      </c>
      <c r="L746" t="s">
        <v>911</v>
      </c>
      <c r="M746" s="74">
        <v>100</v>
      </c>
      <c r="N746" s="1">
        <v>45826</v>
      </c>
    </row>
    <row r="747" spans="1:15" x14ac:dyDescent="0.25">
      <c r="A747" s="8" t="s">
        <v>4514</v>
      </c>
      <c r="C747" t="s">
        <v>1429</v>
      </c>
      <c r="D747" t="s">
        <v>51</v>
      </c>
      <c r="E747" t="s">
        <v>61</v>
      </c>
      <c r="F747" t="s">
        <v>4515</v>
      </c>
      <c r="G747" s="1">
        <v>45807</v>
      </c>
      <c r="H747" s="1"/>
      <c r="I747" t="s">
        <v>1737</v>
      </c>
      <c r="J747" t="s">
        <v>29</v>
      </c>
      <c r="K747" t="s">
        <v>29</v>
      </c>
      <c r="L747" t="s">
        <v>1419</v>
      </c>
      <c r="M747" s="74">
        <v>100</v>
      </c>
      <c r="N747" s="1" t="s">
        <v>4516</v>
      </c>
      <c r="O747" t="s">
        <v>4517</v>
      </c>
    </row>
    <row r="748" spans="1:15" x14ac:dyDescent="0.25">
      <c r="A748" s="8" t="s">
        <v>4518</v>
      </c>
      <c r="C748" t="s">
        <v>325</v>
      </c>
      <c r="D748" t="s">
        <v>253</v>
      </c>
      <c r="E748" t="s">
        <v>4519</v>
      </c>
      <c r="F748" t="s">
        <v>4520</v>
      </c>
      <c r="G748" s="1">
        <v>45810</v>
      </c>
      <c r="H748" s="1"/>
      <c r="I748" t="s">
        <v>1737</v>
      </c>
      <c r="J748" t="s">
        <v>29</v>
      </c>
      <c r="K748" t="s">
        <v>29</v>
      </c>
      <c r="M748" s="74">
        <v>100</v>
      </c>
      <c r="N748" s="1">
        <v>45825</v>
      </c>
    </row>
    <row r="749" spans="1:15" x14ac:dyDescent="0.25">
      <c r="A749" s="8" t="s">
        <v>4521</v>
      </c>
      <c r="C749" t="s">
        <v>220</v>
      </c>
      <c r="D749" t="s">
        <v>526</v>
      </c>
      <c r="E749" t="s">
        <v>924</v>
      </c>
      <c r="F749" t="s">
        <v>1425</v>
      </c>
      <c r="G749" s="1">
        <v>45798</v>
      </c>
      <c r="H749" s="1"/>
      <c r="I749" t="s">
        <v>1737</v>
      </c>
      <c r="J749" t="s">
        <v>29</v>
      </c>
      <c r="K749" t="s">
        <v>29</v>
      </c>
      <c r="L749" t="s">
        <v>1424</v>
      </c>
      <c r="M749" s="74">
        <v>100</v>
      </c>
      <c r="N749" s="1">
        <v>45820</v>
      </c>
    </row>
    <row r="750" spans="1:15" x14ac:dyDescent="0.25">
      <c r="A750" s="8" t="s">
        <v>4522</v>
      </c>
      <c r="C750" t="s">
        <v>474</v>
      </c>
      <c r="D750" t="s">
        <v>903</v>
      </c>
      <c r="E750" t="s">
        <v>1432</v>
      </c>
      <c r="F750" t="s">
        <v>4523</v>
      </c>
      <c r="G750" s="1">
        <v>45817</v>
      </c>
      <c r="H750" s="1"/>
      <c r="I750" t="s">
        <v>1737</v>
      </c>
      <c r="J750" t="s">
        <v>29</v>
      </c>
      <c r="L750" t="s">
        <v>1305</v>
      </c>
      <c r="M750" s="74">
        <v>100</v>
      </c>
      <c r="N750" s="1">
        <v>45873</v>
      </c>
    </row>
    <row r="751" spans="1:15" ht="15.75" x14ac:dyDescent="0.25">
      <c r="A751" s="8" t="s">
        <v>4524</v>
      </c>
      <c r="C751" t="s">
        <v>474</v>
      </c>
      <c r="D751" t="s">
        <v>539</v>
      </c>
      <c r="E751" t="s">
        <v>540</v>
      </c>
      <c r="F751" s="77" t="s">
        <v>4525</v>
      </c>
      <c r="G751" s="1">
        <v>45831</v>
      </c>
      <c r="H751" s="1"/>
      <c r="I751" t="s">
        <v>4382</v>
      </c>
      <c r="J751" t="s">
        <v>3494</v>
      </c>
      <c r="M751" s="74">
        <v>100</v>
      </c>
      <c r="N751" s="1">
        <v>45975</v>
      </c>
    </row>
    <row r="752" spans="1:15" x14ac:dyDescent="0.25">
      <c r="A752" s="8" t="s">
        <v>4526</v>
      </c>
      <c r="C752" t="s">
        <v>4527</v>
      </c>
      <c r="D752" t="s">
        <v>1519</v>
      </c>
      <c r="E752" t="s">
        <v>1520</v>
      </c>
      <c r="F752" t="s">
        <v>4528</v>
      </c>
      <c r="G752" s="1">
        <v>45845</v>
      </c>
      <c r="H752" s="1"/>
      <c r="I752" t="s">
        <v>1737</v>
      </c>
      <c r="J752" t="s">
        <v>3494</v>
      </c>
      <c r="K752" t="s">
        <v>29</v>
      </c>
      <c r="M752" s="74">
        <v>100</v>
      </c>
      <c r="N752" s="1">
        <v>45868</v>
      </c>
    </row>
    <row r="753" spans="1:15" x14ac:dyDescent="0.25">
      <c r="A753" s="8" t="s">
        <v>4529</v>
      </c>
      <c r="B753" t="s">
        <v>4509</v>
      </c>
      <c r="C753" t="s">
        <v>135</v>
      </c>
      <c r="D753" t="s">
        <v>3963</v>
      </c>
      <c r="E753" t="s">
        <v>1412</v>
      </c>
      <c r="F753" t="s">
        <v>4530</v>
      </c>
      <c r="G753" s="1">
        <v>45846</v>
      </c>
      <c r="H753" s="1"/>
      <c r="I753" t="s">
        <v>1737</v>
      </c>
      <c r="J753" t="s">
        <v>29</v>
      </c>
      <c r="K753" t="s">
        <v>29</v>
      </c>
      <c r="M753" s="74">
        <v>100</v>
      </c>
      <c r="N753" s="1">
        <v>45846</v>
      </c>
    </row>
    <row r="754" spans="1:15" x14ac:dyDescent="0.25">
      <c r="A754" s="8" t="s">
        <v>4531</v>
      </c>
      <c r="B754" t="s">
        <v>3651</v>
      </c>
      <c r="C754" t="s">
        <v>220</v>
      </c>
      <c r="D754" t="s">
        <v>534</v>
      </c>
      <c r="E754" t="s">
        <v>535</v>
      </c>
      <c r="F754" t="s">
        <v>4532</v>
      </c>
      <c r="G754" s="1">
        <v>45852</v>
      </c>
      <c r="H754" s="1"/>
      <c r="I754" t="s">
        <v>3493</v>
      </c>
      <c r="J754" t="s">
        <v>29</v>
      </c>
      <c r="M754" s="74"/>
      <c r="N754" s="1"/>
      <c r="O754" t="s">
        <v>3658</v>
      </c>
    </row>
    <row r="755" spans="1:15" x14ac:dyDescent="0.25">
      <c r="A755" s="8" t="s">
        <v>4533</v>
      </c>
      <c r="B755" t="s">
        <v>3651</v>
      </c>
      <c r="C755" t="s">
        <v>220</v>
      </c>
      <c r="D755" t="s">
        <v>534</v>
      </c>
      <c r="E755" t="s">
        <v>535</v>
      </c>
      <c r="F755" t="s">
        <v>4534</v>
      </c>
      <c r="G755" s="1">
        <v>45853</v>
      </c>
      <c r="H755" s="1"/>
      <c r="I755" t="s">
        <v>3493</v>
      </c>
      <c r="J755" t="s">
        <v>29</v>
      </c>
      <c r="M755" s="74"/>
      <c r="N755" s="1"/>
      <c r="O755" t="s">
        <v>3658</v>
      </c>
    </row>
    <row r="756" spans="1:15" x14ac:dyDescent="0.25">
      <c r="A756" s="8" t="s">
        <v>4535</v>
      </c>
      <c r="B756" t="s">
        <v>3651</v>
      </c>
      <c r="C756" t="s">
        <v>220</v>
      </c>
      <c r="D756" t="s">
        <v>534</v>
      </c>
      <c r="E756" t="s">
        <v>535</v>
      </c>
      <c r="F756" t="s">
        <v>4536</v>
      </c>
      <c r="G756" s="1">
        <v>45853</v>
      </c>
      <c r="H756" s="1"/>
      <c r="I756" t="s">
        <v>3493</v>
      </c>
      <c r="J756" t="s">
        <v>29</v>
      </c>
      <c r="M756" s="74"/>
      <c r="N756" s="1"/>
      <c r="O756" t="s">
        <v>4537</v>
      </c>
    </row>
    <row r="757" spans="1:15" x14ac:dyDescent="0.25">
      <c r="A757" s="8" t="s">
        <v>4538</v>
      </c>
      <c r="B757" t="s">
        <v>4353</v>
      </c>
      <c r="C757" t="s">
        <v>24</v>
      </c>
      <c r="D757" t="s">
        <v>1136</v>
      </c>
      <c r="E757" t="s">
        <v>244</v>
      </c>
      <c r="F757" t="s">
        <v>4539</v>
      </c>
      <c r="G757" s="1">
        <v>45856</v>
      </c>
      <c r="H757" s="1"/>
      <c r="I757" t="s">
        <v>1737</v>
      </c>
      <c r="J757" t="s">
        <v>29</v>
      </c>
      <c r="M757" s="74">
        <v>50</v>
      </c>
      <c r="N757" s="1">
        <v>45856</v>
      </c>
      <c r="O757" t="s">
        <v>4540</v>
      </c>
    </row>
    <row r="758" spans="1:15" x14ac:dyDescent="0.25">
      <c r="A758" s="8" t="s">
        <v>4541</v>
      </c>
      <c r="C758" t="s">
        <v>325</v>
      </c>
      <c r="D758" t="s">
        <v>3963</v>
      </c>
      <c r="E758" t="s">
        <v>3964</v>
      </c>
      <c r="F758" t="s">
        <v>4542</v>
      </c>
      <c r="G758" s="1">
        <v>45861</v>
      </c>
      <c r="H758" s="1"/>
      <c r="I758" t="s">
        <v>2952</v>
      </c>
      <c r="J758" t="s">
        <v>29</v>
      </c>
      <c r="M758" s="74"/>
      <c r="N758" s="1"/>
    </row>
    <row r="759" spans="1:15" x14ac:dyDescent="0.25">
      <c r="A759" s="8" t="s">
        <v>4543</v>
      </c>
      <c r="C759" t="s">
        <v>325</v>
      </c>
      <c r="D759" t="s">
        <v>253</v>
      </c>
      <c r="E759" t="s">
        <v>254</v>
      </c>
      <c r="F759" s="82" t="s">
        <v>4544</v>
      </c>
      <c r="G759" s="1">
        <v>45861</v>
      </c>
      <c r="H759" s="1"/>
      <c r="I759" t="s">
        <v>3493</v>
      </c>
      <c r="J759" t="s">
        <v>29</v>
      </c>
      <c r="M759" s="74"/>
      <c r="N759" s="1"/>
    </row>
    <row r="760" spans="1:15" x14ac:dyDescent="0.25">
      <c r="A760" s="8" t="s">
        <v>4545</v>
      </c>
      <c r="C760" t="s">
        <v>325</v>
      </c>
      <c r="D760" t="s">
        <v>253</v>
      </c>
      <c r="E760" t="s">
        <v>254</v>
      </c>
      <c r="F760" t="s">
        <v>4546</v>
      </c>
      <c r="G760" s="1">
        <v>45861</v>
      </c>
      <c r="H760" s="1"/>
      <c r="I760" t="s">
        <v>1737</v>
      </c>
      <c r="J760" t="s">
        <v>29</v>
      </c>
      <c r="M760" s="74">
        <v>100</v>
      </c>
      <c r="N760" s="1">
        <v>45863</v>
      </c>
    </row>
    <row r="761" spans="1:15" x14ac:dyDescent="0.25">
      <c r="A761" s="8" t="s">
        <v>4547</v>
      </c>
      <c r="C761" t="s">
        <v>135</v>
      </c>
      <c r="D761" t="s">
        <v>253</v>
      </c>
      <c r="E761" t="s">
        <v>254</v>
      </c>
      <c r="F761" t="s">
        <v>4548</v>
      </c>
      <c r="G761" s="1">
        <v>45868</v>
      </c>
      <c r="H761" s="1"/>
      <c r="I761" t="s">
        <v>3493</v>
      </c>
      <c r="J761" t="s">
        <v>29</v>
      </c>
      <c r="K761" t="s">
        <v>29</v>
      </c>
      <c r="M761" s="74"/>
      <c r="N761" s="1"/>
    </row>
    <row r="762" spans="1:15" x14ac:dyDescent="0.25">
      <c r="A762" s="8" t="s">
        <v>4549</v>
      </c>
      <c r="C762" t="s">
        <v>1508</v>
      </c>
      <c r="D762" t="s">
        <v>4506</v>
      </c>
      <c r="E762" t="s">
        <v>4507</v>
      </c>
      <c r="F762" t="s">
        <v>4550</v>
      </c>
      <c r="G762" s="1">
        <v>45870</v>
      </c>
      <c r="H762" s="1"/>
      <c r="I762" t="s">
        <v>3493</v>
      </c>
      <c r="J762" t="s">
        <v>29</v>
      </c>
      <c r="M762" s="74"/>
      <c r="N762" s="1"/>
    </row>
    <row r="763" spans="1:15" x14ac:dyDescent="0.25">
      <c r="A763" s="8" t="s">
        <v>4551</v>
      </c>
      <c r="C763" t="s">
        <v>1203</v>
      </c>
      <c r="D763" t="s">
        <v>1404</v>
      </c>
      <c r="E763" t="s">
        <v>79</v>
      </c>
      <c r="F763" t="s">
        <v>4552</v>
      </c>
      <c r="G763" s="1">
        <v>45873</v>
      </c>
      <c r="H763" s="1"/>
      <c r="I763" t="s">
        <v>3493</v>
      </c>
      <c r="J763" t="s">
        <v>29</v>
      </c>
      <c r="M763" s="74"/>
      <c r="N763" s="1"/>
    </row>
    <row r="764" spans="1:15" x14ac:dyDescent="0.25">
      <c r="A764" s="8" t="s">
        <v>4553</v>
      </c>
      <c r="B764" t="s">
        <v>1455</v>
      </c>
      <c r="C764" t="s">
        <v>474</v>
      </c>
      <c r="D764" t="s">
        <v>1136</v>
      </c>
      <c r="E764" t="s">
        <v>244</v>
      </c>
      <c r="F764" t="s">
        <v>4554</v>
      </c>
      <c r="G764" s="1">
        <v>45877</v>
      </c>
      <c r="H764" s="1"/>
      <c r="I764" t="s">
        <v>3493</v>
      </c>
      <c r="J764" t="s">
        <v>29</v>
      </c>
      <c r="M764" s="74">
        <v>75</v>
      </c>
      <c r="N764" s="1">
        <v>45933</v>
      </c>
    </row>
    <row r="765" spans="1:15" x14ac:dyDescent="0.25">
      <c r="A765" s="8" t="s">
        <v>4555</v>
      </c>
      <c r="C765" t="s">
        <v>1508</v>
      </c>
      <c r="D765" t="s">
        <v>253</v>
      </c>
      <c r="F765" t="s">
        <v>4556</v>
      </c>
      <c r="G765" s="1">
        <v>45884</v>
      </c>
      <c r="H765" s="1"/>
      <c r="I765" t="s">
        <v>2952</v>
      </c>
      <c r="J765" t="s">
        <v>29</v>
      </c>
      <c r="M765" s="74"/>
      <c r="N765" s="1"/>
    </row>
    <row r="766" spans="1:15" x14ac:dyDescent="0.25">
      <c r="A766" s="8" t="s">
        <v>4557</v>
      </c>
      <c r="C766" t="s">
        <v>24</v>
      </c>
      <c r="D766" t="s">
        <v>253</v>
      </c>
      <c r="F766" t="s">
        <v>4558</v>
      </c>
      <c r="G766" s="1">
        <v>45962</v>
      </c>
      <c r="H766" s="1"/>
      <c r="I766" t="s">
        <v>2952</v>
      </c>
      <c r="J766" t="s">
        <v>29</v>
      </c>
      <c r="M766" s="74"/>
      <c r="N766" s="1"/>
    </row>
    <row r="767" spans="1:15" x14ac:dyDescent="0.25">
      <c r="A767" s="8" t="s">
        <v>4559</v>
      </c>
      <c r="B767" s="58" t="s">
        <v>1516</v>
      </c>
      <c r="C767" t="s">
        <v>474</v>
      </c>
      <c r="D767" t="s">
        <v>70</v>
      </c>
      <c r="E767" t="s">
        <v>1479</v>
      </c>
      <c r="F767" t="s">
        <v>4560</v>
      </c>
      <c r="G767" s="1">
        <v>45888</v>
      </c>
      <c r="H767" s="1"/>
      <c r="I767" t="s">
        <v>2952</v>
      </c>
      <c r="J767" t="s">
        <v>29</v>
      </c>
      <c r="M767" s="74"/>
      <c r="N767" s="1"/>
      <c r="O767" t="s">
        <v>4561</v>
      </c>
    </row>
    <row r="768" spans="1:15" x14ac:dyDescent="0.25">
      <c r="A768" s="8" t="s">
        <v>4562</v>
      </c>
      <c r="C768" t="s">
        <v>24</v>
      </c>
      <c r="D768" t="s">
        <v>479</v>
      </c>
      <c r="E768" t="s">
        <v>480</v>
      </c>
      <c r="G768" s="1">
        <v>45922</v>
      </c>
      <c r="H768" s="1"/>
      <c r="I768" t="s">
        <v>2952</v>
      </c>
      <c r="J768" t="s">
        <v>29</v>
      </c>
      <c r="M768" s="74"/>
      <c r="N768" s="1"/>
    </row>
    <row r="769" spans="1:15" x14ac:dyDescent="0.25">
      <c r="A769" s="8" t="s">
        <v>4563</v>
      </c>
      <c r="C769" t="s">
        <v>325</v>
      </c>
      <c r="D769" t="s">
        <v>4564</v>
      </c>
      <c r="F769" t="s">
        <v>4565</v>
      </c>
      <c r="G769" s="1">
        <v>45912</v>
      </c>
      <c r="H769" s="1"/>
      <c r="I769" t="s">
        <v>3675</v>
      </c>
      <c r="J769" t="s">
        <v>29</v>
      </c>
      <c r="M769" s="74"/>
      <c r="N769" s="1"/>
    </row>
    <row r="770" spans="1:15" x14ac:dyDescent="0.25">
      <c r="A770" s="8" t="s">
        <v>4566</v>
      </c>
      <c r="B770" t="s">
        <v>2605</v>
      </c>
      <c r="C770" t="s">
        <v>4481</v>
      </c>
      <c r="D770" t="s">
        <v>539</v>
      </c>
      <c r="E770" t="s">
        <v>540</v>
      </c>
      <c r="F770" t="s">
        <v>4567</v>
      </c>
      <c r="G770" s="1">
        <v>45915</v>
      </c>
      <c r="H770" s="1"/>
      <c r="I770" t="s">
        <v>2952</v>
      </c>
      <c r="J770" t="s">
        <v>29</v>
      </c>
      <c r="M770" s="74"/>
      <c r="N770" s="1"/>
    </row>
    <row r="771" spans="1:15" x14ac:dyDescent="0.25">
      <c r="A771" s="8" t="s">
        <v>4568</v>
      </c>
      <c r="C771" t="s">
        <v>4361</v>
      </c>
      <c r="D771" t="s">
        <v>997</v>
      </c>
      <c r="E771" t="s">
        <v>150</v>
      </c>
      <c r="F771" t="s">
        <v>4569</v>
      </c>
      <c r="G771" s="1">
        <v>45916</v>
      </c>
      <c r="H771" s="1"/>
      <c r="I771" t="s">
        <v>3493</v>
      </c>
      <c r="J771" t="s">
        <v>29</v>
      </c>
      <c r="K771" t="s">
        <v>29</v>
      </c>
      <c r="M771" s="74"/>
      <c r="N771" s="1"/>
    </row>
    <row r="772" spans="1:15" x14ac:dyDescent="0.25">
      <c r="A772" s="8" t="s">
        <v>4570</v>
      </c>
      <c r="C772" t="s">
        <v>325</v>
      </c>
      <c r="D772" t="s">
        <v>253</v>
      </c>
      <c r="E772" t="s">
        <v>2381</v>
      </c>
      <c r="F772" t="s">
        <v>4571</v>
      </c>
      <c r="G772" s="1">
        <v>45917</v>
      </c>
      <c r="H772" s="1"/>
      <c r="I772" t="s">
        <v>2952</v>
      </c>
      <c r="J772" t="s">
        <v>29</v>
      </c>
      <c r="M772" s="74"/>
      <c r="N772" s="1"/>
    </row>
    <row r="773" spans="1:15" x14ac:dyDescent="0.25">
      <c r="A773" s="8" t="s">
        <v>4572</v>
      </c>
      <c r="C773" t="s">
        <v>135</v>
      </c>
      <c r="D773" t="s">
        <v>539</v>
      </c>
      <c r="E773" t="s">
        <v>540</v>
      </c>
      <c r="F773" t="s">
        <v>4573</v>
      </c>
      <c r="G773" s="1">
        <v>45925</v>
      </c>
      <c r="H773" s="1"/>
      <c r="I773" t="s">
        <v>3493</v>
      </c>
      <c r="J773" t="s">
        <v>29</v>
      </c>
      <c r="K773" t="s">
        <v>29</v>
      </c>
      <c r="M773" s="74"/>
      <c r="N773" s="1"/>
    </row>
    <row r="774" spans="1:15" x14ac:dyDescent="0.25">
      <c r="A774" s="8" t="s">
        <v>4574</v>
      </c>
      <c r="B774" t="s">
        <v>1530</v>
      </c>
      <c r="C774" t="s">
        <v>135</v>
      </c>
      <c r="D774" t="s">
        <v>253</v>
      </c>
      <c r="E774" t="s">
        <v>254</v>
      </c>
      <c r="F774" t="s">
        <v>1531</v>
      </c>
      <c r="G774" s="1">
        <v>45926</v>
      </c>
      <c r="H774" s="1"/>
      <c r="I774" t="s">
        <v>3493</v>
      </c>
      <c r="J774" t="s">
        <v>29</v>
      </c>
      <c r="K774" t="s">
        <v>29</v>
      </c>
      <c r="M774" s="74"/>
      <c r="N774" s="1"/>
      <c r="O774" t="s">
        <v>4575</v>
      </c>
    </row>
    <row r="775" spans="1:15" x14ac:dyDescent="0.25">
      <c r="A775" s="8" t="s">
        <v>4576</v>
      </c>
      <c r="C775" t="s">
        <v>474</v>
      </c>
      <c r="D775" t="s">
        <v>4577</v>
      </c>
      <c r="E775" t="s">
        <v>540</v>
      </c>
      <c r="F775" t="s">
        <v>4578</v>
      </c>
      <c r="G775" s="1">
        <v>45929</v>
      </c>
      <c r="H775" s="1"/>
      <c r="I775" t="s">
        <v>2952</v>
      </c>
      <c r="J775" t="s">
        <v>29</v>
      </c>
      <c r="M775" s="74"/>
      <c r="N775" s="1"/>
    </row>
    <row r="776" spans="1:15" x14ac:dyDescent="0.25">
      <c r="A776" s="8" t="s">
        <v>4579</v>
      </c>
      <c r="C776" t="s">
        <v>4580</v>
      </c>
      <c r="D776" t="s">
        <v>539</v>
      </c>
      <c r="E776" t="s">
        <v>540</v>
      </c>
      <c r="F776" t="s">
        <v>4581</v>
      </c>
      <c r="G776" s="1">
        <v>45929</v>
      </c>
      <c r="H776" s="1"/>
      <c r="I776" t="s">
        <v>1737</v>
      </c>
      <c r="J776" t="s">
        <v>29</v>
      </c>
      <c r="K776" t="s">
        <v>29</v>
      </c>
      <c r="M776" s="74">
        <v>100</v>
      </c>
      <c r="N776" s="1">
        <v>45975</v>
      </c>
    </row>
    <row r="777" spans="1:15" x14ac:dyDescent="0.25">
      <c r="A777" s="8" t="s">
        <v>4582</v>
      </c>
      <c r="C777" t="s">
        <v>1245</v>
      </c>
      <c r="D777" t="s">
        <v>903</v>
      </c>
      <c r="E777" t="s">
        <v>4583</v>
      </c>
      <c r="F777" t="s">
        <v>4584</v>
      </c>
      <c r="G777" s="1">
        <v>45929</v>
      </c>
      <c r="H777" s="1"/>
      <c r="I777" t="s">
        <v>2952</v>
      </c>
      <c r="J777" t="s">
        <v>29</v>
      </c>
      <c r="M777" s="74"/>
      <c r="N777" s="1"/>
    </row>
    <row r="778" spans="1:15" x14ac:dyDescent="0.25">
      <c r="A778" s="8" t="s">
        <v>4585</v>
      </c>
      <c r="B778" t="s">
        <v>4586</v>
      </c>
      <c r="C778" t="s">
        <v>13</v>
      </c>
      <c r="D778" t="s">
        <v>47</v>
      </c>
      <c r="E778" t="s">
        <v>48</v>
      </c>
      <c r="F778" t="s">
        <v>4587</v>
      </c>
      <c r="G778" s="1">
        <v>45939</v>
      </c>
      <c r="H778" s="1"/>
      <c r="I778" t="s">
        <v>3493</v>
      </c>
      <c r="J778" t="s">
        <v>3494</v>
      </c>
      <c r="K778" t="s">
        <v>29</v>
      </c>
      <c r="L778" t="s">
        <v>1605</v>
      </c>
      <c r="M778" s="74" t="s">
        <v>4588</v>
      </c>
      <c r="N778" s="1">
        <v>45971</v>
      </c>
    </row>
    <row r="779" spans="1:15" x14ac:dyDescent="0.25">
      <c r="A779" s="8" t="s">
        <v>4589</v>
      </c>
      <c r="C779" t="s">
        <v>1129</v>
      </c>
      <c r="D779" t="s">
        <v>70</v>
      </c>
      <c r="E779" t="s">
        <v>1479</v>
      </c>
      <c r="F779" t="s">
        <v>4590</v>
      </c>
      <c r="G779" s="1">
        <v>45943</v>
      </c>
      <c r="H779" s="1"/>
      <c r="I779" t="s">
        <v>2952</v>
      </c>
      <c r="J779" t="s">
        <v>29</v>
      </c>
      <c r="K779" t="s">
        <v>29</v>
      </c>
      <c r="L779" t="s">
        <v>1514</v>
      </c>
      <c r="M779" s="74" t="s">
        <v>4591</v>
      </c>
      <c r="N779" s="1">
        <v>45972</v>
      </c>
    </row>
    <row r="780" spans="1:15" x14ac:dyDescent="0.25">
      <c r="A780" s="8" t="s">
        <v>4592</v>
      </c>
      <c r="C780" t="s">
        <v>1120</v>
      </c>
      <c r="D780" t="s">
        <v>4593</v>
      </c>
      <c r="E780" t="s">
        <v>4594</v>
      </c>
      <c r="F780" t="s">
        <v>4595</v>
      </c>
      <c r="G780" s="1">
        <v>45944</v>
      </c>
      <c r="H780" s="1"/>
      <c r="I780" t="s">
        <v>2952</v>
      </c>
      <c r="J780" t="s">
        <v>29</v>
      </c>
      <c r="K780" t="s">
        <v>29</v>
      </c>
      <c r="L780" t="s">
        <v>1287</v>
      </c>
      <c r="M780" s="90">
        <v>0.5</v>
      </c>
      <c r="N780" s="1">
        <v>45971</v>
      </c>
    </row>
    <row r="781" spans="1:15" x14ac:dyDescent="0.25">
      <c r="A781" s="8" t="s">
        <v>4596</v>
      </c>
      <c r="C781" t="s">
        <v>574</v>
      </c>
      <c r="D781" t="s">
        <v>1016</v>
      </c>
      <c r="E781" t="s">
        <v>1017</v>
      </c>
      <c r="F781" t="s">
        <v>4597</v>
      </c>
      <c r="G781" s="1">
        <v>45951</v>
      </c>
      <c r="H781" s="1"/>
      <c r="I781" t="s">
        <v>1737</v>
      </c>
      <c r="J781" t="s">
        <v>29</v>
      </c>
      <c r="K781" t="s">
        <v>29</v>
      </c>
      <c r="M781" s="89">
        <v>100</v>
      </c>
      <c r="N781" s="1">
        <v>45967</v>
      </c>
    </row>
    <row r="782" spans="1:15" x14ac:dyDescent="0.25">
      <c r="A782" s="8" t="s">
        <v>4598</v>
      </c>
      <c r="C782" t="s">
        <v>4599</v>
      </c>
      <c r="D782" t="s">
        <v>411</v>
      </c>
      <c r="E782" t="s">
        <v>4600</v>
      </c>
      <c r="F782" t="s">
        <v>4601</v>
      </c>
      <c r="G782" s="1">
        <v>45962</v>
      </c>
      <c r="H782" s="1"/>
      <c r="I782" t="s">
        <v>2952</v>
      </c>
      <c r="J782" t="s">
        <v>29</v>
      </c>
      <c r="K782" t="s">
        <v>29</v>
      </c>
      <c r="M782" s="74"/>
      <c r="N782" s="1"/>
    </row>
    <row r="783" spans="1:15" x14ac:dyDescent="0.25">
      <c r="A783" s="8" t="s">
        <v>4602</v>
      </c>
      <c r="C783" t="s">
        <v>4599</v>
      </c>
      <c r="D783" t="s">
        <v>411</v>
      </c>
      <c r="E783" t="s">
        <v>4600</v>
      </c>
      <c r="F783" t="s">
        <v>4603</v>
      </c>
      <c r="G783" s="1">
        <v>45967</v>
      </c>
      <c r="H783" s="1"/>
      <c r="I783" t="s">
        <v>2952</v>
      </c>
      <c r="J783" t="s">
        <v>29</v>
      </c>
      <c r="K783" t="s">
        <v>29</v>
      </c>
      <c r="M783" s="74"/>
      <c r="N783" s="1"/>
    </row>
    <row r="784" spans="1:15" x14ac:dyDescent="0.25">
      <c r="A784" s="8" t="s">
        <v>4604</v>
      </c>
      <c r="B784" t="s">
        <v>3651</v>
      </c>
      <c r="C784" t="s">
        <v>13</v>
      </c>
      <c r="D784" t="s">
        <v>534</v>
      </c>
      <c r="E784" t="s">
        <v>535</v>
      </c>
      <c r="F784" t="s">
        <v>4605</v>
      </c>
      <c r="G784" s="1">
        <v>45959</v>
      </c>
      <c r="H784" s="1"/>
      <c r="I784" t="s">
        <v>3493</v>
      </c>
      <c r="J784" t="s">
        <v>29</v>
      </c>
      <c r="L784" t="s">
        <v>4606</v>
      </c>
      <c r="M784" s="74"/>
      <c r="N784" s="1"/>
    </row>
    <row r="785" spans="1:14" x14ac:dyDescent="0.25">
      <c r="A785" s="8" t="s">
        <v>4607</v>
      </c>
      <c r="C785" t="s">
        <v>13</v>
      </c>
      <c r="D785" t="s">
        <v>25</v>
      </c>
      <c r="E785" t="s">
        <v>4608</v>
      </c>
      <c r="F785" t="s">
        <v>1604</v>
      </c>
      <c r="G785" s="1">
        <v>45961</v>
      </c>
      <c r="H785" s="1"/>
      <c r="I785" t="s">
        <v>3493</v>
      </c>
      <c r="J785" t="s">
        <v>29</v>
      </c>
      <c r="K785" t="s">
        <v>29</v>
      </c>
      <c r="L785" t="s">
        <v>1601</v>
      </c>
      <c r="M785" s="74"/>
      <c r="N785" s="1"/>
    </row>
    <row r="786" spans="1:14" x14ac:dyDescent="0.25">
      <c r="A786" s="8" t="s">
        <v>4609</v>
      </c>
      <c r="C786" t="s">
        <v>4610</v>
      </c>
      <c r="D786" t="s">
        <v>4611</v>
      </c>
      <c r="E786" t="s">
        <v>4612</v>
      </c>
      <c r="F786" t="s">
        <v>1600</v>
      </c>
      <c r="G786" s="1">
        <v>45964</v>
      </c>
      <c r="H786" s="1"/>
      <c r="I786" t="s">
        <v>2952</v>
      </c>
      <c r="J786" t="s">
        <v>29</v>
      </c>
      <c r="K786" t="s">
        <v>29</v>
      </c>
      <c r="L786" t="s">
        <v>1596</v>
      </c>
      <c r="M786" s="88" t="s">
        <v>4613</v>
      </c>
      <c r="N786" s="1">
        <v>45965</v>
      </c>
    </row>
    <row r="787" spans="1:14" x14ac:dyDescent="0.25">
      <c r="A787" s="8" t="s">
        <v>4614</v>
      </c>
      <c r="C787" t="s">
        <v>4615</v>
      </c>
      <c r="D787" t="s">
        <v>4611</v>
      </c>
      <c r="E787" t="s">
        <v>4612</v>
      </c>
      <c r="F787" t="s">
        <v>4616</v>
      </c>
      <c r="G787" s="1">
        <v>45943</v>
      </c>
      <c r="H787" s="1"/>
      <c r="I787" t="s">
        <v>2952</v>
      </c>
      <c r="J787" t="s">
        <v>29</v>
      </c>
      <c r="K787" t="s">
        <v>29</v>
      </c>
      <c r="M787" s="74"/>
      <c r="N787" s="1"/>
    </row>
    <row r="788" spans="1:14" x14ac:dyDescent="0.25">
      <c r="A788" s="8" t="s">
        <v>4617</v>
      </c>
      <c r="C788" t="s">
        <v>4615</v>
      </c>
      <c r="D788" t="s">
        <v>4611</v>
      </c>
      <c r="E788" t="s">
        <v>4612</v>
      </c>
      <c r="F788" t="s">
        <v>4618</v>
      </c>
      <c r="G788" s="1">
        <v>45968</v>
      </c>
      <c r="H788" s="1"/>
      <c r="I788" t="s">
        <v>2952</v>
      </c>
      <c r="J788" t="s">
        <v>29</v>
      </c>
      <c r="K788" t="s">
        <v>29</v>
      </c>
      <c r="M788" s="74"/>
      <c r="N788" s="1"/>
    </row>
    <row r="789" spans="1:14" x14ac:dyDescent="0.25">
      <c r="A789" s="8" t="s">
        <v>4619</v>
      </c>
      <c r="C789" t="s">
        <v>4620</v>
      </c>
      <c r="D789" t="s">
        <v>253</v>
      </c>
      <c r="E789" t="s">
        <v>254</v>
      </c>
      <c r="F789" t="s">
        <v>4621</v>
      </c>
      <c r="G789" s="1">
        <v>45964</v>
      </c>
      <c r="H789" s="1"/>
      <c r="I789" t="s">
        <v>3493</v>
      </c>
      <c r="J789" t="s">
        <v>29</v>
      </c>
      <c r="M789" s="74"/>
      <c r="N789" s="1"/>
    </row>
    <row r="790" spans="1:14" x14ac:dyDescent="0.25">
      <c r="A790" s="8" t="s">
        <v>4622</v>
      </c>
      <c r="C790" t="s">
        <v>325</v>
      </c>
      <c r="D790" t="s">
        <v>253</v>
      </c>
      <c r="E790" t="s">
        <v>254</v>
      </c>
      <c r="F790" t="s">
        <v>4623</v>
      </c>
      <c r="G790" s="1">
        <v>45964</v>
      </c>
      <c r="H790" s="1"/>
      <c r="I790" t="s">
        <v>3493</v>
      </c>
      <c r="J790" t="s">
        <v>29</v>
      </c>
      <c r="K790" t="s">
        <v>29</v>
      </c>
      <c r="M790" s="74"/>
      <c r="N790" s="1"/>
    </row>
    <row r="791" spans="1:14" x14ac:dyDescent="0.25">
      <c r="A791" s="8" t="s">
        <v>4624</v>
      </c>
      <c r="C791" t="s">
        <v>325</v>
      </c>
      <c r="D791" t="s">
        <v>253</v>
      </c>
      <c r="E791" t="s">
        <v>4035</v>
      </c>
      <c r="F791" t="s">
        <v>4625</v>
      </c>
      <c r="G791" s="1">
        <v>45966</v>
      </c>
      <c r="H791" s="1"/>
      <c r="I791" t="s">
        <v>2952</v>
      </c>
      <c r="J791" t="s">
        <v>29</v>
      </c>
      <c r="M791" s="74"/>
      <c r="N791" s="1"/>
    </row>
    <row r="792" spans="1:14" x14ac:dyDescent="0.25">
      <c r="A792" s="8" t="s">
        <v>4626</v>
      </c>
      <c r="C792" t="s">
        <v>167</v>
      </c>
      <c r="D792" t="s">
        <v>411</v>
      </c>
      <c r="E792" t="s">
        <v>1764</v>
      </c>
      <c r="F792" t="s">
        <v>4627</v>
      </c>
      <c r="G792" s="1">
        <v>45964</v>
      </c>
      <c r="H792" s="1"/>
      <c r="I792" t="s">
        <v>1737</v>
      </c>
      <c r="J792" t="s">
        <v>29</v>
      </c>
      <c r="K792" t="s">
        <v>29</v>
      </c>
      <c r="M792" s="74">
        <v>100</v>
      </c>
      <c r="N792" s="1">
        <v>45974</v>
      </c>
    </row>
    <row r="793" spans="1:14" x14ac:dyDescent="0.25">
      <c r="A793" s="8" t="s">
        <v>4628</v>
      </c>
      <c r="C793" t="s">
        <v>135</v>
      </c>
      <c r="D793" t="s">
        <v>1136</v>
      </c>
      <c r="E793" t="s">
        <v>244</v>
      </c>
      <c r="F793" t="s">
        <v>4629</v>
      </c>
      <c r="G793" s="1">
        <v>45967</v>
      </c>
      <c r="H793" s="1"/>
      <c r="I793" t="s">
        <v>3493</v>
      </c>
      <c r="J793" t="s">
        <v>29</v>
      </c>
      <c r="K793" t="s">
        <v>29</v>
      </c>
      <c r="M793" s="74"/>
      <c r="N793" s="1"/>
    </row>
    <row r="794" spans="1:14" x14ac:dyDescent="0.25">
      <c r="A794" s="8" t="s">
        <v>4630</v>
      </c>
      <c r="C794" t="s">
        <v>13</v>
      </c>
      <c r="D794" t="s">
        <v>411</v>
      </c>
      <c r="E794" t="s">
        <v>412</v>
      </c>
      <c r="F794" t="s">
        <v>4631</v>
      </c>
      <c r="G794" s="1">
        <v>45968</v>
      </c>
      <c r="H794" s="1"/>
      <c r="I794" t="s">
        <v>3493</v>
      </c>
      <c r="J794" t="s">
        <v>29</v>
      </c>
      <c r="K794" t="s">
        <v>29</v>
      </c>
      <c r="M794" s="74"/>
      <c r="N794" s="1"/>
    </row>
    <row r="795" spans="1:14" x14ac:dyDescent="0.25">
      <c r="A795" s="8" t="s">
        <v>4632</v>
      </c>
      <c r="C795" t="s">
        <v>4633</v>
      </c>
      <c r="D795" t="s">
        <v>25</v>
      </c>
      <c r="E795" t="s">
        <v>4634</v>
      </c>
      <c r="F795" t="s">
        <v>4635</v>
      </c>
      <c r="G795" s="1">
        <v>45968</v>
      </c>
      <c r="H795" s="1"/>
      <c r="I795" t="s">
        <v>3493</v>
      </c>
      <c r="J795" t="s">
        <v>29</v>
      </c>
      <c r="K795" t="s">
        <v>29</v>
      </c>
      <c r="M795" s="74"/>
      <c r="N795" s="1"/>
    </row>
    <row r="796" spans="1:14" x14ac:dyDescent="0.25">
      <c r="A796" s="8" t="s">
        <v>4636</v>
      </c>
      <c r="C796" t="s">
        <v>4633</v>
      </c>
      <c r="D796" t="s">
        <v>25</v>
      </c>
      <c r="E796" t="s">
        <v>4634</v>
      </c>
      <c r="F796" t="s">
        <v>4637</v>
      </c>
      <c r="G796" s="1">
        <v>45975</v>
      </c>
      <c r="H796" s="1"/>
      <c r="I796" t="s">
        <v>3493</v>
      </c>
      <c r="J796" t="s">
        <v>29</v>
      </c>
      <c r="M796" s="74"/>
      <c r="N796" s="1"/>
    </row>
    <row r="797" spans="1:14" x14ac:dyDescent="0.25">
      <c r="A797" s="8" t="s">
        <v>4638</v>
      </c>
      <c r="C797" t="s">
        <v>220</v>
      </c>
      <c r="D797" t="s">
        <v>2535</v>
      </c>
      <c r="E797" t="s">
        <v>4304</v>
      </c>
      <c r="F797" t="s">
        <v>1666</v>
      </c>
      <c r="G797" s="1">
        <v>45971</v>
      </c>
      <c r="H797" s="1"/>
      <c r="I797" t="s">
        <v>3675</v>
      </c>
      <c r="J797" t="s">
        <v>29</v>
      </c>
      <c r="K797" t="s">
        <v>29</v>
      </c>
      <c r="M797" s="74" t="s">
        <v>4639</v>
      </c>
      <c r="N797" s="1"/>
    </row>
    <row r="798" spans="1:14" x14ac:dyDescent="0.25">
      <c r="A798" s="8" t="s">
        <v>4640</v>
      </c>
      <c r="C798" t="s">
        <v>474</v>
      </c>
      <c r="D798" t="s">
        <v>4641</v>
      </c>
      <c r="E798" t="s">
        <v>4642</v>
      </c>
      <c r="F798" t="s">
        <v>4643</v>
      </c>
      <c r="G798" s="1">
        <v>45962</v>
      </c>
      <c r="H798" s="1"/>
      <c r="I798" t="s">
        <v>2952</v>
      </c>
      <c r="J798" t="s">
        <v>29</v>
      </c>
      <c r="K798" t="s">
        <v>29</v>
      </c>
      <c r="L798" t="s">
        <v>4644</v>
      </c>
      <c r="M798" s="90">
        <v>0.3</v>
      </c>
      <c r="N798" s="1">
        <v>45973</v>
      </c>
    </row>
    <row r="799" spans="1:14" x14ac:dyDescent="0.25">
      <c r="A799" s="8" t="s">
        <v>4645</v>
      </c>
      <c r="C799" t="s">
        <v>13</v>
      </c>
      <c r="D799" t="s">
        <v>47</v>
      </c>
      <c r="E799" t="s">
        <v>48</v>
      </c>
      <c r="F799" t="s">
        <v>4646</v>
      </c>
      <c r="G799" s="1">
        <v>45968</v>
      </c>
      <c r="H799" s="1"/>
      <c r="I799" t="s">
        <v>2952</v>
      </c>
      <c r="J799" t="s">
        <v>29</v>
      </c>
      <c r="K799" t="s">
        <v>29</v>
      </c>
      <c r="L799" t="s">
        <v>4647</v>
      </c>
      <c r="M799" s="74"/>
      <c r="N799" s="1"/>
    </row>
    <row r="800" spans="1:14" x14ac:dyDescent="0.25">
      <c r="A800" s="8" t="s">
        <v>4648</v>
      </c>
      <c r="C800" t="s">
        <v>13</v>
      </c>
      <c r="D800" t="s">
        <v>2535</v>
      </c>
      <c r="E800" t="s">
        <v>4304</v>
      </c>
      <c r="F800" t="s">
        <v>4649</v>
      </c>
      <c r="G800" s="1">
        <v>45972</v>
      </c>
      <c r="H800" s="1"/>
      <c r="I800" t="s">
        <v>3493</v>
      </c>
      <c r="J800" t="s">
        <v>29</v>
      </c>
      <c r="M800" s="74"/>
      <c r="N800" s="1"/>
    </row>
    <row r="801" spans="1:14" x14ac:dyDescent="0.25">
      <c r="A801" s="8" t="s">
        <v>4650</v>
      </c>
      <c r="C801" t="s">
        <v>4610</v>
      </c>
      <c r="D801" t="s">
        <v>4651</v>
      </c>
      <c r="E801" t="s">
        <v>1017</v>
      </c>
      <c r="F801" t="s">
        <v>4652</v>
      </c>
      <c r="G801" s="1">
        <v>45973</v>
      </c>
      <c r="H801" s="1"/>
      <c r="I801" t="s">
        <v>2952</v>
      </c>
      <c r="J801" t="s">
        <v>29</v>
      </c>
      <c r="K801" t="s">
        <v>29</v>
      </c>
      <c r="L801" t="s">
        <v>1647</v>
      </c>
      <c r="M801" s="74"/>
      <c r="N801" s="1"/>
    </row>
    <row r="802" spans="1:14" x14ac:dyDescent="0.25">
      <c r="A802" s="8" t="s">
        <v>4653</v>
      </c>
      <c r="C802" t="s">
        <v>3774</v>
      </c>
      <c r="D802" t="s">
        <v>253</v>
      </c>
      <c r="F802" t="s">
        <v>4654</v>
      </c>
      <c r="G802" s="1">
        <v>45931</v>
      </c>
      <c r="H802" s="1"/>
      <c r="I802" t="s">
        <v>2952</v>
      </c>
      <c r="J802" t="s">
        <v>29</v>
      </c>
      <c r="M802" s="74"/>
      <c r="N802" s="1"/>
    </row>
    <row r="803" spans="1:14" x14ac:dyDescent="0.25">
      <c r="A803" s="8" t="s">
        <v>4655</v>
      </c>
      <c r="C803" t="s">
        <v>13</v>
      </c>
      <c r="D803" t="s">
        <v>247</v>
      </c>
      <c r="E803" t="s">
        <v>248</v>
      </c>
      <c r="F803" t="s">
        <v>4656</v>
      </c>
      <c r="G803" s="1">
        <v>45975</v>
      </c>
      <c r="H803" s="1"/>
      <c r="I803" t="s">
        <v>3493</v>
      </c>
      <c r="J803" t="s">
        <v>29</v>
      </c>
      <c r="M803" s="74"/>
      <c r="N803" s="1"/>
    </row>
  </sheetData>
  <phoneticPr fontId="3" type="noConversion"/>
  <conditionalFormatting sqref="A1:A2010">
    <cfRule type="duplicateValues" dxfId="17" priority="74"/>
  </conditionalFormatting>
  <dataValidations count="2">
    <dataValidation type="list" allowBlank="1" showInputMessage="1" showErrorMessage="1" sqref="I281:I283 I4:I271" xr:uid="{BFAD53B9-E04D-4E4A-B665-BF0E7EFD1AEB}">
      <formula1>"Open, Shipped, Billed, Closed"</formula1>
    </dataValidation>
    <dataValidation type="list" allowBlank="1" showInputMessage="1" showErrorMessage="1" sqref="K339:K340 J273:J340 K273:K337 J4:K271" xr:uid="{3EFD1635-C24C-454C-9B64-C36886C47059}">
      <formula1>"Yes, No"</formula1>
    </dataValidation>
  </dataValidations>
  <pageMargins left="0.7" right="0.7" top="0.75" bottom="0.75" header="0.3" footer="0.3"/>
  <pageSetup paperSize="5" scale="49" fitToHeight="0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3FA5-7E1A-4253-8C7B-5FE0B0225F92}">
  <sheetPr codeName="Sheet4"/>
  <dimension ref="A1:O1310"/>
  <sheetViews>
    <sheetView topLeftCell="A1258" zoomScale="70" zoomScaleNormal="70" workbookViewId="0">
      <selection activeCell="K1294" sqref="K1294"/>
    </sheetView>
  </sheetViews>
  <sheetFormatPr defaultRowHeight="15" x14ac:dyDescent="0.25"/>
  <cols>
    <col min="1" max="1" width="13.28515625" customWidth="1"/>
    <col min="2" max="2" width="12.7109375" customWidth="1"/>
    <col min="3" max="3" width="31.5703125" customWidth="1"/>
    <col min="4" max="4" width="21" bestFit="1" customWidth="1"/>
    <col min="5" max="5" width="43.42578125" customWidth="1"/>
    <col min="6" max="6" width="24" customWidth="1"/>
    <col min="7" max="7" width="11.85546875" customWidth="1"/>
    <col min="8" max="8" width="11.28515625" customWidth="1"/>
    <col min="9" max="9" width="12" customWidth="1"/>
    <col min="10" max="10" width="11.42578125" customWidth="1"/>
    <col min="11" max="11" width="11.28515625" customWidth="1"/>
    <col min="12" max="12" width="29.28515625" customWidth="1"/>
    <col min="13" max="13" width="11.42578125" bestFit="1" customWidth="1"/>
    <col min="14" max="14" width="16.5703125" style="1" customWidth="1"/>
    <col min="15" max="15" width="47.140625" style="30" bestFit="1" customWidth="1"/>
  </cols>
  <sheetData>
    <row r="1" spans="1:15" x14ac:dyDescent="0.25">
      <c r="A1" t="s">
        <v>4657</v>
      </c>
      <c r="B1" t="s">
        <v>1</v>
      </c>
      <c r="C1" t="s">
        <v>2</v>
      </c>
      <c r="D1" t="s">
        <v>3</v>
      </c>
      <c r="E1" t="s">
        <v>4</v>
      </c>
      <c r="F1" t="s">
        <v>4658</v>
      </c>
      <c r="G1" t="s">
        <v>5</v>
      </c>
      <c r="H1" t="s">
        <v>6</v>
      </c>
      <c r="I1" t="s">
        <v>2743</v>
      </c>
      <c r="J1" t="s">
        <v>2744</v>
      </c>
      <c r="K1" t="s">
        <v>9</v>
      </c>
      <c r="L1" t="s">
        <v>2745</v>
      </c>
      <c r="M1" t="s">
        <v>2746</v>
      </c>
      <c r="N1" s="1" t="s">
        <v>4659</v>
      </c>
      <c r="O1" s="30" t="s">
        <v>1809</v>
      </c>
    </row>
    <row r="2" spans="1:15" x14ac:dyDescent="0.25">
      <c r="A2" t="s">
        <v>4660</v>
      </c>
      <c r="B2" t="s">
        <v>474</v>
      </c>
      <c r="C2" t="s">
        <v>4661</v>
      </c>
      <c r="E2" t="s">
        <v>4662</v>
      </c>
      <c r="G2" s="1">
        <v>44585</v>
      </c>
      <c r="H2" s="1"/>
      <c r="O2" s="12"/>
    </row>
    <row r="3" spans="1:15" x14ac:dyDescent="0.25">
      <c r="A3" t="s">
        <v>4663</v>
      </c>
      <c r="B3" t="s">
        <v>704</v>
      </c>
      <c r="C3" t="s">
        <v>4661</v>
      </c>
      <c r="E3" t="s">
        <v>4664</v>
      </c>
      <c r="G3" s="1">
        <v>44627</v>
      </c>
      <c r="H3" s="1"/>
      <c r="I3" t="s">
        <v>1737</v>
      </c>
      <c r="J3" t="s">
        <v>29</v>
      </c>
      <c r="M3">
        <v>100</v>
      </c>
      <c r="N3" s="1">
        <v>44887</v>
      </c>
      <c r="O3" s="12"/>
    </row>
    <row r="4" spans="1:15" x14ac:dyDescent="0.25">
      <c r="A4" t="s">
        <v>4665</v>
      </c>
      <c r="B4" t="s">
        <v>704</v>
      </c>
      <c r="C4" t="s">
        <v>4661</v>
      </c>
      <c r="E4" t="s">
        <v>4666</v>
      </c>
      <c r="G4" s="1">
        <v>44657</v>
      </c>
      <c r="H4" s="1"/>
      <c r="I4" t="s">
        <v>1737</v>
      </c>
      <c r="O4" s="12"/>
    </row>
    <row r="5" spans="1:15" x14ac:dyDescent="0.25">
      <c r="A5" t="s">
        <v>4667</v>
      </c>
      <c r="B5" t="s">
        <v>704</v>
      </c>
      <c r="C5" t="s">
        <v>163</v>
      </c>
      <c r="E5" t="s">
        <v>4668</v>
      </c>
      <c r="G5" s="1">
        <v>44658</v>
      </c>
      <c r="H5" s="1"/>
      <c r="I5" t="s">
        <v>1737</v>
      </c>
      <c r="J5" t="s">
        <v>29</v>
      </c>
      <c r="L5" t="s">
        <v>4669</v>
      </c>
      <c r="M5">
        <v>100</v>
      </c>
      <c r="N5" s="1">
        <v>44852</v>
      </c>
      <c r="O5" s="12"/>
    </row>
    <row r="6" spans="1:15" x14ac:dyDescent="0.25">
      <c r="A6" t="s">
        <v>4670</v>
      </c>
      <c r="B6" t="s">
        <v>704</v>
      </c>
      <c r="C6" t="s">
        <v>4671</v>
      </c>
      <c r="E6" t="s">
        <v>4672</v>
      </c>
      <c r="G6" s="1">
        <v>44658</v>
      </c>
      <c r="H6" s="1"/>
      <c r="I6" t="s">
        <v>1737</v>
      </c>
      <c r="L6" t="s">
        <v>4673</v>
      </c>
      <c r="O6" s="12"/>
    </row>
    <row r="7" spans="1:15" x14ac:dyDescent="0.25">
      <c r="A7" t="s">
        <v>4674</v>
      </c>
      <c r="B7" t="s">
        <v>714</v>
      </c>
      <c r="C7" t="s">
        <v>2352</v>
      </c>
      <c r="E7" t="s">
        <v>4675</v>
      </c>
      <c r="G7" s="1">
        <v>44659</v>
      </c>
      <c r="H7" s="1"/>
      <c r="J7" t="s">
        <v>29</v>
      </c>
      <c r="M7">
        <v>100</v>
      </c>
      <c r="N7" s="1">
        <v>44873</v>
      </c>
      <c r="O7" s="12"/>
    </row>
    <row r="8" spans="1:15" x14ac:dyDescent="0.25">
      <c r="A8" t="s">
        <v>4676</v>
      </c>
      <c r="B8" t="s">
        <v>704</v>
      </c>
      <c r="C8" t="s">
        <v>677</v>
      </c>
      <c r="E8" t="s">
        <v>1380</v>
      </c>
      <c r="G8" s="1">
        <v>44662</v>
      </c>
      <c r="H8" s="1"/>
      <c r="I8" t="s">
        <v>1737</v>
      </c>
      <c r="O8" s="12"/>
    </row>
    <row r="9" spans="1:15" x14ac:dyDescent="0.25">
      <c r="A9" t="s">
        <v>4677</v>
      </c>
      <c r="B9" t="s">
        <v>704</v>
      </c>
      <c r="C9" t="s">
        <v>670</v>
      </c>
      <c r="E9" t="s">
        <v>4678</v>
      </c>
      <c r="G9" s="1">
        <v>44663</v>
      </c>
      <c r="H9" s="1"/>
      <c r="I9" t="s">
        <v>1737</v>
      </c>
      <c r="L9">
        <v>204574</v>
      </c>
      <c r="O9" s="12"/>
    </row>
    <row r="10" spans="1:15" x14ac:dyDescent="0.25">
      <c r="A10" t="s">
        <v>4679</v>
      </c>
      <c r="B10" t="s">
        <v>24</v>
      </c>
      <c r="C10" t="s">
        <v>25</v>
      </c>
      <c r="E10" t="s">
        <v>4680</v>
      </c>
      <c r="G10" s="1">
        <v>44664</v>
      </c>
      <c r="H10" s="1"/>
      <c r="M10">
        <v>100</v>
      </c>
      <c r="N10" s="1">
        <v>44771</v>
      </c>
      <c r="O10" s="12"/>
    </row>
    <row r="11" spans="1:15" x14ac:dyDescent="0.25">
      <c r="A11" t="s">
        <v>4681</v>
      </c>
      <c r="B11" t="s">
        <v>704</v>
      </c>
      <c r="C11" t="s">
        <v>670</v>
      </c>
      <c r="E11" t="s">
        <v>4682</v>
      </c>
      <c r="G11" s="1">
        <v>44664</v>
      </c>
      <c r="H11" s="1"/>
      <c r="I11" t="s">
        <v>1737</v>
      </c>
      <c r="L11">
        <v>204629</v>
      </c>
      <c r="O11" s="12"/>
    </row>
    <row r="12" spans="1:15" x14ac:dyDescent="0.25">
      <c r="A12" t="s">
        <v>4683</v>
      </c>
      <c r="B12" t="s">
        <v>704</v>
      </c>
      <c r="C12" t="s">
        <v>4684</v>
      </c>
      <c r="E12" t="s">
        <v>4685</v>
      </c>
      <c r="G12" s="1">
        <v>44693</v>
      </c>
      <c r="H12" s="1"/>
      <c r="I12" t="s">
        <v>1737</v>
      </c>
      <c r="L12" t="s">
        <v>2469</v>
      </c>
      <c r="O12" s="12"/>
    </row>
    <row r="13" spans="1:15" x14ac:dyDescent="0.25">
      <c r="A13" t="s">
        <v>4686</v>
      </c>
      <c r="B13" t="s">
        <v>2911</v>
      </c>
      <c r="C13" t="s">
        <v>1908</v>
      </c>
      <c r="E13" t="s">
        <v>4687</v>
      </c>
      <c r="G13" s="1">
        <v>44665</v>
      </c>
      <c r="H13" s="1"/>
      <c r="L13">
        <v>3002128449</v>
      </c>
      <c r="O13" s="12"/>
    </row>
    <row r="14" spans="1:15" x14ac:dyDescent="0.25">
      <c r="A14" t="s">
        <v>4688</v>
      </c>
      <c r="B14" t="s">
        <v>2785</v>
      </c>
      <c r="C14" t="s">
        <v>4661</v>
      </c>
      <c r="E14" t="s">
        <v>4689</v>
      </c>
      <c r="G14" s="1">
        <v>44666</v>
      </c>
      <c r="H14" s="1"/>
      <c r="L14" t="s">
        <v>4690</v>
      </c>
      <c r="O14" s="12"/>
    </row>
    <row r="15" spans="1:15" x14ac:dyDescent="0.25">
      <c r="A15" t="s">
        <v>4691</v>
      </c>
      <c r="B15" t="s">
        <v>704</v>
      </c>
      <c r="C15" t="s">
        <v>163</v>
      </c>
      <c r="E15" t="s">
        <v>4692</v>
      </c>
      <c r="G15" s="1">
        <v>44669</v>
      </c>
      <c r="H15" s="1"/>
      <c r="I15" t="s">
        <v>1737</v>
      </c>
      <c r="L15">
        <v>4505446099</v>
      </c>
      <c r="O15" s="12"/>
    </row>
    <row r="16" spans="1:15" x14ac:dyDescent="0.25">
      <c r="A16" t="s">
        <v>4693</v>
      </c>
      <c r="B16" t="s">
        <v>704</v>
      </c>
      <c r="C16" t="s">
        <v>670</v>
      </c>
      <c r="E16" t="s">
        <v>4694</v>
      </c>
      <c r="G16" s="1">
        <v>44670</v>
      </c>
      <c r="H16" s="1"/>
      <c r="I16" t="s">
        <v>1737</v>
      </c>
      <c r="L16">
        <v>204788</v>
      </c>
      <c r="O16" s="12"/>
    </row>
    <row r="17" spans="1:15" x14ac:dyDescent="0.25">
      <c r="A17" t="s">
        <v>4695</v>
      </c>
      <c r="B17" t="s">
        <v>433</v>
      </c>
      <c r="C17" t="s">
        <v>2662</v>
      </c>
      <c r="E17" t="s">
        <v>4696</v>
      </c>
      <c r="G17" s="1">
        <v>44670</v>
      </c>
      <c r="H17" s="1"/>
      <c r="O17" s="12"/>
    </row>
    <row r="18" spans="1:15" x14ac:dyDescent="0.25">
      <c r="A18" t="s">
        <v>4697</v>
      </c>
      <c r="B18" t="s">
        <v>704</v>
      </c>
      <c r="C18" t="s">
        <v>4698</v>
      </c>
      <c r="E18" t="s">
        <v>4699</v>
      </c>
      <c r="G18" s="1">
        <v>44672</v>
      </c>
      <c r="H18" s="1"/>
      <c r="I18" t="s">
        <v>1737</v>
      </c>
      <c r="L18">
        <v>332519</v>
      </c>
      <c r="O18" s="12"/>
    </row>
    <row r="19" spans="1:15" x14ac:dyDescent="0.25">
      <c r="A19" t="s">
        <v>4700</v>
      </c>
      <c r="B19" t="s">
        <v>704</v>
      </c>
      <c r="C19" t="s">
        <v>253</v>
      </c>
      <c r="E19" t="s">
        <v>705</v>
      </c>
      <c r="G19" s="1">
        <v>44672</v>
      </c>
      <c r="H19" s="1"/>
      <c r="I19" t="s">
        <v>1737</v>
      </c>
      <c r="L19" t="s">
        <v>4701</v>
      </c>
      <c r="O19" s="12"/>
    </row>
    <row r="20" spans="1:15" x14ac:dyDescent="0.25">
      <c r="A20" t="s">
        <v>4702</v>
      </c>
      <c r="B20" t="s">
        <v>704</v>
      </c>
      <c r="C20" t="s">
        <v>4698</v>
      </c>
      <c r="E20" t="s">
        <v>4699</v>
      </c>
      <c r="G20" s="1">
        <v>44672</v>
      </c>
      <c r="H20" s="1"/>
      <c r="I20" t="s">
        <v>1737</v>
      </c>
      <c r="L20">
        <v>332534</v>
      </c>
      <c r="O20" s="12"/>
    </row>
    <row r="21" spans="1:15" x14ac:dyDescent="0.25">
      <c r="A21" t="s">
        <v>4703</v>
      </c>
      <c r="B21" t="s">
        <v>704</v>
      </c>
      <c r="C21" t="s">
        <v>578</v>
      </c>
      <c r="E21" t="s">
        <v>4704</v>
      </c>
      <c r="G21" s="1">
        <v>44678</v>
      </c>
      <c r="H21" s="1"/>
      <c r="I21" t="s">
        <v>1737</v>
      </c>
      <c r="J21" t="s">
        <v>29</v>
      </c>
      <c r="M21">
        <v>100</v>
      </c>
      <c r="N21" s="1">
        <v>44925</v>
      </c>
      <c r="O21" s="12"/>
    </row>
    <row r="22" spans="1:15" x14ac:dyDescent="0.25">
      <c r="A22" t="s">
        <v>4705</v>
      </c>
      <c r="B22" t="s">
        <v>704</v>
      </c>
      <c r="C22" t="s">
        <v>25</v>
      </c>
      <c r="E22" t="s">
        <v>4706</v>
      </c>
      <c r="G22" s="1">
        <v>44678</v>
      </c>
      <c r="H22" s="1"/>
      <c r="I22" t="s">
        <v>1737</v>
      </c>
      <c r="L22" t="s">
        <v>4707</v>
      </c>
      <c r="O22" s="12"/>
    </row>
    <row r="23" spans="1:15" x14ac:dyDescent="0.25">
      <c r="A23" t="s">
        <v>4708</v>
      </c>
      <c r="B23" t="s">
        <v>704</v>
      </c>
      <c r="C23" t="s">
        <v>4709</v>
      </c>
      <c r="E23" t="s">
        <v>4710</v>
      </c>
      <c r="G23" s="1">
        <v>44680</v>
      </c>
      <c r="H23" s="1"/>
      <c r="I23" t="s">
        <v>1737</v>
      </c>
      <c r="O23" s="12"/>
    </row>
    <row r="24" spans="1:15" x14ac:dyDescent="0.25">
      <c r="A24" t="s">
        <v>4711</v>
      </c>
      <c r="B24" t="s">
        <v>433</v>
      </c>
      <c r="C24" t="s">
        <v>2662</v>
      </c>
      <c r="E24" t="s">
        <v>4712</v>
      </c>
      <c r="G24" s="1">
        <v>44683</v>
      </c>
      <c r="H24" s="1"/>
      <c r="O24" s="12"/>
    </row>
    <row r="25" spans="1:15" x14ac:dyDescent="0.25">
      <c r="A25" t="s">
        <v>4713</v>
      </c>
      <c r="B25" t="s">
        <v>714</v>
      </c>
      <c r="C25" t="s">
        <v>2352</v>
      </c>
      <c r="G25" s="1">
        <v>44683</v>
      </c>
      <c r="H25" s="1"/>
      <c r="I25" t="s">
        <v>1737</v>
      </c>
      <c r="J25" t="s">
        <v>29</v>
      </c>
      <c r="M25">
        <v>100</v>
      </c>
      <c r="N25" s="1">
        <v>44873</v>
      </c>
      <c r="O25" s="12"/>
    </row>
    <row r="26" spans="1:15" x14ac:dyDescent="0.25">
      <c r="A26" t="s">
        <v>4714</v>
      </c>
      <c r="B26" t="s">
        <v>704</v>
      </c>
      <c r="C26" t="s">
        <v>677</v>
      </c>
      <c r="E26" t="s">
        <v>4715</v>
      </c>
      <c r="G26" s="1">
        <v>44685</v>
      </c>
      <c r="H26" s="1"/>
      <c r="I26" t="s">
        <v>1737</v>
      </c>
      <c r="L26" t="s">
        <v>4716</v>
      </c>
      <c r="O26" s="12"/>
    </row>
    <row r="27" spans="1:15" x14ac:dyDescent="0.25">
      <c r="A27" t="s">
        <v>4717</v>
      </c>
      <c r="B27" t="s">
        <v>704</v>
      </c>
      <c r="C27" t="s">
        <v>677</v>
      </c>
      <c r="E27" t="s">
        <v>4718</v>
      </c>
      <c r="G27" s="1">
        <v>44685</v>
      </c>
      <c r="H27" s="1"/>
      <c r="I27" t="s">
        <v>1737</v>
      </c>
      <c r="L27" t="s">
        <v>4719</v>
      </c>
      <c r="O27" s="12"/>
    </row>
    <row r="28" spans="1:15" x14ac:dyDescent="0.25">
      <c r="A28" t="s">
        <v>4720</v>
      </c>
      <c r="B28" t="s">
        <v>704</v>
      </c>
      <c r="C28" t="s">
        <v>25</v>
      </c>
      <c r="E28" t="s">
        <v>4721</v>
      </c>
      <c r="G28" s="1">
        <v>44686</v>
      </c>
      <c r="H28" s="1"/>
      <c r="I28" t="s">
        <v>1737</v>
      </c>
      <c r="L28" t="s">
        <v>4722</v>
      </c>
      <c r="O28" s="12"/>
    </row>
    <row r="29" spans="1:15" x14ac:dyDescent="0.25">
      <c r="A29" t="s">
        <v>4723</v>
      </c>
      <c r="B29" t="s">
        <v>704</v>
      </c>
      <c r="C29" t="s">
        <v>670</v>
      </c>
      <c r="E29" t="s">
        <v>4724</v>
      </c>
      <c r="G29" s="1">
        <v>44687</v>
      </c>
      <c r="H29" s="1"/>
      <c r="I29" t="s">
        <v>1737</v>
      </c>
      <c r="L29">
        <v>205541</v>
      </c>
      <c r="O29" s="12"/>
    </row>
    <row r="30" spans="1:15" x14ac:dyDescent="0.25">
      <c r="A30" t="s">
        <v>4725</v>
      </c>
      <c r="B30" t="s">
        <v>704</v>
      </c>
      <c r="C30" t="s">
        <v>163</v>
      </c>
      <c r="E30" t="s">
        <v>4726</v>
      </c>
      <c r="G30" s="1">
        <v>44687</v>
      </c>
      <c r="H30" s="1"/>
      <c r="I30" t="s">
        <v>1737</v>
      </c>
      <c r="L30">
        <v>4505467239</v>
      </c>
      <c r="O30" s="12"/>
    </row>
    <row r="31" spans="1:15" x14ac:dyDescent="0.25">
      <c r="A31" t="s">
        <v>4727</v>
      </c>
      <c r="B31" t="s">
        <v>4728</v>
      </c>
      <c r="C31" t="s">
        <v>1908</v>
      </c>
      <c r="E31" t="s">
        <v>4729</v>
      </c>
      <c r="G31" s="1">
        <v>44691</v>
      </c>
      <c r="H31" s="1"/>
      <c r="O31" s="12"/>
    </row>
    <row r="32" spans="1:15" x14ac:dyDescent="0.25">
      <c r="A32" t="s">
        <v>4730</v>
      </c>
      <c r="B32" t="s">
        <v>704</v>
      </c>
      <c r="C32" t="s">
        <v>670</v>
      </c>
      <c r="E32" t="s">
        <v>4731</v>
      </c>
      <c r="G32" s="1">
        <v>44692</v>
      </c>
      <c r="H32" s="1"/>
      <c r="I32" t="s">
        <v>1737</v>
      </c>
      <c r="J32" t="s">
        <v>29</v>
      </c>
      <c r="L32">
        <v>205751</v>
      </c>
      <c r="M32">
        <v>100</v>
      </c>
      <c r="N32" s="1">
        <v>44907</v>
      </c>
      <c r="O32" s="12" t="s">
        <v>4732</v>
      </c>
    </row>
    <row r="33" spans="1:15" x14ac:dyDescent="0.25">
      <c r="A33" t="s">
        <v>4733</v>
      </c>
      <c r="B33" t="s">
        <v>704</v>
      </c>
      <c r="C33" t="s">
        <v>243</v>
      </c>
      <c r="E33" t="s">
        <v>4734</v>
      </c>
      <c r="G33" s="1">
        <v>44692</v>
      </c>
      <c r="H33" s="1"/>
      <c r="I33" t="s">
        <v>1737</v>
      </c>
      <c r="L33" t="s">
        <v>4735</v>
      </c>
      <c r="O33" s="12"/>
    </row>
    <row r="34" spans="1:15" x14ac:dyDescent="0.25">
      <c r="A34" t="s">
        <v>4736</v>
      </c>
      <c r="B34" t="s">
        <v>704</v>
      </c>
      <c r="C34" t="s">
        <v>4737</v>
      </c>
      <c r="E34" t="s">
        <v>4738</v>
      </c>
      <c r="G34" s="1">
        <v>44693</v>
      </c>
      <c r="H34" s="1"/>
      <c r="I34" t="s">
        <v>1737</v>
      </c>
      <c r="L34">
        <v>20222489</v>
      </c>
      <c r="O34" s="12"/>
    </row>
    <row r="35" spans="1:15" x14ac:dyDescent="0.25">
      <c r="A35" t="s">
        <v>4739</v>
      </c>
      <c r="B35" t="s">
        <v>13</v>
      </c>
      <c r="C35" t="s">
        <v>2840</v>
      </c>
      <c r="E35" t="s">
        <v>4740</v>
      </c>
      <c r="G35" s="1">
        <v>44693</v>
      </c>
      <c r="H35" s="1"/>
      <c r="J35" t="s">
        <v>29</v>
      </c>
      <c r="L35" t="s">
        <v>4741</v>
      </c>
      <c r="M35" s="7">
        <v>1</v>
      </c>
      <c r="N35" s="1">
        <v>44875</v>
      </c>
      <c r="O35" s="12"/>
    </row>
    <row r="36" spans="1:15" x14ac:dyDescent="0.25">
      <c r="A36" s="22" t="s">
        <v>4742</v>
      </c>
      <c r="B36" t="s">
        <v>704</v>
      </c>
      <c r="C36" t="s">
        <v>4684</v>
      </c>
      <c r="E36" t="s">
        <v>4743</v>
      </c>
      <c r="G36" s="1">
        <v>44693</v>
      </c>
      <c r="H36" s="1"/>
      <c r="I36" t="s">
        <v>1737</v>
      </c>
      <c r="O36" s="12"/>
    </row>
    <row r="37" spans="1:15" x14ac:dyDescent="0.25">
      <c r="A37" t="s">
        <v>4744</v>
      </c>
      <c r="B37" t="s">
        <v>13</v>
      </c>
      <c r="C37" t="s">
        <v>4745</v>
      </c>
      <c r="E37" t="s">
        <v>4746</v>
      </c>
      <c r="G37" s="1">
        <v>44693</v>
      </c>
      <c r="H37" s="1"/>
      <c r="O37" s="12"/>
    </row>
    <row r="38" spans="1:15" x14ac:dyDescent="0.25">
      <c r="A38" t="s">
        <v>4747</v>
      </c>
      <c r="B38" t="s">
        <v>220</v>
      </c>
      <c r="C38" t="s">
        <v>1922</v>
      </c>
      <c r="E38" t="s">
        <v>4748</v>
      </c>
      <c r="G38" s="1">
        <v>44693</v>
      </c>
      <c r="H38" s="1"/>
      <c r="O38" s="12"/>
    </row>
    <row r="39" spans="1:15" x14ac:dyDescent="0.25">
      <c r="A39" t="s">
        <v>4749</v>
      </c>
      <c r="B39" t="s">
        <v>704</v>
      </c>
      <c r="C39" t="s">
        <v>4661</v>
      </c>
      <c r="E39" t="s">
        <v>4750</v>
      </c>
      <c r="G39" s="1">
        <v>44697</v>
      </c>
      <c r="H39" s="1"/>
      <c r="I39" t="s">
        <v>1737</v>
      </c>
      <c r="L39" t="s">
        <v>4751</v>
      </c>
      <c r="O39" s="12"/>
    </row>
    <row r="40" spans="1:15" x14ac:dyDescent="0.25">
      <c r="A40" t="s">
        <v>4752</v>
      </c>
      <c r="B40" t="s">
        <v>704</v>
      </c>
      <c r="C40" t="s">
        <v>4698</v>
      </c>
      <c r="E40" t="s">
        <v>4753</v>
      </c>
      <c r="G40" s="1">
        <v>44697</v>
      </c>
      <c r="H40" s="1"/>
      <c r="I40" t="s">
        <v>1737</v>
      </c>
      <c r="L40">
        <v>333766</v>
      </c>
      <c r="O40" s="12"/>
    </row>
    <row r="41" spans="1:15" x14ac:dyDescent="0.25">
      <c r="A41" t="s">
        <v>4754</v>
      </c>
      <c r="B41" t="s">
        <v>704</v>
      </c>
      <c r="C41" t="s">
        <v>25</v>
      </c>
      <c r="E41" t="s">
        <v>4755</v>
      </c>
      <c r="G41" s="1">
        <v>44698</v>
      </c>
      <c r="H41" s="1"/>
      <c r="I41" t="s">
        <v>1737</v>
      </c>
      <c r="L41" t="s">
        <v>4756</v>
      </c>
      <c r="O41" s="12"/>
    </row>
    <row r="42" spans="1:15" x14ac:dyDescent="0.25">
      <c r="A42" t="s">
        <v>4757</v>
      </c>
      <c r="B42" t="s">
        <v>374</v>
      </c>
      <c r="C42" t="s">
        <v>742</v>
      </c>
      <c r="E42" t="s">
        <v>4758</v>
      </c>
      <c r="G42" s="1">
        <v>44698</v>
      </c>
      <c r="H42" s="1"/>
      <c r="L42" t="s">
        <v>4759</v>
      </c>
      <c r="O42" s="12"/>
    </row>
    <row r="43" spans="1:15" x14ac:dyDescent="0.25">
      <c r="A43" t="s">
        <v>4760</v>
      </c>
      <c r="B43" t="s">
        <v>704</v>
      </c>
      <c r="C43" t="s">
        <v>677</v>
      </c>
      <c r="E43" t="s">
        <v>4761</v>
      </c>
      <c r="G43" s="1">
        <v>44698</v>
      </c>
      <c r="H43" s="1"/>
      <c r="I43" t="s">
        <v>1737</v>
      </c>
      <c r="L43" t="s">
        <v>4762</v>
      </c>
      <c r="O43" s="12"/>
    </row>
    <row r="44" spans="1:15" x14ac:dyDescent="0.25">
      <c r="A44" t="s">
        <v>4763</v>
      </c>
      <c r="B44" t="s">
        <v>704</v>
      </c>
      <c r="C44" t="s">
        <v>2352</v>
      </c>
      <c r="E44" t="s">
        <v>4764</v>
      </c>
      <c r="G44" s="1">
        <v>44700</v>
      </c>
      <c r="H44" s="1"/>
      <c r="I44" t="s">
        <v>1737</v>
      </c>
      <c r="L44">
        <v>13196963</v>
      </c>
      <c r="O44" s="12"/>
    </row>
    <row r="45" spans="1:15" x14ac:dyDescent="0.25">
      <c r="A45" t="s">
        <v>4765</v>
      </c>
      <c r="B45" t="s">
        <v>2780</v>
      </c>
      <c r="C45" t="s">
        <v>3408</v>
      </c>
      <c r="E45" t="s">
        <v>4766</v>
      </c>
      <c r="G45" s="1">
        <v>44701</v>
      </c>
      <c r="H45" s="1"/>
      <c r="L45">
        <v>12114</v>
      </c>
      <c r="M45">
        <v>100</v>
      </c>
      <c r="N45" s="1">
        <v>45036</v>
      </c>
      <c r="O45" s="12"/>
    </row>
    <row r="46" spans="1:15" x14ac:dyDescent="0.25">
      <c r="A46" t="s">
        <v>4767</v>
      </c>
      <c r="B46" t="s">
        <v>704</v>
      </c>
      <c r="C46" t="s">
        <v>4661</v>
      </c>
      <c r="E46" t="s">
        <v>1169</v>
      </c>
      <c r="G46" s="1">
        <v>44704</v>
      </c>
      <c r="H46" s="1"/>
      <c r="I46" t="s">
        <v>1737</v>
      </c>
      <c r="L46" t="s">
        <v>4768</v>
      </c>
      <c r="O46" s="12"/>
    </row>
    <row r="47" spans="1:15" x14ac:dyDescent="0.25">
      <c r="A47" t="s">
        <v>4769</v>
      </c>
      <c r="B47" t="s">
        <v>704</v>
      </c>
      <c r="C47" t="s">
        <v>677</v>
      </c>
      <c r="E47" t="s">
        <v>4770</v>
      </c>
      <c r="G47" s="1">
        <v>44704</v>
      </c>
      <c r="H47" s="1"/>
      <c r="I47" t="s">
        <v>1737</v>
      </c>
      <c r="L47" t="s">
        <v>4771</v>
      </c>
      <c r="O47" s="12"/>
    </row>
    <row r="48" spans="1:15" x14ac:dyDescent="0.25">
      <c r="A48" t="s">
        <v>4772</v>
      </c>
      <c r="B48" t="s">
        <v>704</v>
      </c>
      <c r="C48" t="s">
        <v>4661</v>
      </c>
      <c r="E48" t="s">
        <v>4773</v>
      </c>
      <c r="G48" s="1">
        <v>44705</v>
      </c>
      <c r="H48" s="1"/>
      <c r="I48" t="s">
        <v>1737</v>
      </c>
      <c r="O48" s="12"/>
    </row>
    <row r="49" spans="1:15" x14ac:dyDescent="0.25">
      <c r="A49" t="s">
        <v>4774</v>
      </c>
      <c r="B49" t="s">
        <v>714</v>
      </c>
      <c r="C49" t="s">
        <v>2352</v>
      </c>
      <c r="E49" t="s">
        <v>4775</v>
      </c>
      <c r="G49" s="1">
        <v>44705</v>
      </c>
      <c r="H49" s="1"/>
      <c r="O49" s="12"/>
    </row>
    <row r="50" spans="1:15" x14ac:dyDescent="0.25">
      <c r="A50" t="s">
        <v>4776</v>
      </c>
      <c r="B50" t="s">
        <v>704</v>
      </c>
      <c r="C50" t="s">
        <v>4661</v>
      </c>
      <c r="E50" t="s">
        <v>4777</v>
      </c>
      <c r="G50" s="1">
        <v>44706</v>
      </c>
      <c r="H50" s="1"/>
      <c r="I50" t="s">
        <v>1737</v>
      </c>
      <c r="L50" t="s">
        <v>4778</v>
      </c>
      <c r="O50" s="12"/>
    </row>
    <row r="51" spans="1:15" x14ac:dyDescent="0.25">
      <c r="A51" t="s">
        <v>4779</v>
      </c>
      <c r="B51" t="s">
        <v>704</v>
      </c>
      <c r="C51" t="s">
        <v>2949</v>
      </c>
      <c r="E51" t="s">
        <v>4780</v>
      </c>
      <c r="G51" s="1">
        <v>44706</v>
      </c>
      <c r="H51" s="1"/>
      <c r="I51" t="s">
        <v>1737</v>
      </c>
      <c r="L51">
        <v>3002207927</v>
      </c>
      <c r="O51" s="12"/>
    </row>
    <row r="52" spans="1:15" x14ac:dyDescent="0.25">
      <c r="A52" t="s">
        <v>4781</v>
      </c>
      <c r="B52" t="s">
        <v>704</v>
      </c>
      <c r="G52" s="1">
        <v>44706</v>
      </c>
      <c r="H52" s="1"/>
      <c r="I52" t="s">
        <v>1737</v>
      </c>
      <c r="O52" s="12"/>
    </row>
    <row r="53" spans="1:15" x14ac:dyDescent="0.25">
      <c r="A53" t="s">
        <v>4782</v>
      </c>
      <c r="B53" t="s">
        <v>3012</v>
      </c>
      <c r="C53" t="s">
        <v>1783</v>
      </c>
      <c r="E53" t="s">
        <v>4783</v>
      </c>
      <c r="G53" s="1">
        <v>44708</v>
      </c>
      <c r="H53" s="1"/>
      <c r="O53" s="12"/>
    </row>
    <row r="54" spans="1:15" x14ac:dyDescent="0.25">
      <c r="A54" t="s">
        <v>4784</v>
      </c>
      <c r="B54" t="s">
        <v>704</v>
      </c>
      <c r="C54" t="s">
        <v>670</v>
      </c>
      <c r="E54" t="s">
        <v>4753</v>
      </c>
      <c r="G54" s="1">
        <v>44712</v>
      </c>
      <c r="H54" s="1"/>
      <c r="I54" t="s">
        <v>1737</v>
      </c>
      <c r="L54">
        <v>206489</v>
      </c>
      <c r="O54" s="12"/>
    </row>
    <row r="55" spans="1:15" x14ac:dyDescent="0.25">
      <c r="A55" t="s">
        <v>4785</v>
      </c>
      <c r="B55" t="s">
        <v>704</v>
      </c>
      <c r="C55" t="s">
        <v>4661</v>
      </c>
      <c r="E55" t="s">
        <v>4786</v>
      </c>
      <c r="G55" s="1">
        <v>44714</v>
      </c>
      <c r="H55" s="1"/>
      <c r="I55" t="s">
        <v>1737</v>
      </c>
      <c r="L55" t="s">
        <v>4787</v>
      </c>
      <c r="O55" s="12"/>
    </row>
    <row r="56" spans="1:15" x14ac:dyDescent="0.25">
      <c r="A56" t="s">
        <v>4788</v>
      </c>
      <c r="B56" t="s">
        <v>704</v>
      </c>
      <c r="C56" t="s">
        <v>243</v>
      </c>
      <c r="E56" t="s">
        <v>4789</v>
      </c>
      <c r="G56" s="1">
        <v>44715</v>
      </c>
      <c r="H56" s="1"/>
      <c r="I56" t="s">
        <v>1737</v>
      </c>
      <c r="L56" t="s">
        <v>4790</v>
      </c>
      <c r="O56" s="12"/>
    </row>
    <row r="57" spans="1:15" x14ac:dyDescent="0.25">
      <c r="A57" t="s">
        <v>4791</v>
      </c>
      <c r="B57" t="s">
        <v>704</v>
      </c>
      <c r="C57" t="s">
        <v>25</v>
      </c>
      <c r="E57" t="s">
        <v>4792</v>
      </c>
      <c r="G57" s="1">
        <v>44715</v>
      </c>
      <c r="H57" s="1"/>
      <c r="I57" t="s">
        <v>1737</v>
      </c>
      <c r="L57" t="s">
        <v>4793</v>
      </c>
      <c r="O57" s="12"/>
    </row>
    <row r="58" spans="1:15" x14ac:dyDescent="0.25">
      <c r="A58" t="s">
        <v>4794</v>
      </c>
      <c r="B58" t="s">
        <v>704</v>
      </c>
      <c r="C58" t="s">
        <v>163</v>
      </c>
      <c r="E58" t="s">
        <v>4795</v>
      </c>
      <c r="G58" s="1">
        <v>44718</v>
      </c>
      <c r="H58" s="1"/>
      <c r="I58" t="s">
        <v>1737</v>
      </c>
      <c r="L58">
        <v>4505503624</v>
      </c>
      <c r="O58" s="12"/>
    </row>
    <row r="59" spans="1:15" x14ac:dyDescent="0.25">
      <c r="A59" t="s">
        <v>4796</v>
      </c>
      <c r="B59" t="s">
        <v>704</v>
      </c>
      <c r="C59" t="s">
        <v>4737</v>
      </c>
      <c r="E59" t="s">
        <v>4715</v>
      </c>
      <c r="G59" s="1">
        <v>44720</v>
      </c>
      <c r="H59" s="1"/>
      <c r="I59" t="s">
        <v>1737</v>
      </c>
      <c r="L59">
        <v>20223017</v>
      </c>
      <c r="O59" s="12"/>
    </row>
    <row r="60" spans="1:15" x14ac:dyDescent="0.25">
      <c r="A60" t="s">
        <v>4797</v>
      </c>
      <c r="B60" t="s">
        <v>4798</v>
      </c>
      <c r="C60" t="s">
        <v>4799</v>
      </c>
      <c r="E60" t="s">
        <v>4800</v>
      </c>
      <c r="G60" s="1">
        <v>44725</v>
      </c>
      <c r="H60" s="1"/>
      <c r="L60">
        <v>27001091</v>
      </c>
      <c r="O60" s="12"/>
    </row>
    <row r="61" spans="1:15" x14ac:dyDescent="0.25">
      <c r="A61" t="s">
        <v>4801</v>
      </c>
      <c r="B61" t="s">
        <v>704</v>
      </c>
      <c r="C61" t="s">
        <v>766</v>
      </c>
      <c r="E61" t="s">
        <v>4802</v>
      </c>
      <c r="G61" s="1">
        <v>44728</v>
      </c>
      <c r="H61" s="1"/>
      <c r="I61" t="s">
        <v>1737</v>
      </c>
      <c r="L61">
        <v>4551056888</v>
      </c>
      <c r="O61" s="12"/>
    </row>
    <row r="62" spans="1:15" x14ac:dyDescent="0.25">
      <c r="A62" t="s">
        <v>4803</v>
      </c>
      <c r="B62" t="s">
        <v>4798</v>
      </c>
      <c r="C62" t="s">
        <v>4661</v>
      </c>
      <c r="E62" t="s">
        <v>4804</v>
      </c>
      <c r="G62" s="1">
        <v>44729</v>
      </c>
      <c r="H62" s="1"/>
      <c r="I62" t="s">
        <v>1737</v>
      </c>
      <c r="J62" t="s">
        <v>29</v>
      </c>
      <c r="M62">
        <v>100</v>
      </c>
      <c r="N62" s="1">
        <v>44924</v>
      </c>
      <c r="O62" s="12"/>
    </row>
    <row r="63" spans="1:15" x14ac:dyDescent="0.25">
      <c r="A63" t="s">
        <v>4805</v>
      </c>
      <c r="B63" t="s">
        <v>704</v>
      </c>
      <c r="C63" t="s">
        <v>4737</v>
      </c>
      <c r="E63" t="s">
        <v>4715</v>
      </c>
      <c r="G63" s="1">
        <v>44729</v>
      </c>
      <c r="H63" s="1"/>
      <c r="I63" t="s">
        <v>1737</v>
      </c>
      <c r="L63">
        <v>20222952</v>
      </c>
      <c r="O63" s="12"/>
    </row>
    <row r="64" spans="1:15" x14ac:dyDescent="0.25">
      <c r="A64" t="s">
        <v>4806</v>
      </c>
      <c r="B64" t="s">
        <v>31</v>
      </c>
      <c r="C64" t="s">
        <v>55</v>
      </c>
      <c r="E64" t="s">
        <v>4807</v>
      </c>
      <c r="G64" s="1">
        <v>44725</v>
      </c>
      <c r="H64" s="1"/>
      <c r="O64" s="12"/>
    </row>
    <row r="65" spans="1:15" x14ac:dyDescent="0.25">
      <c r="A65" t="s">
        <v>4808</v>
      </c>
      <c r="B65" t="s">
        <v>704</v>
      </c>
      <c r="C65" t="s">
        <v>670</v>
      </c>
      <c r="E65" t="s">
        <v>4809</v>
      </c>
      <c r="G65" s="1">
        <v>44732</v>
      </c>
      <c r="H65" s="1"/>
      <c r="I65" t="s">
        <v>1737</v>
      </c>
      <c r="L65">
        <v>207317</v>
      </c>
      <c r="O65" s="12"/>
    </row>
    <row r="66" spans="1:15" x14ac:dyDescent="0.25">
      <c r="A66" t="s">
        <v>4810</v>
      </c>
      <c r="B66" t="s">
        <v>704</v>
      </c>
      <c r="C66" t="s">
        <v>3686</v>
      </c>
      <c r="E66" t="s">
        <v>4811</v>
      </c>
      <c r="G66" s="1">
        <v>44732</v>
      </c>
      <c r="H66" s="1"/>
      <c r="I66" t="s">
        <v>1737</v>
      </c>
      <c r="L66">
        <v>36927</v>
      </c>
      <c r="O66" s="12"/>
    </row>
    <row r="67" spans="1:15" x14ac:dyDescent="0.25">
      <c r="A67" t="s">
        <v>4812</v>
      </c>
      <c r="B67" t="s">
        <v>704</v>
      </c>
      <c r="C67" t="s">
        <v>578</v>
      </c>
      <c r="E67" t="s">
        <v>4813</v>
      </c>
      <c r="G67" s="1">
        <v>44733</v>
      </c>
      <c r="H67" s="1"/>
      <c r="I67" t="s">
        <v>1737</v>
      </c>
      <c r="L67">
        <v>8000084613</v>
      </c>
      <c r="O67" s="12"/>
    </row>
    <row r="68" spans="1:15" x14ac:dyDescent="0.25">
      <c r="A68" t="s">
        <v>4814</v>
      </c>
      <c r="B68" t="s">
        <v>474</v>
      </c>
      <c r="C68" t="s">
        <v>4815</v>
      </c>
      <c r="E68" t="s">
        <v>4816</v>
      </c>
      <c r="G68" s="1">
        <v>44733</v>
      </c>
      <c r="H68" s="1"/>
      <c r="O68" s="12"/>
    </row>
    <row r="69" spans="1:15" x14ac:dyDescent="0.25">
      <c r="A69" t="s">
        <v>4817</v>
      </c>
      <c r="B69" t="s">
        <v>704</v>
      </c>
      <c r="C69" t="s">
        <v>243</v>
      </c>
      <c r="E69" t="s">
        <v>1169</v>
      </c>
      <c r="G69" s="1">
        <v>44733</v>
      </c>
      <c r="H69" s="1"/>
      <c r="I69" t="s">
        <v>1737</v>
      </c>
      <c r="L69" t="s">
        <v>4818</v>
      </c>
      <c r="O69" s="12"/>
    </row>
    <row r="70" spans="1:15" x14ac:dyDescent="0.25">
      <c r="A70" t="s">
        <v>4819</v>
      </c>
      <c r="B70" t="s">
        <v>704</v>
      </c>
      <c r="C70" t="s">
        <v>4661</v>
      </c>
      <c r="E70" t="s">
        <v>4820</v>
      </c>
      <c r="G70" s="1">
        <v>44734</v>
      </c>
      <c r="H70" s="1"/>
      <c r="I70" t="s">
        <v>1737</v>
      </c>
      <c r="O70" s="12"/>
    </row>
    <row r="71" spans="1:15" x14ac:dyDescent="0.25">
      <c r="A71" t="s">
        <v>4821</v>
      </c>
      <c r="B71" t="s">
        <v>4822</v>
      </c>
      <c r="C71" t="s">
        <v>247</v>
      </c>
      <c r="E71" t="s">
        <v>4823</v>
      </c>
      <c r="G71" s="1">
        <v>44735</v>
      </c>
      <c r="H71" s="1"/>
      <c r="O71" s="12"/>
    </row>
    <row r="72" spans="1:15" x14ac:dyDescent="0.25">
      <c r="A72" t="s">
        <v>4824</v>
      </c>
      <c r="B72" t="s">
        <v>704</v>
      </c>
      <c r="C72" t="s">
        <v>670</v>
      </c>
      <c r="E72" t="s">
        <v>4825</v>
      </c>
      <c r="G72" s="1">
        <v>44736</v>
      </c>
      <c r="H72" s="1"/>
      <c r="I72" t="s">
        <v>1737</v>
      </c>
      <c r="L72">
        <v>207562</v>
      </c>
      <c r="O72" s="12"/>
    </row>
    <row r="73" spans="1:15" x14ac:dyDescent="0.25">
      <c r="A73" t="s">
        <v>4826</v>
      </c>
      <c r="B73" t="s">
        <v>704</v>
      </c>
      <c r="C73" t="s">
        <v>55</v>
      </c>
      <c r="E73" t="s">
        <v>4827</v>
      </c>
      <c r="G73" s="1">
        <v>44736</v>
      </c>
      <c r="H73" s="1"/>
      <c r="I73" t="s">
        <v>1737</v>
      </c>
      <c r="L73" t="s">
        <v>4828</v>
      </c>
      <c r="O73" s="12"/>
    </row>
    <row r="74" spans="1:15" x14ac:dyDescent="0.25">
      <c r="A74" t="s">
        <v>4829</v>
      </c>
      <c r="B74" t="s">
        <v>704</v>
      </c>
      <c r="C74" t="s">
        <v>4698</v>
      </c>
      <c r="E74" t="s">
        <v>4753</v>
      </c>
      <c r="G74" s="1">
        <v>44736</v>
      </c>
      <c r="H74" s="1"/>
      <c r="I74" t="s">
        <v>1737</v>
      </c>
      <c r="L74">
        <v>335601</v>
      </c>
      <c r="O74" s="12"/>
    </row>
    <row r="75" spans="1:15" x14ac:dyDescent="0.25">
      <c r="A75" t="s">
        <v>4830</v>
      </c>
      <c r="B75" t="s">
        <v>4831</v>
      </c>
      <c r="C75" t="s">
        <v>4832</v>
      </c>
      <c r="E75" t="s">
        <v>4833</v>
      </c>
      <c r="G75" s="1">
        <v>44737</v>
      </c>
      <c r="H75" s="1"/>
      <c r="O75" s="12"/>
    </row>
    <row r="76" spans="1:15" x14ac:dyDescent="0.25">
      <c r="A76" t="s">
        <v>4834</v>
      </c>
      <c r="B76" t="s">
        <v>13</v>
      </c>
      <c r="C76" t="s">
        <v>247</v>
      </c>
      <c r="E76" t="s">
        <v>4835</v>
      </c>
      <c r="G76" s="1">
        <v>44739</v>
      </c>
      <c r="H76" s="1"/>
      <c r="L76">
        <v>24381</v>
      </c>
      <c r="O76" s="12"/>
    </row>
    <row r="77" spans="1:15" x14ac:dyDescent="0.25">
      <c r="A77" t="s">
        <v>4836</v>
      </c>
      <c r="B77" t="s">
        <v>2785</v>
      </c>
      <c r="C77" t="s">
        <v>4737</v>
      </c>
      <c r="E77" t="s">
        <v>4837</v>
      </c>
      <c r="G77" s="1">
        <v>44739</v>
      </c>
      <c r="H77" s="1"/>
      <c r="O77" s="12"/>
    </row>
    <row r="78" spans="1:15" x14ac:dyDescent="0.25">
      <c r="A78" t="s">
        <v>4838</v>
      </c>
      <c r="B78" t="s">
        <v>4798</v>
      </c>
      <c r="C78" t="s">
        <v>4661</v>
      </c>
      <c r="E78" t="s">
        <v>4839</v>
      </c>
      <c r="G78" s="1">
        <v>44740</v>
      </c>
      <c r="H78" s="1"/>
      <c r="L78" t="s">
        <v>4840</v>
      </c>
      <c r="O78" s="12"/>
    </row>
    <row r="79" spans="1:15" x14ac:dyDescent="0.25">
      <c r="A79" t="s">
        <v>4841</v>
      </c>
      <c r="B79" t="s">
        <v>4798</v>
      </c>
      <c r="C79" t="s">
        <v>670</v>
      </c>
      <c r="E79" t="s">
        <v>4842</v>
      </c>
      <c r="G79" s="1">
        <v>44740</v>
      </c>
      <c r="H79" s="1"/>
      <c r="L79">
        <v>207672</v>
      </c>
      <c r="O79" s="12"/>
    </row>
    <row r="80" spans="1:15" x14ac:dyDescent="0.25">
      <c r="A80" t="s">
        <v>4843</v>
      </c>
      <c r="B80" t="s">
        <v>4798</v>
      </c>
      <c r="C80" t="s">
        <v>4844</v>
      </c>
      <c r="E80" t="s">
        <v>4845</v>
      </c>
      <c r="G80" s="1">
        <v>44742</v>
      </c>
      <c r="H80" s="1"/>
      <c r="L80">
        <v>230260</v>
      </c>
      <c r="O80" s="12"/>
    </row>
    <row r="81" spans="1:15" x14ac:dyDescent="0.25">
      <c r="A81" t="s">
        <v>4846</v>
      </c>
      <c r="B81" t="s">
        <v>2780</v>
      </c>
      <c r="C81" t="s">
        <v>104</v>
      </c>
      <c r="E81" t="s">
        <v>4847</v>
      </c>
      <c r="G81" s="1">
        <v>44743</v>
      </c>
      <c r="H81" s="1"/>
      <c r="O81" s="12"/>
    </row>
    <row r="82" spans="1:15" x14ac:dyDescent="0.25">
      <c r="A82" t="s">
        <v>4848</v>
      </c>
      <c r="B82" t="s">
        <v>135</v>
      </c>
      <c r="C82" t="s">
        <v>742</v>
      </c>
      <c r="E82" t="s">
        <v>4849</v>
      </c>
      <c r="G82" s="1">
        <v>44748</v>
      </c>
      <c r="H82" s="1"/>
      <c r="I82" t="s">
        <v>1737</v>
      </c>
      <c r="J82" t="s">
        <v>29</v>
      </c>
      <c r="L82" t="s">
        <v>4850</v>
      </c>
      <c r="M82" s="5">
        <v>1</v>
      </c>
      <c r="N82" s="1">
        <v>44873</v>
      </c>
      <c r="O82" s="12"/>
    </row>
    <row r="83" spans="1:15" x14ac:dyDescent="0.25">
      <c r="A83" t="s">
        <v>4851</v>
      </c>
      <c r="B83" t="s">
        <v>704</v>
      </c>
      <c r="C83" t="s">
        <v>104</v>
      </c>
      <c r="E83" t="s">
        <v>4852</v>
      </c>
      <c r="G83" s="1">
        <v>44748</v>
      </c>
      <c r="H83" s="1"/>
      <c r="I83" t="s">
        <v>1737</v>
      </c>
      <c r="L83" t="s">
        <v>4853</v>
      </c>
      <c r="M83" s="5">
        <v>1</v>
      </c>
      <c r="N83" s="1">
        <v>44859</v>
      </c>
      <c r="O83" s="12"/>
    </row>
    <row r="84" spans="1:15" x14ac:dyDescent="0.25">
      <c r="A84" t="s">
        <v>4854</v>
      </c>
      <c r="B84" t="s">
        <v>704</v>
      </c>
      <c r="C84" t="s">
        <v>4661</v>
      </c>
      <c r="E84" t="s">
        <v>4715</v>
      </c>
      <c r="G84" s="1">
        <v>44748</v>
      </c>
      <c r="H84" s="1"/>
      <c r="I84" t="s">
        <v>1737</v>
      </c>
      <c r="L84" t="s">
        <v>4855</v>
      </c>
      <c r="M84" s="5">
        <v>1</v>
      </c>
      <c r="N84" s="1">
        <v>44844</v>
      </c>
      <c r="O84" s="12"/>
    </row>
    <row r="85" spans="1:15" x14ac:dyDescent="0.25">
      <c r="A85" t="s">
        <v>4856</v>
      </c>
      <c r="B85" t="s">
        <v>704</v>
      </c>
      <c r="C85" t="s">
        <v>1922</v>
      </c>
      <c r="E85" t="s">
        <v>4857</v>
      </c>
      <c r="G85" s="1">
        <v>44749</v>
      </c>
      <c r="H85" s="1"/>
      <c r="I85" t="s">
        <v>1737</v>
      </c>
      <c r="O85" s="12"/>
    </row>
    <row r="86" spans="1:15" x14ac:dyDescent="0.25">
      <c r="A86" t="s">
        <v>4858</v>
      </c>
      <c r="B86" t="s">
        <v>374</v>
      </c>
      <c r="C86" t="s">
        <v>742</v>
      </c>
      <c r="E86" t="s">
        <v>4859</v>
      </c>
      <c r="G86" s="1">
        <v>44750</v>
      </c>
      <c r="H86" s="1"/>
      <c r="O86" s="12"/>
    </row>
    <row r="87" spans="1:15" x14ac:dyDescent="0.25">
      <c r="A87" t="s">
        <v>4860</v>
      </c>
      <c r="B87" t="s">
        <v>704</v>
      </c>
      <c r="C87" t="s">
        <v>104</v>
      </c>
      <c r="G87" s="1">
        <v>44750</v>
      </c>
      <c r="H87" s="1"/>
      <c r="I87" t="s">
        <v>1737</v>
      </c>
      <c r="L87" t="s">
        <v>4861</v>
      </c>
      <c r="O87" s="12"/>
    </row>
    <row r="88" spans="1:15" x14ac:dyDescent="0.25">
      <c r="A88" t="s">
        <v>4862</v>
      </c>
      <c r="B88" t="s">
        <v>704</v>
      </c>
      <c r="C88" t="s">
        <v>243</v>
      </c>
      <c r="E88" t="s">
        <v>4863</v>
      </c>
      <c r="G88" s="1">
        <v>44753</v>
      </c>
      <c r="H88" s="1"/>
      <c r="I88" t="s">
        <v>1737</v>
      </c>
      <c r="L88" t="s">
        <v>4864</v>
      </c>
      <c r="O88" s="12"/>
    </row>
    <row r="89" spans="1:15" x14ac:dyDescent="0.25">
      <c r="A89" t="s">
        <v>4865</v>
      </c>
      <c r="B89" t="s">
        <v>704</v>
      </c>
      <c r="C89" t="s">
        <v>670</v>
      </c>
      <c r="E89" t="s">
        <v>4715</v>
      </c>
      <c r="G89" s="1">
        <v>44753</v>
      </c>
      <c r="H89" s="1"/>
      <c r="I89" t="s">
        <v>1737</v>
      </c>
      <c r="L89">
        <v>208114</v>
      </c>
      <c r="O89" s="12"/>
    </row>
    <row r="90" spans="1:15" x14ac:dyDescent="0.25">
      <c r="A90" t="s">
        <v>4866</v>
      </c>
      <c r="B90" t="s">
        <v>704</v>
      </c>
      <c r="C90" t="s">
        <v>4661</v>
      </c>
      <c r="E90" t="s">
        <v>4867</v>
      </c>
      <c r="G90" s="1">
        <v>44753</v>
      </c>
      <c r="H90" s="1"/>
      <c r="I90" t="s">
        <v>1737</v>
      </c>
      <c r="L90" t="s">
        <v>4868</v>
      </c>
      <c r="O90" s="12"/>
    </row>
    <row r="91" spans="1:15" x14ac:dyDescent="0.25">
      <c r="A91" t="s">
        <v>4869</v>
      </c>
      <c r="B91" t="s">
        <v>704</v>
      </c>
      <c r="C91" t="s">
        <v>4661</v>
      </c>
      <c r="E91" t="s">
        <v>4870</v>
      </c>
      <c r="G91" s="1">
        <v>44753</v>
      </c>
      <c r="H91" s="1"/>
      <c r="I91" t="s">
        <v>1737</v>
      </c>
      <c r="L91" t="s">
        <v>4871</v>
      </c>
      <c r="O91" s="12"/>
    </row>
    <row r="92" spans="1:15" x14ac:dyDescent="0.25">
      <c r="A92" t="s">
        <v>4872</v>
      </c>
      <c r="B92" t="s">
        <v>704</v>
      </c>
      <c r="C92" t="s">
        <v>578</v>
      </c>
      <c r="E92" t="s">
        <v>4873</v>
      </c>
      <c r="G92" s="1">
        <v>44753</v>
      </c>
      <c r="H92" s="1"/>
      <c r="I92" t="s">
        <v>1737</v>
      </c>
      <c r="L92">
        <v>8000086128</v>
      </c>
      <c r="O92" s="12"/>
    </row>
    <row r="93" spans="1:15" x14ac:dyDescent="0.25">
      <c r="A93" t="s">
        <v>4874</v>
      </c>
      <c r="B93" t="s">
        <v>2954</v>
      </c>
      <c r="C93" t="s">
        <v>4875</v>
      </c>
      <c r="E93" t="s">
        <v>4876</v>
      </c>
      <c r="G93" s="1">
        <v>44755</v>
      </c>
      <c r="H93" s="1"/>
      <c r="O93" s="12"/>
    </row>
    <row r="94" spans="1:15" x14ac:dyDescent="0.25">
      <c r="A94" t="s">
        <v>4877</v>
      </c>
      <c r="B94" t="s">
        <v>135</v>
      </c>
      <c r="C94" t="s">
        <v>742</v>
      </c>
      <c r="E94" t="s">
        <v>4878</v>
      </c>
      <c r="G94" s="1">
        <v>44755</v>
      </c>
      <c r="H94" s="1"/>
      <c r="I94" t="s">
        <v>1737</v>
      </c>
      <c r="J94" t="s">
        <v>29</v>
      </c>
      <c r="M94">
        <v>100</v>
      </c>
      <c r="N94" s="1">
        <v>44901</v>
      </c>
      <c r="O94" s="12"/>
    </row>
    <row r="95" spans="1:15" x14ac:dyDescent="0.25">
      <c r="A95" t="s">
        <v>4879</v>
      </c>
      <c r="B95" t="s">
        <v>13</v>
      </c>
      <c r="C95" t="s">
        <v>55</v>
      </c>
      <c r="E95" t="s">
        <v>4880</v>
      </c>
      <c r="G95" s="1">
        <v>44755</v>
      </c>
      <c r="H95" s="1"/>
      <c r="O95" s="12"/>
    </row>
    <row r="96" spans="1:15" x14ac:dyDescent="0.25">
      <c r="A96" t="s">
        <v>4881</v>
      </c>
      <c r="B96" t="s">
        <v>704</v>
      </c>
      <c r="C96" t="s">
        <v>163</v>
      </c>
      <c r="E96" t="s">
        <v>4882</v>
      </c>
      <c r="G96" s="1">
        <v>44755</v>
      </c>
      <c r="H96" s="1"/>
      <c r="I96" t="s">
        <v>1737</v>
      </c>
      <c r="L96">
        <v>4505546159</v>
      </c>
      <c r="O96" s="12"/>
    </row>
    <row r="97" spans="1:15" x14ac:dyDescent="0.25">
      <c r="A97" t="s">
        <v>4883</v>
      </c>
      <c r="B97" t="s">
        <v>704</v>
      </c>
      <c r="C97" t="s">
        <v>4661</v>
      </c>
      <c r="E97" t="s">
        <v>4738</v>
      </c>
      <c r="G97" s="1">
        <v>44756</v>
      </c>
      <c r="H97" s="1"/>
      <c r="I97" t="s">
        <v>1737</v>
      </c>
      <c r="M97" s="5">
        <v>1</v>
      </c>
      <c r="N97" s="1">
        <v>44844</v>
      </c>
      <c r="O97" s="12"/>
    </row>
    <row r="98" spans="1:15" x14ac:dyDescent="0.25">
      <c r="A98" t="s">
        <v>4884</v>
      </c>
      <c r="B98" t="s">
        <v>704</v>
      </c>
      <c r="C98" t="s">
        <v>4737</v>
      </c>
      <c r="E98" t="s">
        <v>4738</v>
      </c>
      <c r="G98" s="1">
        <v>44757</v>
      </c>
      <c r="H98" s="1"/>
      <c r="I98" t="s">
        <v>1737</v>
      </c>
      <c r="O98" s="12"/>
    </row>
    <row r="99" spans="1:15" x14ac:dyDescent="0.25">
      <c r="A99" t="s">
        <v>4885</v>
      </c>
      <c r="B99" t="s">
        <v>4822</v>
      </c>
      <c r="C99" t="s">
        <v>104</v>
      </c>
      <c r="E99" t="s">
        <v>4886</v>
      </c>
      <c r="G99" s="1">
        <v>44757</v>
      </c>
      <c r="H99" s="1"/>
      <c r="L99" t="s">
        <v>4887</v>
      </c>
      <c r="O99" s="12"/>
    </row>
    <row r="100" spans="1:15" x14ac:dyDescent="0.25">
      <c r="A100" t="s">
        <v>4888</v>
      </c>
      <c r="B100" t="s">
        <v>13</v>
      </c>
      <c r="C100" t="s">
        <v>104</v>
      </c>
      <c r="E100" t="s">
        <v>4889</v>
      </c>
      <c r="G100" s="1">
        <v>44760</v>
      </c>
      <c r="H100" s="1"/>
      <c r="O100" s="12"/>
    </row>
    <row r="101" spans="1:15" x14ac:dyDescent="0.25">
      <c r="A101" t="s">
        <v>4890</v>
      </c>
      <c r="B101" t="s">
        <v>4798</v>
      </c>
      <c r="C101" t="s">
        <v>670</v>
      </c>
      <c r="E101" t="s">
        <v>4891</v>
      </c>
      <c r="G101" s="1">
        <v>44760</v>
      </c>
      <c r="H101" s="1"/>
      <c r="O101" s="12"/>
    </row>
    <row r="102" spans="1:15" x14ac:dyDescent="0.25">
      <c r="A102" t="s">
        <v>4892</v>
      </c>
      <c r="B102" t="s">
        <v>704</v>
      </c>
      <c r="C102" t="s">
        <v>163</v>
      </c>
      <c r="E102" t="s">
        <v>1380</v>
      </c>
      <c r="G102" s="1">
        <v>44761</v>
      </c>
      <c r="H102" s="1"/>
      <c r="I102" t="s">
        <v>1737</v>
      </c>
      <c r="L102">
        <v>4505556764</v>
      </c>
      <c r="O102" s="12"/>
    </row>
    <row r="103" spans="1:15" x14ac:dyDescent="0.25">
      <c r="A103" t="s">
        <v>4893</v>
      </c>
      <c r="B103" t="s">
        <v>704</v>
      </c>
      <c r="C103" t="s">
        <v>243</v>
      </c>
      <c r="E103" t="s">
        <v>4894</v>
      </c>
      <c r="G103" s="1">
        <v>44761</v>
      </c>
      <c r="H103" s="1"/>
      <c r="I103" t="s">
        <v>1737</v>
      </c>
      <c r="L103" t="s">
        <v>4895</v>
      </c>
      <c r="O103" s="12"/>
    </row>
    <row r="104" spans="1:15" x14ac:dyDescent="0.25">
      <c r="A104" t="s">
        <v>4033</v>
      </c>
      <c r="B104" t="s">
        <v>2885</v>
      </c>
      <c r="C104" t="s">
        <v>253</v>
      </c>
      <c r="E104" t="s">
        <v>4896</v>
      </c>
      <c r="G104" s="1">
        <v>44762</v>
      </c>
      <c r="H104" s="1"/>
      <c r="O104" s="12"/>
    </row>
    <row r="105" spans="1:15" x14ac:dyDescent="0.25">
      <c r="A105" t="s">
        <v>4897</v>
      </c>
      <c r="B105" t="s">
        <v>325</v>
      </c>
      <c r="C105" t="s">
        <v>78</v>
      </c>
      <c r="E105" t="s">
        <v>4898</v>
      </c>
      <c r="G105" s="1">
        <v>44763</v>
      </c>
      <c r="H105" s="1"/>
      <c r="L105" t="s">
        <v>4899</v>
      </c>
      <c r="O105" s="12"/>
    </row>
    <row r="106" spans="1:15" x14ac:dyDescent="0.25">
      <c r="A106" t="s">
        <v>4900</v>
      </c>
      <c r="B106" t="s">
        <v>704</v>
      </c>
      <c r="C106" t="s">
        <v>670</v>
      </c>
      <c r="E106" t="s">
        <v>4699</v>
      </c>
      <c r="G106" s="1">
        <v>44768</v>
      </c>
      <c r="H106" s="1"/>
      <c r="I106" t="s">
        <v>1737</v>
      </c>
      <c r="L106">
        <v>208807</v>
      </c>
      <c r="O106" s="12"/>
    </row>
    <row r="107" spans="1:15" x14ac:dyDescent="0.25">
      <c r="A107" t="s">
        <v>4901</v>
      </c>
      <c r="B107" t="s">
        <v>621</v>
      </c>
      <c r="C107" t="s">
        <v>4902</v>
      </c>
      <c r="E107" t="s">
        <v>4903</v>
      </c>
      <c r="G107" s="1">
        <v>44770</v>
      </c>
      <c r="H107" s="1"/>
      <c r="M107">
        <v>100</v>
      </c>
      <c r="N107" s="1">
        <v>45015</v>
      </c>
      <c r="O107" s="12"/>
    </row>
    <row r="108" spans="1:15" x14ac:dyDescent="0.25">
      <c r="A108" t="s">
        <v>4904</v>
      </c>
      <c r="B108" t="s">
        <v>704</v>
      </c>
      <c r="C108" t="s">
        <v>4905</v>
      </c>
      <c r="E108" t="s">
        <v>4906</v>
      </c>
      <c r="G108" s="1">
        <v>44771</v>
      </c>
      <c r="H108" s="1"/>
      <c r="I108" t="s">
        <v>1737</v>
      </c>
      <c r="L108">
        <v>3002336513</v>
      </c>
      <c r="O108" s="12"/>
    </row>
    <row r="109" spans="1:15" x14ac:dyDescent="0.25">
      <c r="A109" t="s">
        <v>4907</v>
      </c>
      <c r="B109" t="s">
        <v>704</v>
      </c>
      <c r="C109" t="s">
        <v>670</v>
      </c>
      <c r="E109" t="s">
        <v>4699</v>
      </c>
      <c r="G109" s="1">
        <v>44771</v>
      </c>
      <c r="H109" s="1"/>
      <c r="I109" t="s">
        <v>1737</v>
      </c>
      <c r="J109" t="s">
        <v>29</v>
      </c>
      <c r="L109">
        <v>208962</v>
      </c>
      <c r="M109">
        <v>100</v>
      </c>
      <c r="N109" s="1">
        <v>44911</v>
      </c>
      <c r="O109" s="12"/>
    </row>
    <row r="110" spans="1:15" x14ac:dyDescent="0.25">
      <c r="A110" t="s">
        <v>4908</v>
      </c>
      <c r="B110" t="s">
        <v>704</v>
      </c>
      <c r="C110" t="s">
        <v>4737</v>
      </c>
      <c r="E110" t="s">
        <v>4715</v>
      </c>
      <c r="G110" s="1">
        <v>44771</v>
      </c>
      <c r="H110" s="1"/>
      <c r="I110" t="s">
        <v>1737</v>
      </c>
      <c r="L110">
        <v>20224669</v>
      </c>
      <c r="O110" s="12"/>
    </row>
    <row r="111" spans="1:15" x14ac:dyDescent="0.25">
      <c r="A111" t="s">
        <v>4909</v>
      </c>
      <c r="B111" t="s">
        <v>704</v>
      </c>
      <c r="C111" t="s">
        <v>70</v>
      </c>
      <c r="E111" t="s">
        <v>4910</v>
      </c>
      <c r="G111" s="1">
        <v>44774</v>
      </c>
      <c r="H111" s="1"/>
      <c r="I111" t="s">
        <v>1737</v>
      </c>
      <c r="L111">
        <v>902910</v>
      </c>
      <c r="O111" s="12"/>
    </row>
    <row r="112" spans="1:15" x14ac:dyDescent="0.25">
      <c r="A112" t="s">
        <v>4911</v>
      </c>
      <c r="B112" t="s">
        <v>704</v>
      </c>
      <c r="C112" t="s">
        <v>25</v>
      </c>
      <c r="E112" t="s">
        <v>4912</v>
      </c>
      <c r="G112" s="1">
        <v>44775</v>
      </c>
      <c r="H112" s="1"/>
      <c r="I112" t="s">
        <v>1737</v>
      </c>
      <c r="J112" t="s">
        <v>29</v>
      </c>
      <c r="L112" t="s">
        <v>4913</v>
      </c>
      <c r="M112">
        <v>100</v>
      </c>
      <c r="N112" s="1">
        <v>44888</v>
      </c>
      <c r="O112" s="12"/>
    </row>
    <row r="113" spans="1:15" x14ac:dyDescent="0.25">
      <c r="A113" t="s">
        <v>4914</v>
      </c>
      <c r="B113" t="s">
        <v>704</v>
      </c>
      <c r="C113" t="s">
        <v>1922</v>
      </c>
      <c r="E113" t="s">
        <v>4915</v>
      </c>
      <c r="G113" s="1">
        <v>44775</v>
      </c>
      <c r="H113" s="1"/>
      <c r="I113" t="s">
        <v>1737</v>
      </c>
      <c r="O113" s="12"/>
    </row>
    <row r="114" spans="1:15" x14ac:dyDescent="0.25">
      <c r="A114" t="s">
        <v>4916</v>
      </c>
      <c r="B114" t="s">
        <v>704</v>
      </c>
      <c r="C114" t="s">
        <v>4661</v>
      </c>
      <c r="E114" t="s">
        <v>4917</v>
      </c>
      <c r="G114" s="1">
        <v>44777</v>
      </c>
      <c r="H114" s="1"/>
      <c r="I114" t="s">
        <v>1737</v>
      </c>
      <c r="L114" t="s">
        <v>4918</v>
      </c>
      <c r="M114" s="5">
        <v>1</v>
      </c>
      <c r="N114" s="1">
        <v>44844</v>
      </c>
      <c r="O114" s="12"/>
    </row>
    <row r="115" spans="1:15" x14ac:dyDescent="0.25">
      <c r="A115" t="s">
        <v>4919</v>
      </c>
      <c r="B115" t="s">
        <v>2756</v>
      </c>
      <c r="C115" t="s">
        <v>1922</v>
      </c>
      <c r="E115" t="s">
        <v>4920</v>
      </c>
      <c r="G115" s="1">
        <v>44778</v>
      </c>
      <c r="H115" s="1"/>
      <c r="O115" s="12"/>
    </row>
    <row r="116" spans="1:15" x14ac:dyDescent="0.25">
      <c r="A116" t="s">
        <v>4921</v>
      </c>
      <c r="B116" t="s">
        <v>4922</v>
      </c>
      <c r="C116" t="s">
        <v>2813</v>
      </c>
      <c r="E116" t="s">
        <v>4923</v>
      </c>
      <c r="G116" s="1">
        <v>44778</v>
      </c>
      <c r="H116" s="1"/>
      <c r="I116" t="s">
        <v>1737</v>
      </c>
      <c r="O116" s="12"/>
    </row>
    <row r="117" spans="1:15" x14ac:dyDescent="0.25">
      <c r="A117" t="s">
        <v>4924</v>
      </c>
      <c r="B117" t="s">
        <v>325</v>
      </c>
      <c r="C117" t="s">
        <v>2352</v>
      </c>
      <c r="E117" t="s">
        <v>4925</v>
      </c>
      <c r="G117" s="1">
        <v>44781</v>
      </c>
      <c r="H117" s="1"/>
      <c r="M117" s="5"/>
      <c r="O117" s="12"/>
    </row>
    <row r="118" spans="1:15" x14ac:dyDescent="0.25">
      <c r="A118" t="s">
        <v>4926</v>
      </c>
      <c r="B118" t="s">
        <v>325</v>
      </c>
      <c r="C118" t="s">
        <v>4661</v>
      </c>
      <c r="E118" t="s">
        <v>4927</v>
      </c>
      <c r="G118" s="1">
        <v>44781</v>
      </c>
      <c r="H118" s="1"/>
      <c r="O118" s="12"/>
    </row>
    <row r="119" spans="1:15" x14ac:dyDescent="0.25">
      <c r="A119" t="s">
        <v>4928</v>
      </c>
      <c r="B119" t="s">
        <v>704</v>
      </c>
      <c r="C119" t="s">
        <v>4929</v>
      </c>
      <c r="E119" t="s">
        <v>4930</v>
      </c>
      <c r="G119" s="1">
        <v>44782</v>
      </c>
      <c r="H119" s="1"/>
      <c r="I119" t="s">
        <v>1737</v>
      </c>
      <c r="O119" s="12"/>
    </row>
    <row r="120" spans="1:15" x14ac:dyDescent="0.25">
      <c r="A120" t="s">
        <v>4931</v>
      </c>
      <c r="B120" t="s">
        <v>704</v>
      </c>
      <c r="C120" t="s">
        <v>670</v>
      </c>
      <c r="E120" t="s">
        <v>4932</v>
      </c>
      <c r="G120" s="1">
        <v>44782</v>
      </c>
      <c r="H120" s="1"/>
      <c r="I120" t="s">
        <v>1737</v>
      </c>
      <c r="J120" t="s">
        <v>29</v>
      </c>
      <c r="L120">
        <v>4001010</v>
      </c>
      <c r="M120">
        <v>100</v>
      </c>
      <c r="N120" s="1">
        <v>44907</v>
      </c>
      <c r="O120" s="12"/>
    </row>
    <row r="121" spans="1:15" x14ac:dyDescent="0.25">
      <c r="A121" t="s">
        <v>4933</v>
      </c>
      <c r="B121" t="s">
        <v>704</v>
      </c>
      <c r="C121" t="s">
        <v>670</v>
      </c>
      <c r="E121" t="s">
        <v>4934</v>
      </c>
      <c r="G121" s="1">
        <v>44785</v>
      </c>
      <c r="H121" s="1"/>
      <c r="I121" t="s">
        <v>1737</v>
      </c>
      <c r="L121">
        <v>4001185</v>
      </c>
      <c r="O121" s="12"/>
    </row>
    <row r="122" spans="1:15" x14ac:dyDescent="0.25">
      <c r="A122" t="s">
        <v>4935</v>
      </c>
      <c r="B122" t="s">
        <v>704</v>
      </c>
      <c r="C122" t="s">
        <v>25</v>
      </c>
      <c r="E122" t="s">
        <v>4936</v>
      </c>
      <c r="G122" s="1">
        <v>44785</v>
      </c>
      <c r="H122" s="1"/>
      <c r="I122" t="s">
        <v>1737</v>
      </c>
      <c r="J122" t="s">
        <v>29</v>
      </c>
      <c r="L122" t="s">
        <v>4937</v>
      </c>
      <c r="M122">
        <v>100</v>
      </c>
      <c r="N122" s="1">
        <v>44820</v>
      </c>
      <c r="O122" s="12"/>
    </row>
    <row r="123" spans="1:15" x14ac:dyDescent="0.25">
      <c r="A123" t="s">
        <v>4938</v>
      </c>
      <c r="B123" t="s">
        <v>621</v>
      </c>
      <c r="C123" t="s">
        <v>25</v>
      </c>
      <c r="E123" t="s">
        <v>4939</v>
      </c>
      <c r="G123" s="1">
        <v>44783</v>
      </c>
      <c r="H123" s="1"/>
      <c r="I123" t="s">
        <v>1737</v>
      </c>
      <c r="J123" t="s">
        <v>29</v>
      </c>
      <c r="M123">
        <v>100</v>
      </c>
      <c r="N123" s="1" t="s">
        <v>4940</v>
      </c>
      <c r="O123" s="12"/>
    </row>
    <row r="124" spans="1:15" x14ac:dyDescent="0.25">
      <c r="A124" t="s">
        <v>4941</v>
      </c>
      <c r="B124" t="s">
        <v>704</v>
      </c>
      <c r="C124" t="s">
        <v>243</v>
      </c>
      <c r="E124" t="s">
        <v>4942</v>
      </c>
      <c r="G124" s="1">
        <v>44788</v>
      </c>
      <c r="H124" s="1"/>
      <c r="I124" t="s">
        <v>1737</v>
      </c>
      <c r="O124" s="12"/>
    </row>
    <row r="125" spans="1:15" x14ac:dyDescent="0.25">
      <c r="A125" t="s">
        <v>4943</v>
      </c>
      <c r="B125" t="s">
        <v>704</v>
      </c>
      <c r="C125" t="s">
        <v>4661</v>
      </c>
      <c r="E125" t="s">
        <v>4944</v>
      </c>
      <c r="G125" s="1">
        <v>44788</v>
      </c>
      <c r="H125" s="1"/>
      <c r="I125" t="s">
        <v>1737</v>
      </c>
      <c r="O125" s="12"/>
    </row>
    <row r="126" spans="1:15" x14ac:dyDescent="0.25">
      <c r="A126" t="s">
        <v>4945</v>
      </c>
      <c r="B126" t="s">
        <v>704</v>
      </c>
      <c r="C126" t="s">
        <v>677</v>
      </c>
      <c r="E126" t="s">
        <v>4715</v>
      </c>
      <c r="G126" s="1">
        <v>44789</v>
      </c>
      <c r="H126" s="1"/>
      <c r="I126" t="s">
        <v>1737</v>
      </c>
      <c r="L126" t="s">
        <v>4946</v>
      </c>
      <c r="O126" s="12"/>
    </row>
    <row r="127" spans="1:15" x14ac:dyDescent="0.25">
      <c r="A127" t="s">
        <v>4947</v>
      </c>
      <c r="B127" t="s">
        <v>704</v>
      </c>
      <c r="C127" t="s">
        <v>670</v>
      </c>
      <c r="E127" t="s">
        <v>4948</v>
      </c>
      <c r="G127" s="1">
        <v>44791</v>
      </c>
      <c r="H127" s="1"/>
      <c r="I127" t="s">
        <v>1737</v>
      </c>
      <c r="L127" t="s">
        <v>4949</v>
      </c>
      <c r="O127" s="12"/>
    </row>
    <row r="128" spans="1:15" x14ac:dyDescent="0.25">
      <c r="A128" t="s">
        <v>4950</v>
      </c>
      <c r="B128" t="s">
        <v>704</v>
      </c>
      <c r="C128" t="s">
        <v>4951</v>
      </c>
      <c r="E128" t="s">
        <v>4672</v>
      </c>
      <c r="G128" s="1">
        <v>44791</v>
      </c>
      <c r="H128" s="1"/>
      <c r="I128" t="s">
        <v>1737</v>
      </c>
      <c r="L128">
        <v>4001165</v>
      </c>
      <c r="O128" s="12"/>
    </row>
    <row r="129" spans="1:15" x14ac:dyDescent="0.25">
      <c r="A129" t="s">
        <v>4952</v>
      </c>
      <c r="B129" t="s">
        <v>704</v>
      </c>
      <c r="C129" t="s">
        <v>4661</v>
      </c>
      <c r="E129" t="s">
        <v>4953</v>
      </c>
      <c r="G129" s="1">
        <v>44792</v>
      </c>
      <c r="H129" s="1"/>
      <c r="I129" t="s">
        <v>1737</v>
      </c>
      <c r="J129" t="s">
        <v>29</v>
      </c>
      <c r="L129" t="s">
        <v>4954</v>
      </c>
      <c r="M129">
        <v>100</v>
      </c>
      <c r="N129" s="1">
        <v>44895</v>
      </c>
      <c r="O129" s="12" t="s">
        <v>4955</v>
      </c>
    </row>
    <row r="130" spans="1:15" x14ac:dyDescent="0.25">
      <c r="A130" t="s">
        <v>4956</v>
      </c>
      <c r="B130" t="s">
        <v>704</v>
      </c>
      <c r="C130" t="s">
        <v>4661</v>
      </c>
      <c r="E130" t="s">
        <v>4957</v>
      </c>
      <c r="G130" s="1">
        <v>44792</v>
      </c>
      <c r="H130" s="1"/>
      <c r="I130" t="s">
        <v>1737</v>
      </c>
      <c r="J130" t="s">
        <v>29</v>
      </c>
      <c r="O130" s="12" t="s">
        <v>4958</v>
      </c>
    </row>
    <row r="131" spans="1:15" x14ac:dyDescent="0.25">
      <c r="A131" t="s">
        <v>4959</v>
      </c>
      <c r="B131" t="s">
        <v>704</v>
      </c>
      <c r="C131" t="s">
        <v>670</v>
      </c>
      <c r="E131" t="s">
        <v>4960</v>
      </c>
      <c r="G131" s="1">
        <v>44795</v>
      </c>
      <c r="H131" s="1"/>
      <c r="I131" t="s">
        <v>1737</v>
      </c>
      <c r="J131" t="s">
        <v>29</v>
      </c>
      <c r="M131">
        <v>100</v>
      </c>
      <c r="N131" s="1">
        <v>44963</v>
      </c>
      <c r="O131" s="12"/>
    </row>
    <row r="132" spans="1:15" x14ac:dyDescent="0.25">
      <c r="A132" t="s">
        <v>4961</v>
      </c>
      <c r="B132" t="s">
        <v>4962</v>
      </c>
      <c r="C132" t="s">
        <v>298</v>
      </c>
      <c r="E132" t="s">
        <v>4963</v>
      </c>
      <c r="G132" s="1">
        <v>44796</v>
      </c>
      <c r="H132" s="1"/>
      <c r="I132" t="s">
        <v>1737</v>
      </c>
      <c r="J132" t="s">
        <v>29</v>
      </c>
      <c r="L132">
        <v>4001590</v>
      </c>
      <c r="M132">
        <v>100</v>
      </c>
      <c r="N132" s="1">
        <v>44845</v>
      </c>
      <c r="O132" s="12"/>
    </row>
    <row r="133" spans="1:15" x14ac:dyDescent="0.25">
      <c r="A133" t="s">
        <v>4964</v>
      </c>
      <c r="B133" t="s">
        <v>704</v>
      </c>
      <c r="C133" t="s">
        <v>4661</v>
      </c>
      <c r="E133" t="s">
        <v>3530</v>
      </c>
      <c r="G133" s="1">
        <v>44796</v>
      </c>
      <c r="H133" s="1"/>
      <c r="I133" t="s">
        <v>1737</v>
      </c>
      <c r="J133" t="s">
        <v>29</v>
      </c>
      <c r="M133">
        <v>100</v>
      </c>
      <c r="N133" s="1">
        <v>44910</v>
      </c>
      <c r="O133" s="12"/>
    </row>
    <row r="134" spans="1:15" x14ac:dyDescent="0.25">
      <c r="A134" t="s">
        <v>4965</v>
      </c>
      <c r="B134" t="s">
        <v>2785</v>
      </c>
      <c r="C134" t="s">
        <v>4966</v>
      </c>
      <c r="E134" t="s">
        <v>4777</v>
      </c>
      <c r="G134" s="1">
        <v>44797</v>
      </c>
      <c r="H134" s="1"/>
      <c r="L134" t="s">
        <v>4967</v>
      </c>
      <c r="O134" s="12"/>
    </row>
    <row r="135" spans="1:15" x14ac:dyDescent="0.25">
      <c r="A135" t="s">
        <v>4968</v>
      </c>
      <c r="B135" t="s">
        <v>704</v>
      </c>
      <c r="C135" t="s">
        <v>104</v>
      </c>
      <c r="E135" t="s">
        <v>4969</v>
      </c>
      <c r="G135" s="1">
        <v>44802</v>
      </c>
      <c r="H135" s="1"/>
      <c r="I135" t="s">
        <v>1737</v>
      </c>
      <c r="O135" s="12"/>
    </row>
    <row r="136" spans="1:15" x14ac:dyDescent="0.25">
      <c r="A136" t="s">
        <v>4970</v>
      </c>
      <c r="B136" t="s">
        <v>325</v>
      </c>
      <c r="C136" t="s">
        <v>4971</v>
      </c>
      <c r="E136" t="s">
        <v>4972</v>
      </c>
      <c r="G136" s="1">
        <v>44794</v>
      </c>
      <c r="H136" s="1"/>
      <c r="L136" t="s">
        <v>4973</v>
      </c>
      <c r="O136" s="12"/>
    </row>
    <row r="137" spans="1:15" x14ac:dyDescent="0.25">
      <c r="A137" t="s">
        <v>4974</v>
      </c>
      <c r="B137" t="s">
        <v>13</v>
      </c>
      <c r="C137" t="s">
        <v>14</v>
      </c>
      <c r="E137" t="s">
        <v>4975</v>
      </c>
      <c r="G137" s="1">
        <v>44799</v>
      </c>
      <c r="H137" s="1"/>
      <c r="O137" s="12"/>
    </row>
    <row r="138" spans="1:15" x14ac:dyDescent="0.25">
      <c r="A138" t="s">
        <v>4976</v>
      </c>
      <c r="B138" t="s">
        <v>704</v>
      </c>
      <c r="C138" t="s">
        <v>670</v>
      </c>
      <c r="E138" t="s">
        <v>4977</v>
      </c>
      <c r="G138" s="1">
        <v>44802</v>
      </c>
      <c r="H138" s="1"/>
      <c r="I138" t="s">
        <v>1737</v>
      </c>
      <c r="K138" t="s">
        <v>29</v>
      </c>
      <c r="L138" t="s">
        <v>4978</v>
      </c>
      <c r="M138">
        <v>100</v>
      </c>
      <c r="N138" s="1">
        <v>45019</v>
      </c>
      <c r="O138" s="12"/>
    </row>
    <row r="139" spans="1:15" x14ac:dyDescent="0.25">
      <c r="A139" t="s">
        <v>4979</v>
      </c>
      <c r="B139" t="s">
        <v>704</v>
      </c>
      <c r="C139" t="s">
        <v>997</v>
      </c>
      <c r="E139" t="s">
        <v>4980</v>
      </c>
      <c r="G139" s="1">
        <v>44802</v>
      </c>
      <c r="H139" s="1"/>
      <c r="I139" t="s">
        <v>1737</v>
      </c>
      <c r="K139" t="s">
        <v>29</v>
      </c>
      <c r="L139">
        <v>4001791</v>
      </c>
      <c r="M139" s="5">
        <v>1</v>
      </c>
      <c r="N139" s="1">
        <v>44847</v>
      </c>
      <c r="O139" s="12"/>
    </row>
    <row r="140" spans="1:15" x14ac:dyDescent="0.25">
      <c r="A140" t="s">
        <v>4981</v>
      </c>
      <c r="B140" t="s">
        <v>704</v>
      </c>
      <c r="C140" t="s">
        <v>411</v>
      </c>
      <c r="E140" t="s">
        <v>4982</v>
      </c>
      <c r="G140" s="1">
        <v>44802</v>
      </c>
      <c r="H140" s="1"/>
      <c r="I140" t="s">
        <v>1737</v>
      </c>
      <c r="K140" t="s">
        <v>29</v>
      </c>
      <c r="L140">
        <v>208250751</v>
      </c>
      <c r="M140">
        <v>100</v>
      </c>
      <c r="O140" s="12"/>
    </row>
    <row r="141" spans="1:15" x14ac:dyDescent="0.25">
      <c r="A141" t="s">
        <v>4983</v>
      </c>
      <c r="B141" t="s">
        <v>4984</v>
      </c>
      <c r="C141" t="s">
        <v>411</v>
      </c>
      <c r="E141" t="s">
        <v>4985</v>
      </c>
      <c r="G141" s="1">
        <v>44802</v>
      </c>
      <c r="H141" s="1"/>
      <c r="I141" t="s">
        <v>1737</v>
      </c>
      <c r="K141" t="s">
        <v>29</v>
      </c>
      <c r="M141">
        <v>100</v>
      </c>
      <c r="N141" s="1">
        <v>44981</v>
      </c>
      <c r="O141" s="12"/>
    </row>
    <row r="142" spans="1:15" x14ac:dyDescent="0.25">
      <c r="A142" t="s">
        <v>4986</v>
      </c>
      <c r="B142" t="s">
        <v>704</v>
      </c>
      <c r="C142" t="s">
        <v>163</v>
      </c>
      <c r="E142" t="s">
        <v>4987</v>
      </c>
      <c r="G142" s="1">
        <v>44802</v>
      </c>
      <c r="H142" s="1"/>
      <c r="I142" t="s">
        <v>2762</v>
      </c>
      <c r="J142" t="s">
        <v>29</v>
      </c>
      <c r="K142" t="s">
        <v>29</v>
      </c>
      <c r="M142" s="5">
        <v>0.98</v>
      </c>
      <c r="N142" s="1">
        <v>44875</v>
      </c>
      <c r="O142" s="12" t="s">
        <v>4988</v>
      </c>
    </row>
    <row r="143" spans="1:15" x14ac:dyDescent="0.25">
      <c r="A143" t="s">
        <v>4989</v>
      </c>
      <c r="B143" t="s">
        <v>325</v>
      </c>
      <c r="C143" t="s">
        <v>4661</v>
      </c>
      <c r="E143" t="s">
        <v>4990</v>
      </c>
      <c r="G143" s="1">
        <v>44802</v>
      </c>
      <c r="H143" s="1"/>
      <c r="I143" t="s">
        <v>1737</v>
      </c>
      <c r="J143" t="s">
        <v>29</v>
      </c>
      <c r="L143">
        <v>4505617796</v>
      </c>
      <c r="M143">
        <v>100</v>
      </c>
      <c r="N143" s="1">
        <v>44910</v>
      </c>
      <c r="O143" s="12"/>
    </row>
    <row r="144" spans="1:15" x14ac:dyDescent="0.25">
      <c r="A144" t="s">
        <v>4991</v>
      </c>
      <c r="B144" t="s">
        <v>704</v>
      </c>
      <c r="C144" t="s">
        <v>2949</v>
      </c>
      <c r="E144" t="s">
        <v>4721</v>
      </c>
      <c r="G144" s="1">
        <v>44804</v>
      </c>
      <c r="H144" s="1"/>
      <c r="I144" t="s">
        <v>1737</v>
      </c>
      <c r="K144" t="s">
        <v>29</v>
      </c>
      <c r="L144" t="s">
        <v>4992</v>
      </c>
      <c r="O144" s="12"/>
    </row>
    <row r="145" spans="1:15" x14ac:dyDescent="0.25">
      <c r="A145" t="s">
        <v>4993</v>
      </c>
      <c r="B145" t="s">
        <v>704</v>
      </c>
      <c r="C145" t="s">
        <v>163</v>
      </c>
      <c r="E145" t="s">
        <v>4994</v>
      </c>
      <c r="G145" s="1">
        <v>44805</v>
      </c>
      <c r="H145" s="1"/>
      <c r="I145" t="s">
        <v>1737</v>
      </c>
      <c r="K145" t="s">
        <v>29</v>
      </c>
      <c r="L145">
        <v>3002397531</v>
      </c>
      <c r="O145" s="12"/>
    </row>
    <row r="146" spans="1:15" x14ac:dyDescent="0.25">
      <c r="A146" t="s">
        <v>4995</v>
      </c>
      <c r="B146" t="s">
        <v>325</v>
      </c>
      <c r="C146" t="s">
        <v>4996</v>
      </c>
      <c r="E146" t="s">
        <v>4997</v>
      </c>
      <c r="G146" s="1">
        <v>44805</v>
      </c>
      <c r="H146" s="1"/>
      <c r="J146" t="s">
        <v>29</v>
      </c>
      <c r="M146">
        <v>100</v>
      </c>
      <c r="N146" s="1">
        <v>44861</v>
      </c>
      <c r="O146" s="12"/>
    </row>
    <row r="147" spans="1:15" x14ac:dyDescent="0.25">
      <c r="A147" t="s">
        <v>4998</v>
      </c>
      <c r="B147" t="s">
        <v>704</v>
      </c>
      <c r="C147" t="s">
        <v>4698</v>
      </c>
      <c r="E147" t="s">
        <v>4999</v>
      </c>
      <c r="G147" s="1">
        <v>44806</v>
      </c>
      <c r="H147" s="1"/>
      <c r="I147" t="s">
        <v>1737</v>
      </c>
      <c r="K147" t="s">
        <v>29</v>
      </c>
      <c r="L147" t="s">
        <v>5000</v>
      </c>
      <c r="O147" s="12"/>
    </row>
    <row r="148" spans="1:15" x14ac:dyDescent="0.25">
      <c r="A148" t="s">
        <v>5001</v>
      </c>
      <c r="B148" t="s">
        <v>704</v>
      </c>
      <c r="C148" t="s">
        <v>243</v>
      </c>
      <c r="E148" t="s">
        <v>3530</v>
      </c>
      <c r="G148" s="1">
        <v>44806</v>
      </c>
      <c r="H148" s="1"/>
      <c r="I148" t="s">
        <v>1737</v>
      </c>
      <c r="K148" t="s">
        <v>29</v>
      </c>
      <c r="L148">
        <v>339251</v>
      </c>
      <c r="O148" s="12"/>
    </row>
    <row r="149" spans="1:15" x14ac:dyDescent="0.25">
      <c r="A149" t="s">
        <v>5002</v>
      </c>
      <c r="B149" t="s">
        <v>704</v>
      </c>
      <c r="C149" t="s">
        <v>163</v>
      </c>
      <c r="E149" t="s">
        <v>5003</v>
      </c>
      <c r="G149" s="1">
        <v>44810</v>
      </c>
      <c r="H149" s="1"/>
      <c r="I149" t="s">
        <v>1737</v>
      </c>
      <c r="K149" t="s">
        <v>29</v>
      </c>
      <c r="L149" t="s">
        <v>5004</v>
      </c>
      <c r="M149" s="5">
        <v>1</v>
      </c>
      <c r="N149" s="1">
        <v>44847</v>
      </c>
      <c r="O149" s="12"/>
    </row>
    <row r="150" spans="1:15" x14ac:dyDescent="0.25">
      <c r="A150" t="s">
        <v>5005</v>
      </c>
      <c r="B150" t="s">
        <v>325</v>
      </c>
      <c r="C150" t="s">
        <v>25</v>
      </c>
      <c r="E150" t="s">
        <v>2803</v>
      </c>
      <c r="G150" s="1">
        <v>44808</v>
      </c>
      <c r="H150" s="1"/>
      <c r="O150" s="12"/>
    </row>
    <row r="151" spans="1:15" x14ac:dyDescent="0.25">
      <c r="A151" t="s">
        <v>5006</v>
      </c>
      <c r="B151" t="s">
        <v>704</v>
      </c>
      <c r="C151" t="s">
        <v>5007</v>
      </c>
      <c r="E151" t="s">
        <v>5008</v>
      </c>
      <c r="G151" s="1">
        <v>44811</v>
      </c>
      <c r="H151" s="1"/>
      <c r="I151" t="s">
        <v>1737</v>
      </c>
      <c r="J151" t="s">
        <v>29</v>
      </c>
      <c r="K151" t="s">
        <v>29</v>
      </c>
      <c r="L151" t="s">
        <v>5009</v>
      </c>
      <c r="M151" s="5">
        <v>1</v>
      </c>
      <c r="N151" s="1">
        <v>44869</v>
      </c>
      <c r="O151" s="12"/>
    </row>
    <row r="152" spans="1:15" x14ac:dyDescent="0.25">
      <c r="A152" t="s">
        <v>5010</v>
      </c>
      <c r="B152" t="s">
        <v>704</v>
      </c>
      <c r="C152" t="s">
        <v>4661</v>
      </c>
      <c r="E152" t="s">
        <v>5011</v>
      </c>
      <c r="G152" s="1">
        <v>44811</v>
      </c>
      <c r="H152" s="1"/>
      <c r="I152" t="s">
        <v>1737</v>
      </c>
      <c r="J152" t="s">
        <v>29</v>
      </c>
      <c r="K152" t="s">
        <v>29</v>
      </c>
      <c r="L152" t="s">
        <v>5012</v>
      </c>
      <c r="M152" s="5">
        <v>1</v>
      </c>
      <c r="N152" s="1" t="s">
        <v>5013</v>
      </c>
      <c r="O152" s="12"/>
    </row>
    <row r="153" spans="1:15" x14ac:dyDescent="0.25">
      <c r="A153" t="s">
        <v>5014</v>
      </c>
      <c r="B153" t="s">
        <v>704</v>
      </c>
      <c r="C153" t="s">
        <v>4661</v>
      </c>
      <c r="E153" t="s">
        <v>5015</v>
      </c>
      <c r="G153" s="1">
        <v>44812</v>
      </c>
      <c r="H153" s="1"/>
      <c r="I153" t="s">
        <v>1737</v>
      </c>
      <c r="K153" t="s">
        <v>29</v>
      </c>
      <c r="O153" s="12"/>
    </row>
    <row r="154" spans="1:15" x14ac:dyDescent="0.25">
      <c r="A154" t="s">
        <v>5016</v>
      </c>
      <c r="B154" t="s">
        <v>704</v>
      </c>
      <c r="C154" t="s">
        <v>4661</v>
      </c>
      <c r="E154" t="s">
        <v>4944</v>
      </c>
      <c r="G154" s="1">
        <v>44816</v>
      </c>
      <c r="H154" s="1"/>
      <c r="I154" t="s">
        <v>1737</v>
      </c>
      <c r="K154" t="s">
        <v>29</v>
      </c>
      <c r="L154" t="s">
        <v>5017</v>
      </c>
      <c r="M154" s="5">
        <v>1</v>
      </c>
      <c r="N154" s="1">
        <v>44846</v>
      </c>
      <c r="O154" s="12"/>
    </row>
    <row r="155" spans="1:15" x14ac:dyDescent="0.25">
      <c r="A155" t="s">
        <v>5018</v>
      </c>
      <c r="B155" t="s">
        <v>704</v>
      </c>
      <c r="C155" t="s">
        <v>4661</v>
      </c>
      <c r="E155" t="s">
        <v>5019</v>
      </c>
      <c r="G155" s="1">
        <v>44818</v>
      </c>
      <c r="H155" s="1"/>
      <c r="I155" t="s">
        <v>1737</v>
      </c>
      <c r="J155" t="s">
        <v>29</v>
      </c>
      <c r="K155" t="s">
        <v>29</v>
      </c>
      <c r="L155" t="s">
        <v>5020</v>
      </c>
      <c r="M155" s="5">
        <v>1</v>
      </c>
      <c r="N155" s="1" t="s">
        <v>5021</v>
      </c>
      <c r="O155" s="12"/>
    </row>
    <row r="156" spans="1:15" x14ac:dyDescent="0.25">
      <c r="A156" t="s">
        <v>5022</v>
      </c>
      <c r="B156" t="s">
        <v>704</v>
      </c>
      <c r="C156" t="s">
        <v>4661</v>
      </c>
      <c r="E156" t="s">
        <v>5023</v>
      </c>
      <c r="G156" s="1">
        <v>44819</v>
      </c>
      <c r="H156" s="1"/>
      <c r="I156" t="s">
        <v>1737</v>
      </c>
      <c r="K156" t="s">
        <v>29</v>
      </c>
      <c r="L156" t="s">
        <v>5024</v>
      </c>
      <c r="O156" s="12"/>
    </row>
    <row r="157" spans="1:15" x14ac:dyDescent="0.25">
      <c r="A157" t="s">
        <v>5025</v>
      </c>
      <c r="B157" t="s">
        <v>704</v>
      </c>
      <c r="C157" t="s">
        <v>4661</v>
      </c>
      <c r="E157" t="s">
        <v>5026</v>
      </c>
      <c r="G157" s="1">
        <v>44819</v>
      </c>
      <c r="H157" s="1"/>
      <c r="I157" t="s">
        <v>1737</v>
      </c>
      <c r="K157" t="s">
        <v>29</v>
      </c>
      <c r="L157" t="s">
        <v>5027</v>
      </c>
      <c r="M157" s="5">
        <v>1</v>
      </c>
      <c r="N157" s="1">
        <v>44872</v>
      </c>
      <c r="O157" s="12" t="s">
        <v>5028</v>
      </c>
    </row>
    <row r="158" spans="1:15" x14ac:dyDescent="0.25">
      <c r="A158" t="s">
        <v>5029</v>
      </c>
      <c r="B158" t="s">
        <v>704</v>
      </c>
      <c r="C158" t="s">
        <v>25</v>
      </c>
      <c r="E158" t="s">
        <v>5030</v>
      </c>
      <c r="G158" s="1">
        <v>44824</v>
      </c>
      <c r="H158" s="1"/>
      <c r="I158" t="s">
        <v>1737</v>
      </c>
      <c r="K158" t="s">
        <v>29</v>
      </c>
      <c r="L158" t="s">
        <v>5031</v>
      </c>
      <c r="M158">
        <v>100</v>
      </c>
      <c r="N158" s="1">
        <v>44887</v>
      </c>
      <c r="O158" s="12"/>
    </row>
    <row r="159" spans="1:15" x14ac:dyDescent="0.25">
      <c r="A159" t="s">
        <v>5032</v>
      </c>
      <c r="B159" t="s">
        <v>704</v>
      </c>
      <c r="C159" t="s">
        <v>243</v>
      </c>
      <c r="E159" t="s">
        <v>5033</v>
      </c>
      <c r="G159" s="1">
        <v>44825</v>
      </c>
      <c r="H159" s="1"/>
      <c r="I159" t="s">
        <v>1737</v>
      </c>
      <c r="K159" t="s">
        <v>29</v>
      </c>
      <c r="L159" t="s">
        <v>5034</v>
      </c>
      <c r="M159" s="5">
        <v>1</v>
      </c>
      <c r="N159" s="1">
        <v>44847</v>
      </c>
      <c r="O159" s="12"/>
    </row>
    <row r="160" spans="1:15" x14ac:dyDescent="0.25">
      <c r="A160" t="s">
        <v>5035</v>
      </c>
      <c r="B160" t="s">
        <v>704</v>
      </c>
      <c r="C160" t="s">
        <v>243</v>
      </c>
      <c r="E160" t="s">
        <v>5036</v>
      </c>
      <c r="G160" s="1">
        <v>44826</v>
      </c>
      <c r="H160" s="1"/>
      <c r="I160" t="s">
        <v>1737</v>
      </c>
      <c r="K160" t="s">
        <v>29</v>
      </c>
      <c r="L160" t="s">
        <v>5037</v>
      </c>
      <c r="M160" s="5">
        <v>1</v>
      </c>
      <c r="N160" s="1">
        <v>44844</v>
      </c>
      <c r="O160" s="12"/>
    </row>
    <row r="161" spans="1:15" ht="12.75" customHeight="1" x14ac:dyDescent="0.25">
      <c r="A161" t="s">
        <v>5038</v>
      </c>
      <c r="B161" t="s">
        <v>621</v>
      </c>
      <c r="C161" t="s">
        <v>55</v>
      </c>
      <c r="E161" t="s">
        <v>5039</v>
      </c>
      <c r="G161" s="1">
        <v>44826</v>
      </c>
      <c r="H161" s="1"/>
      <c r="I161" t="s">
        <v>1737</v>
      </c>
      <c r="J161" t="s">
        <v>29</v>
      </c>
      <c r="M161">
        <v>100</v>
      </c>
      <c r="N161" s="1">
        <v>45063</v>
      </c>
      <c r="O161" s="12" t="s">
        <v>5040</v>
      </c>
    </row>
    <row r="162" spans="1:15" ht="12.75" customHeight="1" x14ac:dyDescent="0.25">
      <c r="A162" t="s">
        <v>5041</v>
      </c>
      <c r="B162" t="s">
        <v>621</v>
      </c>
      <c r="C162" t="s">
        <v>55</v>
      </c>
      <c r="E162" t="s">
        <v>5042</v>
      </c>
      <c r="G162" s="1">
        <v>44866</v>
      </c>
      <c r="H162" s="1"/>
      <c r="I162" t="s">
        <v>2952</v>
      </c>
      <c r="J162" t="s">
        <v>29</v>
      </c>
      <c r="O162" s="12"/>
    </row>
    <row r="163" spans="1:15" x14ac:dyDescent="0.25">
      <c r="A163" t="s">
        <v>5043</v>
      </c>
      <c r="B163" t="s">
        <v>13</v>
      </c>
      <c r="C163" t="s">
        <v>20</v>
      </c>
      <c r="E163" t="s">
        <v>5044</v>
      </c>
      <c r="G163" s="1">
        <v>44826</v>
      </c>
      <c r="H163" s="1"/>
      <c r="O163" s="12"/>
    </row>
    <row r="164" spans="1:15" x14ac:dyDescent="0.25">
      <c r="A164" t="s">
        <v>5045</v>
      </c>
      <c r="B164" t="s">
        <v>704</v>
      </c>
      <c r="C164" t="s">
        <v>5046</v>
      </c>
      <c r="E164" t="s">
        <v>5047</v>
      </c>
      <c r="G164" s="1">
        <v>44827</v>
      </c>
      <c r="H164" s="1"/>
      <c r="I164" t="s">
        <v>1737</v>
      </c>
      <c r="J164" t="s">
        <v>29</v>
      </c>
      <c r="K164" t="s">
        <v>29</v>
      </c>
      <c r="L164">
        <v>114351</v>
      </c>
      <c r="M164">
        <v>100</v>
      </c>
      <c r="N164" s="1">
        <v>44872</v>
      </c>
      <c r="O164" s="12"/>
    </row>
    <row r="165" spans="1:15" x14ac:dyDescent="0.25">
      <c r="A165" t="s">
        <v>5048</v>
      </c>
      <c r="B165" t="s">
        <v>704</v>
      </c>
      <c r="C165" t="s">
        <v>5049</v>
      </c>
      <c r="D165" t="s">
        <v>5050</v>
      </c>
      <c r="E165" t="s">
        <v>5051</v>
      </c>
      <c r="G165" s="1">
        <v>44832</v>
      </c>
      <c r="H165" s="1"/>
      <c r="I165" t="s">
        <v>1737</v>
      </c>
      <c r="J165" t="s">
        <v>29</v>
      </c>
      <c r="K165" t="s">
        <v>29</v>
      </c>
      <c r="L165" t="s">
        <v>5052</v>
      </c>
      <c r="M165">
        <v>100</v>
      </c>
      <c r="N165" s="1">
        <v>44909</v>
      </c>
      <c r="O165" s="12"/>
    </row>
    <row r="166" spans="1:15" x14ac:dyDescent="0.25">
      <c r="A166" t="s">
        <v>5053</v>
      </c>
      <c r="B166" t="s">
        <v>13</v>
      </c>
      <c r="C166" t="s">
        <v>104</v>
      </c>
      <c r="E166" t="s">
        <v>5054</v>
      </c>
      <c r="G166" s="1">
        <v>44833</v>
      </c>
      <c r="H166" s="1"/>
      <c r="I166" t="s">
        <v>2762</v>
      </c>
      <c r="J166" t="s">
        <v>29</v>
      </c>
      <c r="L166" t="s">
        <v>2469</v>
      </c>
      <c r="O166" s="12"/>
    </row>
    <row r="167" spans="1:15" x14ac:dyDescent="0.25">
      <c r="A167" t="s">
        <v>5055</v>
      </c>
      <c r="B167" t="s">
        <v>13</v>
      </c>
      <c r="C167" t="s">
        <v>20</v>
      </c>
      <c r="E167" t="s">
        <v>5056</v>
      </c>
      <c r="G167" s="1">
        <v>44833</v>
      </c>
      <c r="H167" s="1"/>
      <c r="L167" t="s">
        <v>2469</v>
      </c>
      <c r="O167" s="12"/>
    </row>
    <row r="168" spans="1:15" x14ac:dyDescent="0.25">
      <c r="A168" t="s">
        <v>2748</v>
      </c>
      <c r="B168" t="s">
        <v>5057</v>
      </c>
      <c r="C168" t="s">
        <v>47</v>
      </c>
      <c r="E168" t="s">
        <v>5058</v>
      </c>
      <c r="G168" s="1">
        <v>44838</v>
      </c>
      <c r="H168" s="1" t="s">
        <v>2469</v>
      </c>
      <c r="I168" t="s">
        <v>1737</v>
      </c>
      <c r="J168" t="s">
        <v>29</v>
      </c>
      <c r="K168" t="s">
        <v>29</v>
      </c>
      <c r="L168">
        <v>38421</v>
      </c>
      <c r="M168" s="5">
        <v>1</v>
      </c>
      <c r="N168" s="1" t="s">
        <v>5059</v>
      </c>
      <c r="O168" s="12"/>
    </row>
    <row r="169" spans="1:15" x14ac:dyDescent="0.25">
      <c r="A169" t="s">
        <v>5060</v>
      </c>
      <c r="B169" t="s">
        <v>704</v>
      </c>
      <c r="C169" t="s">
        <v>4661</v>
      </c>
      <c r="E169" t="s">
        <v>5061</v>
      </c>
      <c r="G169" s="1">
        <v>44839</v>
      </c>
      <c r="H169" s="1"/>
      <c r="I169" t="s">
        <v>1737</v>
      </c>
      <c r="J169" t="s">
        <v>29</v>
      </c>
      <c r="K169" t="s">
        <v>29</v>
      </c>
      <c r="L169" t="s">
        <v>5062</v>
      </c>
      <c r="M169" s="5">
        <v>1</v>
      </c>
      <c r="N169" s="1">
        <v>44852</v>
      </c>
      <c r="O169" s="12"/>
    </row>
    <row r="170" spans="1:15" x14ac:dyDescent="0.25">
      <c r="A170" t="s">
        <v>5063</v>
      </c>
      <c r="B170" t="s">
        <v>4822</v>
      </c>
      <c r="C170" t="s">
        <v>4661</v>
      </c>
      <c r="E170" t="s">
        <v>5064</v>
      </c>
      <c r="G170" s="1">
        <v>44839</v>
      </c>
      <c r="H170" s="1"/>
      <c r="I170" t="s">
        <v>1737</v>
      </c>
      <c r="J170" t="s">
        <v>29</v>
      </c>
      <c r="M170" s="5">
        <v>1</v>
      </c>
      <c r="N170" s="1">
        <v>44847</v>
      </c>
      <c r="O170" s="12"/>
    </row>
    <row r="171" spans="1:15" x14ac:dyDescent="0.25">
      <c r="A171" t="s">
        <v>5065</v>
      </c>
      <c r="B171" t="s">
        <v>24</v>
      </c>
      <c r="C171" t="s">
        <v>2352</v>
      </c>
      <c r="D171" t="s">
        <v>582</v>
      </c>
      <c r="E171" t="s">
        <v>45</v>
      </c>
      <c r="G171" s="1">
        <v>44841</v>
      </c>
      <c r="H171" s="1"/>
      <c r="I171" t="s">
        <v>2952</v>
      </c>
      <c r="J171" t="s">
        <v>29</v>
      </c>
      <c r="K171" t="s">
        <v>29</v>
      </c>
      <c r="L171" t="s">
        <v>5066</v>
      </c>
      <c r="O171" s="12"/>
    </row>
    <row r="172" spans="1:15" x14ac:dyDescent="0.25">
      <c r="A172" t="s">
        <v>5067</v>
      </c>
      <c r="B172" t="s">
        <v>704</v>
      </c>
      <c r="C172" t="s">
        <v>4661</v>
      </c>
      <c r="D172" t="s">
        <v>5068</v>
      </c>
      <c r="E172" t="s">
        <v>5069</v>
      </c>
      <c r="G172" s="1">
        <v>44841</v>
      </c>
      <c r="H172" s="1"/>
      <c r="I172" t="s">
        <v>1737</v>
      </c>
      <c r="J172" t="s">
        <v>29</v>
      </c>
      <c r="K172" t="s">
        <v>29</v>
      </c>
      <c r="L172" t="s">
        <v>932</v>
      </c>
      <c r="M172" s="5">
        <v>1</v>
      </c>
      <c r="N172" s="1">
        <v>44844</v>
      </c>
      <c r="O172" s="12"/>
    </row>
    <row r="173" spans="1:15" x14ac:dyDescent="0.25">
      <c r="A173" t="s">
        <v>5070</v>
      </c>
      <c r="B173" t="s">
        <v>704</v>
      </c>
      <c r="C173" t="s">
        <v>5007</v>
      </c>
      <c r="D173" t="s">
        <v>5071</v>
      </c>
      <c r="E173" t="s">
        <v>5072</v>
      </c>
      <c r="G173" s="1">
        <v>44844</v>
      </c>
      <c r="H173" s="1"/>
      <c r="I173" t="s">
        <v>1737</v>
      </c>
      <c r="J173" t="s">
        <v>29</v>
      </c>
      <c r="K173" t="s">
        <v>29</v>
      </c>
      <c r="M173">
        <v>100</v>
      </c>
      <c r="N173" s="1">
        <v>44872</v>
      </c>
      <c r="O173" s="12"/>
    </row>
    <row r="174" spans="1:15" x14ac:dyDescent="0.25">
      <c r="A174" t="s">
        <v>5073</v>
      </c>
      <c r="B174" t="s">
        <v>704</v>
      </c>
      <c r="C174" t="s">
        <v>5049</v>
      </c>
      <c r="D174" t="s">
        <v>5050</v>
      </c>
      <c r="E174" t="s">
        <v>5074</v>
      </c>
      <c r="G174" s="1">
        <v>44844</v>
      </c>
      <c r="H174" s="1"/>
      <c r="I174" t="s">
        <v>1737</v>
      </c>
      <c r="J174" t="s">
        <v>29</v>
      </c>
      <c r="K174" t="s">
        <v>29</v>
      </c>
      <c r="L174" t="s">
        <v>5075</v>
      </c>
      <c r="M174">
        <v>100</v>
      </c>
      <c r="N174" s="1">
        <v>44938</v>
      </c>
      <c r="O174" s="12"/>
    </row>
    <row r="175" spans="1:15" x14ac:dyDescent="0.25">
      <c r="A175" t="s">
        <v>5076</v>
      </c>
      <c r="B175" t="s">
        <v>704</v>
      </c>
      <c r="C175" t="s">
        <v>4737</v>
      </c>
      <c r="D175" t="s">
        <v>5077</v>
      </c>
      <c r="E175" t="s">
        <v>5078</v>
      </c>
      <c r="G175" s="1">
        <v>44845</v>
      </c>
      <c r="H175" s="1"/>
      <c r="I175" t="s">
        <v>2762</v>
      </c>
      <c r="J175" t="s">
        <v>29</v>
      </c>
      <c r="K175" t="s">
        <v>29</v>
      </c>
      <c r="L175" t="s">
        <v>5075</v>
      </c>
      <c r="M175" s="5">
        <v>1</v>
      </c>
      <c r="N175" s="1">
        <v>44845</v>
      </c>
      <c r="O175" s="12" t="s">
        <v>5079</v>
      </c>
    </row>
    <row r="176" spans="1:15" x14ac:dyDescent="0.25">
      <c r="A176" t="s">
        <v>5080</v>
      </c>
      <c r="B176" t="s">
        <v>13</v>
      </c>
      <c r="C176" t="s">
        <v>78</v>
      </c>
      <c r="D176" t="s">
        <v>5081</v>
      </c>
      <c r="E176" t="s">
        <v>5082</v>
      </c>
      <c r="G176" s="1">
        <v>44845</v>
      </c>
      <c r="H176" s="1"/>
      <c r="I176" t="s">
        <v>1737</v>
      </c>
      <c r="J176" t="s">
        <v>29</v>
      </c>
      <c r="K176" t="s">
        <v>18</v>
      </c>
      <c r="L176" t="s">
        <v>2469</v>
      </c>
      <c r="M176">
        <v>100</v>
      </c>
      <c r="N176" s="1">
        <v>45069</v>
      </c>
      <c r="O176" s="12" t="s">
        <v>5083</v>
      </c>
    </row>
    <row r="177" spans="1:15" x14ac:dyDescent="0.25">
      <c r="A177" t="s">
        <v>5084</v>
      </c>
      <c r="B177" t="s">
        <v>704</v>
      </c>
      <c r="C177" t="s">
        <v>243</v>
      </c>
      <c r="D177" t="s">
        <v>4971</v>
      </c>
      <c r="E177" t="s">
        <v>5085</v>
      </c>
      <c r="G177" s="1">
        <v>44845</v>
      </c>
      <c r="H177" s="1"/>
      <c r="I177" t="s">
        <v>1737</v>
      </c>
      <c r="J177" t="s">
        <v>29</v>
      </c>
      <c r="K177" t="s">
        <v>29</v>
      </c>
      <c r="L177" t="s">
        <v>932</v>
      </c>
      <c r="M177">
        <v>100</v>
      </c>
      <c r="N177" s="1" t="s">
        <v>5086</v>
      </c>
      <c r="O177" s="12" t="s">
        <v>5087</v>
      </c>
    </row>
    <row r="178" spans="1:15" x14ac:dyDescent="0.25">
      <c r="A178" t="s">
        <v>5088</v>
      </c>
      <c r="B178" t="s">
        <v>24</v>
      </c>
      <c r="C178" t="s">
        <v>2352</v>
      </c>
      <c r="D178" t="s">
        <v>5089</v>
      </c>
      <c r="E178" t="s">
        <v>5090</v>
      </c>
      <c r="G178" s="1">
        <v>44846</v>
      </c>
      <c r="H178" s="1"/>
      <c r="I178" t="s">
        <v>2762</v>
      </c>
      <c r="J178" t="s">
        <v>29</v>
      </c>
      <c r="K178" t="s">
        <v>29</v>
      </c>
      <c r="L178" t="s">
        <v>5091</v>
      </c>
      <c r="M178">
        <v>100</v>
      </c>
      <c r="N178" s="1">
        <v>44866</v>
      </c>
      <c r="O178" s="12"/>
    </row>
    <row r="179" spans="1:15" x14ac:dyDescent="0.25">
      <c r="A179" t="s">
        <v>5092</v>
      </c>
      <c r="B179" t="s">
        <v>704</v>
      </c>
      <c r="C179" t="s">
        <v>578</v>
      </c>
      <c r="D179" t="s">
        <v>284</v>
      </c>
      <c r="E179" t="s">
        <v>5093</v>
      </c>
      <c r="G179" s="1">
        <v>44846</v>
      </c>
      <c r="H179" s="1"/>
      <c r="I179" t="s">
        <v>1737</v>
      </c>
      <c r="J179" t="s">
        <v>29</v>
      </c>
      <c r="K179" t="s">
        <v>29</v>
      </c>
      <c r="M179">
        <v>100</v>
      </c>
      <c r="N179" s="1">
        <v>44895</v>
      </c>
      <c r="O179" s="12"/>
    </row>
    <row r="180" spans="1:15" x14ac:dyDescent="0.25">
      <c r="A180" t="s">
        <v>5094</v>
      </c>
      <c r="B180" t="s">
        <v>704</v>
      </c>
      <c r="C180" t="s">
        <v>4698</v>
      </c>
      <c r="D180" t="s">
        <v>5095</v>
      </c>
      <c r="E180" t="s">
        <v>5096</v>
      </c>
      <c r="G180" s="1">
        <v>44847</v>
      </c>
      <c r="H180" s="1"/>
      <c r="I180" t="s">
        <v>1737</v>
      </c>
      <c r="J180" t="s">
        <v>29</v>
      </c>
      <c r="K180" t="s">
        <v>29</v>
      </c>
      <c r="L180" t="s">
        <v>5097</v>
      </c>
      <c r="M180">
        <v>100</v>
      </c>
      <c r="N180" s="1">
        <v>44869</v>
      </c>
      <c r="O180" s="12"/>
    </row>
    <row r="181" spans="1:15" x14ac:dyDescent="0.25">
      <c r="A181" t="s">
        <v>5098</v>
      </c>
      <c r="B181" t="s">
        <v>704</v>
      </c>
      <c r="C181" t="s">
        <v>78</v>
      </c>
      <c r="D181" t="s">
        <v>79</v>
      </c>
      <c r="E181" t="s">
        <v>5099</v>
      </c>
      <c r="G181" s="1">
        <v>44847</v>
      </c>
      <c r="H181" s="1"/>
      <c r="I181" t="s">
        <v>1737</v>
      </c>
      <c r="J181" t="s">
        <v>29</v>
      </c>
      <c r="K181" t="s">
        <v>29</v>
      </c>
      <c r="L181" t="s">
        <v>5100</v>
      </c>
      <c r="M181">
        <v>100</v>
      </c>
      <c r="N181" s="1">
        <v>44860</v>
      </c>
      <c r="O181" s="12"/>
    </row>
    <row r="182" spans="1:15" x14ac:dyDescent="0.25">
      <c r="A182" t="s">
        <v>5101</v>
      </c>
      <c r="B182" t="s">
        <v>704</v>
      </c>
      <c r="C182" t="s">
        <v>670</v>
      </c>
      <c r="D182" t="s">
        <v>5102</v>
      </c>
      <c r="E182" t="s">
        <v>5103</v>
      </c>
      <c r="G182" s="1">
        <v>44847</v>
      </c>
      <c r="H182" s="1"/>
      <c r="I182" t="s">
        <v>1737</v>
      </c>
      <c r="J182" t="s">
        <v>29</v>
      </c>
      <c r="K182" t="s">
        <v>29</v>
      </c>
      <c r="L182" t="s">
        <v>5104</v>
      </c>
      <c r="M182">
        <v>100</v>
      </c>
      <c r="N182" s="1">
        <v>44872</v>
      </c>
      <c r="O182" s="12"/>
    </row>
    <row r="183" spans="1:15" x14ac:dyDescent="0.25">
      <c r="A183" t="s">
        <v>5105</v>
      </c>
      <c r="B183" t="s">
        <v>704</v>
      </c>
      <c r="C183" t="s">
        <v>4661</v>
      </c>
      <c r="D183" t="s">
        <v>5106</v>
      </c>
      <c r="E183" t="s">
        <v>5107</v>
      </c>
      <c r="G183" s="1">
        <v>44848</v>
      </c>
      <c r="H183" s="1"/>
      <c r="I183" t="s">
        <v>1737</v>
      </c>
      <c r="K183" t="s">
        <v>29</v>
      </c>
      <c r="L183" t="s">
        <v>5108</v>
      </c>
      <c r="O183" s="12"/>
    </row>
    <row r="184" spans="1:15" x14ac:dyDescent="0.25">
      <c r="A184" t="s">
        <v>5109</v>
      </c>
      <c r="B184" t="s">
        <v>704</v>
      </c>
      <c r="C184" t="s">
        <v>4661</v>
      </c>
      <c r="D184" t="s">
        <v>5106</v>
      </c>
      <c r="E184" t="s">
        <v>5110</v>
      </c>
      <c r="G184" s="1">
        <v>44848</v>
      </c>
      <c r="H184" s="1"/>
      <c r="I184" t="s">
        <v>1737</v>
      </c>
      <c r="J184" t="s">
        <v>29</v>
      </c>
      <c r="K184" t="s">
        <v>29</v>
      </c>
      <c r="M184">
        <v>100</v>
      </c>
      <c r="N184" s="1">
        <v>44910</v>
      </c>
      <c r="O184" s="12" t="s">
        <v>5111</v>
      </c>
    </row>
    <row r="185" spans="1:15" x14ac:dyDescent="0.25">
      <c r="A185" t="s">
        <v>5112</v>
      </c>
      <c r="B185" t="s">
        <v>325</v>
      </c>
      <c r="C185" t="s">
        <v>4661</v>
      </c>
      <c r="D185" t="s">
        <v>5113</v>
      </c>
      <c r="E185" t="s">
        <v>5114</v>
      </c>
      <c r="G185" s="1">
        <v>44844</v>
      </c>
      <c r="H185" s="1"/>
      <c r="I185" t="s">
        <v>2762</v>
      </c>
      <c r="J185" t="s">
        <v>29</v>
      </c>
      <c r="K185" t="s">
        <v>29</v>
      </c>
      <c r="M185">
        <v>100</v>
      </c>
      <c r="N185" s="1">
        <v>44858</v>
      </c>
      <c r="O185" s="12" t="s">
        <v>5115</v>
      </c>
    </row>
    <row r="186" spans="1:15" x14ac:dyDescent="0.25">
      <c r="A186" t="s">
        <v>5116</v>
      </c>
      <c r="B186" t="s">
        <v>704</v>
      </c>
      <c r="C186" t="s">
        <v>4661</v>
      </c>
      <c r="D186" t="s">
        <v>5068</v>
      </c>
      <c r="E186" t="s">
        <v>5117</v>
      </c>
      <c r="G186" s="1">
        <v>44851</v>
      </c>
      <c r="H186" s="1"/>
      <c r="I186" t="s">
        <v>1737</v>
      </c>
      <c r="J186" t="s">
        <v>29</v>
      </c>
      <c r="K186" t="s">
        <v>29</v>
      </c>
      <c r="M186">
        <v>100</v>
      </c>
      <c r="N186" s="1">
        <v>44923</v>
      </c>
      <c r="O186" s="12"/>
    </row>
    <row r="187" spans="1:15" x14ac:dyDescent="0.25">
      <c r="A187" t="s">
        <v>5118</v>
      </c>
      <c r="B187" t="s">
        <v>704</v>
      </c>
      <c r="C187" t="s">
        <v>4661</v>
      </c>
      <c r="D187" t="s">
        <v>5106</v>
      </c>
      <c r="E187" t="s">
        <v>5119</v>
      </c>
      <c r="G187" s="1">
        <v>44851</v>
      </c>
      <c r="H187" s="1"/>
      <c r="I187" t="s">
        <v>1737</v>
      </c>
      <c r="J187" t="s">
        <v>29</v>
      </c>
      <c r="K187" t="s">
        <v>29</v>
      </c>
      <c r="M187">
        <v>100</v>
      </c>
      <c r="N187" s="1">
        <v>44866</v>
      </c>
      <c r="O187" s="12"/>
    </row>
    <row r="188" spans="1:15" x14ac:dyDescent="0.25">
      <c r="A188" t="s">
        <v>5120</v>
      </c>
      <c r="B188" t="s">
        <v>704</v>
      </c>
      <c r="C188" t="s">
        <v>5121</v>
      </c>
      <c r="D188" t="s">
        <v>5122</v>
      </c>
      <c r="E188" t="s">
        <v>5123</v>
      </c>
      <c r="G188" s="1">
        <v>44852</v>
      </c>
      <c r="H188" s="1"/>
      <c r="I188" t="s">
        <v>1737</v>
      </c>
      <c r="J188" t="s">
        <v>29</v>
      </c>
      <c r="K188" t="s">
        <v>29</v>
      </c>
      <c r="M188">
        <v>100</v>
      </c>
      <c r="N188" s="1">
        <v>44866</v>
      </c>
      <c r="O188" s="12"/>
    </row>
    <row r="189" spans="1:15" x14ac:dyDescent="0.25">
      <c r="A189" t="s">
        <v>5124</v>
      </c>
      <c r="B189" t="s">
        <v>24</v>
      </c>
      <c r="C189" t="s">
        <v>2352</v>
      </c>
      <c r="D189" t="s">
        <v>5089</v>
      </c>
      <c r="E189" t="s">
        <v>68</v>
      </c>
      <c r="G189" s="1">
        <v>44852</v>
      </c>
      <c r="H189" s="1"/>
      <c r="I189" t="s">
        <v>1737</v>
      </c>
      <c r="J189" t="s">
        <v>29</v>
      </c>
      <c r="K189" t="s">
        <v>29</v>
      </c>
      <c r="L189" t="s">
        <v>5125</v>
      </c>
      <c r="M189">
        <v>100</v>
      </c>
      <c r="N189" s="1">
        <v>44895</v>
      </c>
      <c r="O189" s="12"/>
    </row>
    <row r="190" spans="1:15" x14ac:dyDescent="0.25">
      <c r="A190" t="s">
        <v>5126</v>
      </c>
      <c r="B190" t="s">
        <v>24</v>
      </c>
      <c r="C190" t="s">
        <v>47</v>
      </c>
      <c r="D190" t="s">
        <v>48</v>
      </c>
      <c r="E190" t="s">
        <v>5127</v>
      </c>
      <c r="G190" s="1">
        <v>44852</v>
      </c>
      <c r="H190" s="1"/>
      <c r="I190" t="s">
        <v>2762</v>
      </c>
      <c r="J190" t="s">
        <v>29</v>
      </c>
      <c r="K190" t="s">
        <v>18</v>
      </c>
      <c r="O190" s="12" t="s">
        <v>5128</v>
      </c>
    </row>
    <row r="191" spans="1:15" x14ac:dyDescent="0.25">
      <c r="A191" t="s">
        <v>5129</v>
      </c>
      <c r="B191" t="s">
        <v>13</v>
      </c>
      <c r="C191" t="s">
        <v>110</v>
      </c>
      <c r="D191" t="s">
        <v>1398</v>
      </c>
      <c r="E191" t="s">
        <v>5130</v>
      </c>
      <c r="G191" s="1">
        <v>44852</v>
      </c>
      <c r="H191" s="1"/>
      <c r="I191" t="s">
        <v>2762</v>
      </c>
      <c r="J191" t="s">
        <v>29</v>
      </c>
      <c r="K191" t="s">
        <v>18</v>
      </c>
      <c r="M191" t="s">
        <v>5131</v>
      </c>
      <c r="O191" s="12"/>
    </row>
    <row r="192" spans="1:15" x14ac:dyDescent="0.25">
      <c r="A192" t="s">
        <v>5132</v>
      </c>
      <c r="B192" t="s">
        <v>31</v>
      </c>
      <c r="C192" t="s">
        <v>5133</v>
      </c>
      <c r="D192" t="s">
        <v>137</v>
      </c>
      <c r="E192" t="s">
        <v>5134</v>
      </c>
      <c r="G192" s="1">
        <v>44846</v>
      </c>
      <c r="H192" s="1"/>
      <c r="I192" t="s">
        <v>2952</v>
      </c>
      <c r="J192" t="s">
        <v>29</v>
      </c>
      <c r="K192" t="s">
        <v>29</v>
      </c>
      <c r="O192" s="12" t="s">
        <v>5135</v>
      </c>
    </row>
    <row r="193" spans="1:15" x14ac:dyDescent="0.25">
      <c r="A193" t="s">
        <v>5136</v>
      </c>
      <c r="B193" t="s">
        <v>5137</v>
      </c>
      <c r="C193" t="s">
        <v>4929</v>
      </c>
      <c r="D193" t="s">
        <v>79</v>
      </c>
      <c r="E193" t="s">
        <v>5138</v>
      </c>
      <c r="G193" s="1">
        <v>44853</v>
      </c>
      <c r="H193" s="1"/>
      <c r="I193" t="s">
        <v>1737</v>
      </c>
      <c r="J193" t="s">
        <v>29</v>
      </c>
      <c r="K193" t="s">
        <v>29</v>
      </c>
      <c r="M193">
        <v>100</v>
      </c>
      <c r="N193" s="1">
        <v>44925</v>
      </c>
      <c r="O193" s="12"/>
    </row>
    <row r="194" spans="1:15" x14ac:dyDescent="0.25">
      <c r="A194" t="s">
        <v>5139</v>
      </c>
      <c r="B194" t="s">
        <v>13</v>
      </c>
      <c r="C194" t="s">
        <v>55</v>
      </c>
      <c r="D194" t="s">
        <v>56</v>
      </c>
      <c r="E194" t="s">
        <v>5140</v>
      </c>
      <c r="G194" s="1">
        <v>44853</v>
      </c>
      <c r="H194" s="1"/>
      <c r="I194" t="s">
        <v>1737</v>
      </c>
      <c r="J194" t="s">
        <v>29</v>
      </c>
      <c r="K194" t="s">
        <v>18</v>
      </c>
      <c r="L194" t="s">
        <v>5141</v>
      </c>
      <c r="M194">
        <v>100</v>
      </c>
      <c r="N194" s="1">
        <v>44886</v>
      </c>
      <c r="O194" s="12"/>
    </row>
    <row r="195" spans="1:15" x14ac:dyDescent="0.25">
      <c r="A195" t="s">
        <v>5142</v>
      </c>
      <c r="B195" t="s">
        <v>135</v>
      </c>
      <c r="C195" t="s">
        <v>55</v>
      </c>
      <c r="E195" t="s">
        <v>5140</v>
      </c>
      <c r="G195" s="1">
        <v>44853</v>
      </c>
      <c r="H195" s="1"/>
      <c r="I195" t="s">
        <v>1737</v>
      </c>
      <c r="J195" t="s">
        <v>29</v>
      </c>
      <c r="M195">
        <v>100</v>
      </c>
      <c r="N195" s="1">
        <v>44932</v>
      </c>
      <c r="O195" s="12"/>
    </row>
    <row r="196" spans="1:15" x14ac:dyDescent="0.25">
      <c r="A196" t="s">
        <v>5143</v>
      </c>
      <c r="B196" t="s">
        <v>704</v>
      </c>
      <c r="C196" t="s">
        <v>670</v>
      </c>
      <c r="D196" t="s">
        <v>5102</v>
      </c>
      <c r="E196" t="s">
        <v>5144</v>
      </c>
      <c r="G196" s="1">
        <v>44853</v>
      </c>
      <c r="H196" s="1"/>
      <c r="I196" t="s">
        <v>1737</v>
      </c>
      <c r="J196" t="s">
        <v>29</v>
      </c>
      <c r="K196" t="s">
        <v>29</v>
      </c>
      <c r="M196" s="5">
        <v>1</v>
      </c>
      <c r="N196" s="1">
        <v>44855</v>
      </c>
      <c r="O196" s="12"/>
    </row>
    <row r="197" spans="1:15" x14ac:dyDescent="0.25">
      <c r="A197" t="s">
        <v>5145</v>
      </c>
      <c r="B197" t="s">
        <v>13</v>
      </c>
      <c r="C197" t="s">
        <v>539</v>
      </c>
      <c r="D197" t="s">
        <v>5146</v>
      </c>
      <c r="E197" t="s">
        <v>5147</v>
      </c>
      <c r="G197" s="1">
        <v>44853</v>
      </c>
      <c r="H197" s="1"/>
      <c r="I197" t="s">
        <v>5148</v>
      </c>
      <c r="J197" t="s">
        <v>18</v>
      </c>
      <c r="K197" t="s">
        <v>29</v>
      </c>
      <c r="O197" s="12" t="s">
        <v>5149</v>
      </c>
    </row>
    <row r="198" spans="1:15" x14ac:dyDescent="0.25">
      <c r="A198" t="s">
        <v>5150</v>
      </c>
      <c r="B198" t="s">
        <v>13</v>
      </c>
      <c r="C198" t="s">
        <v>4661</v>
      </c>
      <c r="D198" t="s">
        <v>5151</v>
      </c>
      <c r="E198" t="s">
        <v>5152</v>
      </c>
      <c r="G198" s="1">
        <v>44853</v>
      </c>
      <c r="H198" s="1"/>
      <c r="I198" t="s">
        <v>5148</v>
      </c>
      <c r="J198" t="s">
        <v>29</v>
      </c>
      <c r="K198" t="s">
        <v>18</v>
      </c>
      <c r="M198" s="5">
        <v>1</v>
      </c>
      <c r="N198" s="1">
        <v>44855</v>
      </c>
      <c r="O198" s="12"/>
    </row>
    <row r="199" spans="1:15" x14ac:dyDescent="0.25">
      <c r="A199" t="s">
        <v>5153</v>
      </c>
      <c r="B199" t="s">
        <v>13</v>
      </c>
      <c r="C199" t="s">
        <v>159</v>
      </c>
      <c r="D199" t="s">
        <v>79</v>
      </c>
      <c r="E199" t="s">
        <v>5154</v>
      </c>
      <c r="G199" s="1">
        <v>44853</v>
      </c>
      <c r="H199" s="1"/>
      <c r="I199" t="s">
        <v>1737</v>
      </c>
      <c r="J199" t="s">
        <v>29</v>
      </c>
      <c r="K199" t="s">
        <v>29</v>
      </c>
      <c r="M199" s="5">
        <v>1</v>
      </c>
      <c r="N199" s="1">
        <v>44880</v>
      </c>
      <c r="O199" s="12"/>
    </row>
    <row r="200" spans="1:15" x14ac:dyDescent="0.25">
      <c r="A200" t="s">
        <v>5155</v>
      </c>
      <c r="B200" t="s">
        <v>704</v>
      </c>
      <c r="C200" t="s">
        <v>4661</v>
      </c>
      <c r="D200" t="s">
        <v>5156</v>
      </c>
      <c r="E200" t="s">
        <v>5157</v>
      </c>
      <c r="G200" s="1">
        <v>44854</v>
      </c>
      <c r="H200" s="1"/>
      <c r="I200" t="s">
        <v>1737</v>
      </c>
      <c r="J200" t="s">
        <v>29</v>
      </c>
      <c r="K200" t="s">
        <v>29</v>
      </c>
      <c r="O200" s="12"/>
    </row>
    <row r="201" spans="1:15" x14ac:dyDescent="0.25">
      <c r="A201" t="s">
        <v>5158</v>
      </c>
      <c r="B201" t="s">
        <v>704</v>
      </c>
      <c r="C201" t="s">
        <v>670</v>
      </c>
      <c r="D201" t="s">
        <v>5159</v>
      </c>
      <c r="E201" t="s">
        <v>5160</v>
      </c>
      <c r="G201" s="1">
        <v>44854</v>
      </c>
      <c r="H201" s="1"/>
      <c r="I201" t="s">
        <v>1737</v>
      </c>
      <c r="J201" t="s">
        <v>29</v>
      </c>
      <c r="K201" t="s">
        <v>29</v>
      </c>
      <c r="M201">
        <v>100</v>
      </c>
      <c r="N201" s="1">
        <v>44900</v>
      </c>
      <c r="O201" s="12"/>
    </row>
    <row r="202" spans="1:15" x14ac:dyDescent="0.25">
      <c r="A202" t="s">
        <v>5161</v>
      </c>
      <c r="B202" t="s">
        <v>13</v>
      </c>
      <c r="C202" t="s">
        <v>298</v>
      </c>
      <c r="D202" t="s">
        <v>5162</v>
      </c>
      <c r="E202" t="s">
        <v>5163</v>
      </c>
      <c r="G202" s="1">
        <v>44853</v>
      </c>
      <c r="H202" s="1"/>
      <c r="I202" t="s">
        <v>2952</v>
      </c>
      <c r="J202" t="s">
        <v>29</v>
      </c>
      <c r="K202" t="s">
        <v>29</v>
      </c>
      <c r="O202" s="12"/>
    </row>
    <row r="203" spans="1:15" x14ac:dyDescent="0.25">
      <c r="A203" t="s">
        <v>5164</v>
      </c>
      <c r="B203" t="s">
        <v>704</v>
      </c>
      <c r="C203" t="s">
        <v>4905</v>
      </c>
      <c r="D203" t="s">
        <v>5122</v>
      </c>
      <c r="E203" t="s">
        <v>4906</v>
      </c>
      <c r="G203" s="1">
        <v>44855</v>
      </c>
      <c r="H203" s="1"/>
      <c r="I203" t="s">
        <v>1737</v>
      </c>
      <c r="J203" t="s">
        <v>29</v>
      </c>
      <c r="K203" t="s">
        <v>29</v>
      </c>
      <c r="M203">
        <v>100</v>
      </c>
      <c r="N203" s="1">
        <v>44872</v>
      </c>
      <c r="O203" s="12"/>
    </row>
    <row r="204" spans="1:15" x14ac:dyDescent="0.25">
      <c r="A204" t="s">
        <v>5165</v>
      </c>
      <c r="B204" t="s">
        <v>704</v>
      </c>
      <c r="C204" t="s">
        <v>243</v>
      </c>
      <c r="D204" t="s">
        <v>5166</v>
      </c>
      <c r="E204" t="s">
        <v>5167</v>
      </c>
      <c r="G204" s="1">
        <v>44858</v>
      </c>
      <c r="H204" s="1"/>
      <c r="I204" t="s">
        <v>1737</v>
      </c>
      <c r="J204" t="s">
        <v>29</v>
      </c>
      <c r="K204" t="s">
        <v>29</v>
      </c>
      <c r="M204">
        <v>100</v>
      </c>
      <c r="N204" s="1">
        <v>44872</v>
      </c>
      <c r="O204" s="12"/>
    </row>
    <row r="205" spans="1:15" x14ac:dyDescent="0.25">
      <c r="A205" t="s">
        <v>5168</v>
      </c>
      <c r="B205" t="s">
        <v>704</v>
      </c>
      <c r="C205" t="s">
        <v>243</v>
      </c>
      <c r="D205" t="s">
        <v>5166</v>
      </c>
      <c r="E205" t="s">
        <v>5169</v>
      </c>
      <c r="G205" s="1">
        <v>44858</v>
      </c>
      <c r="H205" s="1"/>
      <c r="I205" t="s">
        <v>1737</v>
      </c>
      <c r="J205" t="s">
        <v>29</v>
      </c>
      <c r="K205" t="s">
        <v>29</v>
      </c>
      <c r="M205">
        <v>100</v>
      </c>
      <c r="N205" s="1">
        <v>44868</v>
      </c>
      <c r="O205" s="12"/>
    </row>
    <row r="206" spans="1:15" x14ac:dyDescent="0.25">
      <c r="A206" t="s">
        <v>5170</v>
      </c>
      <c r="B206" t="s">
        <v>704</v>
      </c>
      <c r="C206" t="s">
        <v>243</v>
      </c>
      <c r="D206" t="s">
        <v>244</v>
      </c>
      <c r="E206" t="s">
        <v>5169</v>
      </c>
      <c r="G206" s="1">
        <v>44873</v>
      </c>
      <c r="H206" s="1"/>
      <c r="I206" t="s">
        <v>1737</v>
      </c>
      <c r="J206" t="s">
        <v>29</v>
      </c>
      <c r="K206" t="s">
        <v>29</v>
      </c>
      <c r="L206" t="s">
        <v>5171</v>
      </c>
      <c r="M206">
        <v>100</v>
      </c>
      <c r="N206" s="1">
        <v>44915</v>
      </c>
      <c r="O206" s="12"/>
    </row>
    <row r="207" spans="1:15" x14ac:dyDescent="0.25">
      <c r="A207" t="s">
        <v>5172</v>
      </c>
      <c r="B207" t="s">
        <v>704</v>
      </c>
      <c r="C207" t="s">
        <v>243</v>
      </c>
      <c r="D207" t="s">
        <v>244</v>
      </c>
      <c r="E207" t="s">
        <v>5169</v>
      </c>
      <c r="G207" s="1">
        <v>44895</v>
      </c>
      <c r="H207" s="1"/>
      <c r="I207" t="s">
        <v>1737</v>
      </c>
      <c r="J207" t="s">
        <v>29</v>
      </c>
      <c r="K207" t="s">
        <v>29</v>
      </c>
      <c r="M207">
        <v>100</v>
      </c>
      <c r="N207" s="1">
        <v>44953</v>
      </c>
      <c r="O207" s="12"/>
    </row>
    <row r="208" spans="1:15" x14ac:dyDescent="0.25">
      <c r="A208" t="s">
        <v>5173</v>
      </c>
      <c r="B208" t="s">
        <v>704</v>
      </c>
      <c r="C208" t="s">
        <v>243</v>
      </c>
      <c r="D208" t="s">
        <v>5166</v>
      </c>
      <c r="E208" t="s">
        <v>1662</v>
      </c>
      <c r="G208" s="1">
        <v>44858</v>
      </c>
      <c r="H208" s="1"/>
      <c r="I208" t="s">
        <v>1737</v>
      </c>
      <c r="J208" t="s">
        <v>29</v>
      </c>
      <c r="K208" t="s">
        <v>29</v>
      </c>
      <c r="M208">
        <v>100</v>
      </c>
      <c r="N208" s="1">
        <v>44900</v>
      </c>
      <c r="O208" s="12"/>
    </row>
    <row r="209" spans="1:15" x14ac:dyDescent="0.25">
      <c r="A209" t="s">
        <v>5174</v>
      </c>
      <c r="B209" t="s">
        <v>704</v>
      </c>
      <c r="C209" t="s">
        <v>5175</v>
      </c>
      <c r="D209" t="s">
        <v>5175</v>
      </c>
      <c r="E209" t="s">
        <v>5176</v>
      </c>
      <c r="G209" s="1">
        <v>44872</v>
      </c>
      <c r="H209" s="1"/>
      <c r="I209" t="s">
        <v>1737</v>
      </c>
      <c r="J209" t="s">
        <v>29</v>
      </c>
      <c r="K209" t="s">
        <v>18</v>
      </c>
      <c r="M209">
        <v>100</v>
      </c>
      <c r="N209" s="1">
        <v>44872</v>
      </c>
      <c r="O209" s="12"/>
    </row>
    <row r="210" spans="1:15" x14ac:dyDescent="0.25">
      <c r="A210" t="s">
        <v>5177</v>
      </c>
      <c r="B210" t="s">
        <v>13</v>
      </c>
      <c r="C210" t="s">
        <v>47</v>
      </c>
      <c r="E210" t="s">
        <v>5178</v>
      </c>
      <c r="F210" t="s">
        <v>5179</v>
      </c>
      <c r="G210" s="1">
        <v>44859</v>
      </c>
      <c r="H210" s="1"/>
      <c r="I210" t="s">
        <v>1737</v>
      </c>
      <c r="J210" t="s">
        <v>29</v>
      </c>
      <c r="M210">
        <v>100</v>
      </c>
      <c r="N210" s="1" t="s">
        <v>5180</v>
      </c>
      <c r="O210" s="12"/>
    </row>
    <row r="211" spans="1:15" x14ac:dyDescent="0.25">
      <c r="A211" t="s">
        <v>5181</v>
      </c>
      <c r="B211" t="s">
        <v>704</v>
      </c>
      <c r="C211" t="s">
        <v>578</v>
      </c>
      <c r="D211" t="s">
        <v>284</v>
      </c>
      <c r="E211" t="s">
        <v>5182</v>
      </c>
      <c r="G211" s="1">
        <v>44860</v>
      </c>
      <c r="H211" s="1"/>
      <c r="I211" t="s">
        <v>2762</v>
      </c>
      <c r="J211" t="s">
        <v>29</v>
      </c>
      <c r="K211" t="s">
        <v>29</v>
      </c>
      <c r="M211">
        <v>100</v>
      </c>
      <c r="N211" s="1">
        <v>44866</v>
      </c>
      <c r="O211" s="12"/>
    </row>
    <row r="212" spans="1:15" x14ac:dyDescent="0.25">
      <c r="A212" t="s">
        <v>5183</v>
      </c>
      <c r="B212" t="s">
        <v>704</v>
      </c>
      <c r="C212" t="s">
        <v>163</v>
      </c>
      <c r="D212" t="s">
        <v>5184</v>
      </c>
      <c r="E212" t="s">
        <v>5185</v>
      </c>
      <c r="G212" s="1">
        <v>44860</v>
      </c>
      <c r="H212" s="1"/>
      <c r="I212" t="s">
        <v>1737</v>
      </c>
      <c r="J212" t="s">
        <v>29</v>
      </c>
      <c r="K212" t="s">
        <v>29</v>
      </c>
      <c r="M212">
        <v>100</v>
      </c>
      <c r="N212" s="1" t="s">
        <v>5186</v>
      </c>
      <c r="O212" s="12"/>
    </row>
    <row r="213" spans="1:15" x14ac:dyDescent="0.25">
      <c r="A213" t="s">
        <v>5187</v>
      </c>
      <c r="B213" t="s">
        <v>704</v>
      </c>
      <c r="C213" t="s">
        <v>5188</v>
      </c>
      <c r="D213" t="s">
        <v>5189</v>
      </c>
      <c r="E213" t="s">
        <v>5190</v>
      </c>
      <c r="G213" s="1">
        <v>44860</v>
      </c>
      <c r="H213" s="1"/>
      <c r="I213" t="s">
        <v>1737</v>
      </c>
      <c r="J213" t="s">
        <v>29</v>
      </c>
      <c r="K213" t="s">
        <v>29</v>
      </c>
      <c r="M213">
        <v>100</v>
      </c>
      <c r="N213" s="1">
        <v>44901</v>
      </c>
      <c r="O213" s="12"/>
    </row>
    <row r="214" spans="1:15" x14ac:dyDescent="0.25">
      <c r="A214" t="s">
        <v>5191</v>
      </c>
      <c r="B214" t="s">
        <v>704</v>
      </c>
      <c r="C214" t="s">
        <v>253</v>
      </c>
      <c r="D214" t="s">
        <v>5192</v>
      </c>
      <c r="E214" t="s">
        <v>5193</v>
      </c>
      <c r="G214" s="1">
        <v>44860</v>
      </c>
      <c r="H214" s="1"/>
      <c r="I214" t="s">
        <v>1737</v>
      </c>
      <c r="J214" t="s">
        <v>29</v>
      </c>
      <c r="K214" t="s">
        <v>29</v>
      </c>
      <c r="M214">
        <v>100</v>
      </c>
      <c r="N214" s="1">
        <v>44865</v>
      </c>
      <c r="O214" s="12"/>
    </row>
    <row r="215" spans="1:15" x14ac:dyDescent="0.25">
      <c r="A215" t="s">
        <v>5194</v>
      </c>
      <c r="B215" t="s">
        <v>704</v>
      </c>
      <c r="C215" t="s">
        <v>163</v>
      </c>
      <c r="D215" t="s">
        <v>5184</v>
      </c>
      <c r="E215" t="s">
        <v>5195</v>
      </c>
      <c r="G215" s="1">
        <v>44862</v>
      </c>
      <c r="H215" s="1"/>
      <c r="I215" t="s">
        <v>1737</v>
      </c>
      <c r="J215" t="s">
        <v>29</v>
      </c>
      <c r="K215" t="s">
        <v>29</v>
      </c>
      <c r="M215">
        <v>100</v>
      </c>
      <c r="N215" s="1">
        <v>44910</v>
      </c>
      <c r="O215" s="12"/>
    </row>
    <row r="216" spans="1:15" x14ac:dyDescent="0.25">
      <c r="A216" t="s">
        <v>5196</v>
      </c>
      <c r="B216" t="s">
        <v>704</v>
      </c>
      <c r="C216" t="s">
        <v>163</v>
      </c>
      <c r="D216" t="s">
        <v>5184</v>
      </c>
      <c r="E216" t="s">
        <v>5197</v>
      </c>
      <c r="G216" s="1">
        <v>44862</v>
      </c>
      <c r="H216" s="1"/>
      <c r="I216" t="s">
        <v>1737</v>
      </c>
      <c r="J216" t="s">
        <v>29</v>
      </c>
      <c r="K216" t="s">
        <v>29</v>
      </c>
      <c r="M216">
        <v>100</v>
      </c>
      <c r="N216" s="1">
        <v>44910</v>
      </c>
      <c r="O216" s="12"/>
    </row>
    <row r="217" spans="1:15" x14ac:dyDescent="0.25">
      <c r="A217" t="s">
        <v>5198</v>
      </c>
      <c r="B217" t="s">
        <v>704</v>
      </c>
      <c r="C217" t="s">
        <v>4698</v>
      </c>
      <c r="D217" t="s">
        <v>284</v>
      </c>
      <c r="E217" t="s">
        <v>5199</v>
      </c>
      <c r="G217" s="1">
        <v>44866</v>
      </c>
      <c r="H217" s="1"/>
      <c r="I217" t="s">
        <v>1737</v>
      </c>
      <c r="J217" t="s">
        <v>29</v>
      </c>
      <c r="K217" t="s">
        <v>29</v>
      </c>
      <c r="M217">
        <v>100</v>
      </c>
      <c r="N217" s="1">
        <v>44887</v>
      </c>
      <c r="O217" s="12"/>
    </row>
    <row r="218" spans="1:15" x14ac:dyDescent="0.25">
      <c r="A218" t="s">
        <v>5200</v>
      </c>
      <c r="B218" t="s">
        <v>704</v>
      </c>
      <c r="C218" t="s">
        <v>243</v>
      </c>
      <c r="D218" t="s">
        <v>244</v>
      </c>
      <c r="E218" t="s">
        <v>5201</v>
      </c>
      <c r="G218" s="1">
        <v>44867</v>
      </c>
      <c r="H218" s="1"/>
      <c r="I218" t="s">
        <v>1737</v>
      </c>
      <c r="J218" t="s">
        <v>29</v>
      </c>
      <c r="K218" t="s">
        <v>29</v>
      </c>
      <c r="M218">
        <v>100</v>
      </c>
      <c r="N218" s="1">
        <v>44917</v>
      </c>
      <c r="O218" s="12"/>
    </row>
    <row r="219" spans="1:15" x14ac:dyDescent="0.25">
      <c r="A219" t="s">
        <v>5202</v>
      </c>
      <c r="B219" t="s">
        <v>704</v>
      </c>
      <c r="C219" t="s">
        <v>243</v>
      </c>
      <c r="D219" t="s">
        <v>244</v>
      </c>
      <c r="E219" t="s">
        <v>5203</v>
      </c>
      <c r="G219" s="1">
        <v>44868</v>
      </c>
      <c r="H219" s="1"/>
      <c r="I219" t="s">
        <v>1737</v>
      </c>
      <c r="J219" t="s">
        <v>29</v>
      </c>
      <c r="K219" t="s">
        <v>29</v>
      </c>
      <c r="M219">
        <v>100</v>
      </c>
      <c r="N219" s="1">
        <v>44872</v>
      </c>
      <c r="O219" s="12"/>
    </row>
    <row r="220" spans="1:15" x14ac:dyDescent="0.25">
      <c r="A220" t="s">
        <v>5204</v>
      </c>
      <c r="B220" t="s">
        <v>704</v>
      </c>
      <c r="C220" t="s">
        <v>5205</v>
      </c>
      <c r="D220" t="s">
        <v>552</v>
      </c>
      <c r="E220" t="s">
        <v>5206</v>
      </c>
      <c r="G220" s="1">
        <v>44868</v>
      </c>
      <c r="H220" s="1"/>
      <c r="I220" t="s">
        <v>1737</v>
      </c>
      <c r="J220" t="s">
        <v>29</v>
      </c>
      <c r="K220" t="s">
        <v>29</v>
      </c>
      <c r="M220">
        <v>100</v>
      </c>
      <c r="N220" s="1">
        <v>44897</v>
      </c>
      <c r="O220" s="12"/>
    </row>
    <row r="221" spans="1:15" x14ac:dyDescent="0.25">
      <c r="A221" t="s">
        <v>5207</v>
      </c>
      <c r="B221" t="s">
        <v>704</v>
      </c>
      <c r="C221" t="s">
        <v>5208</v>
      </c>
      <c r="D221" t="s">
        <v>5209</v>
      </c>
      <c r="E221" t="s">
        <v>4668</v>
      </c>
      <c r="G221" s="1">
        <v>44869</v>
      </c>
      <c r="H221" s="1"/>
      <c r="I221" t="s">
        <v>1737</v>
      </c>
      <c r="J221" t="s">
        <v>29</v>
      </c>
      <c r="K221" t="s">
        <v>29</v>
      </c>
      <c r="M221">
        <v>100</v>
      </c>
      <c r="N221" s="1">
        <v>44911</v>
      </c>
      <c r="O221" s="12"/>
    </row>
    <row r="222" spans="1:15" x14ac:dyDescent="0.25">
      <c r="A222" t="s">
        <v>5210</v>
      </c>
      <c r="B222" t="s">
        <v>704</v>
      </c>
      <c r="C222" t="s">
        <v>4661</v>
      </c>
      <c r="D222" t="s">
        <v>5068</v>
      </c>
      <c r="E222" t="s">
        <v>5211</v>
      </c>
      <c r="G222" s="1">
        <v>44873</v>
      </c>
      <c r="H222" s="1"/>
      <c r="I222" t="s">
        <v>1737</v>
      </c>
      <c r="J222" t="s">
        <v>29</v>
      </c>
      <c r="K222" t="s">
        <v>29</v>
      </c>
      <c r="M222">
        <v>100</v>
      </c>
      <c r="N222" s="1">
        <v>44879</v>
      </c>
      <c r="O222" s="12" t="s">
        <v>5212</v>
      </c>
    </row>
    <row r="223" spans="1:15" x14ac:dyDescent="0.25">
      <c r="A223" t="s">
        <v>5213</v>
      </c>
      <c r="B223" t="s">
        <v>704</v>
      </c>
      <c r="C223" t="s">
        <v>670</v>
      </c>
      <c r="D223" t="s">
        <v>5214</v>
      </c>
      <c r="E223" t="s">
        <v>5215</v>
      </c>
      <c r="G223" s="1">
        <v>44876</v>
      </c>
      <c r="H223" s="1"/>
      <c r="I223" t="s">
        <v>1737</v>
      </c>
      <c r="J223" t="s">
        <v>29</v>
      </c>
      <c r="K223" t="s">
        <v>29</v>
      </c>
      <c r="M223">
        <v>100</v>
      </c>
      <c r="N223" s="1">
        <v>44901</v>
      </c>
      <c r="O223" s="12"/>
    </row>
    <row r="224" spans="1:15" x14ac:dyDescent="0.25">
      <c r="A224" t="s">
        <v>5216</v>
      </c>
      <c r="B224" t="s">
        <v>704</v>
      </c>
      <c r="C224" t="s">
        <v>4661</v>
      </c>
      <c r="D224" t="s">
        <v>5106</v>
      </c>
      <c r="E224" t="s">
        <v>5217</v>
      </c>
      <c r="G224" s="1">
        <v>44876</v>
      </c>
      <c r="H224" s="1"/>
      <c r="I224" t="s">
        <v>5148</v>
      </c>
      <c r="J224" t="s">
        <v>29</v>
      </c>
      <c r="K224" t="s">
        <v>29</v>
      </c>
      <c r="M224">
        <v>100</v>
      </c>
      <c r="N224" s="1">
        <v>44879</v>
      </c>
      <c r="O224" s="12" t="s">
        <v>2272</v>
      </c>
    </row>
    <row r="225" spans="1:15" x14ac:dyDescent="0.25">
      <c r="A225" t="s">
        <v>3061</v>
      </c>
      <c r="B225" t="s">
        <v>704</v>
      </c>
      <c r="C225" t="s">
        <v>4661</v>
      </c>
      <c r="D225" t="s">
        <v>397</v>
      </c>
      <c r="E225" t="s">
        <v>5218</v>
      </c>
      <c r="G225" s="1">
        <v>44876</v>
      </c>
      <c r="H225" s="1"/>
      <c r="I225" t="s">
        <v>2762</v>
      </c>
      <c r="J225" t="s">
        <v>29</v>
      </c>
      <c r="K225" t="s">
        <v>29</v>
      </c>
      <c r="L225" t="s">
        <v>5219</v>
      </c>
      <c r="O225" s="12"/>
    </row>
    <row r="226" spans="1:15" x14ac:dyDescent="0.25">
      <c r="A226" t="s">
        <v>5220</v>
      </c>
      <c r="B226" t="s">
        <v>704</v>
      </c>
      <c r="C226" t="s">
        <v>4661</v>
      </c>
      <c r="D226" t="s">
        <v>5221</v>
      </c>
      <c r="E226" t="s">
        <v>5222</v>
      </c>
      <c r="G226" s="1">
        <v>44876</v>
      </c>
      <c r="H226" s="1"/>
      <c r="I226" t="s">
        <v>1737</v>
      </c>
      <c r="J226" t="s">
        <v>29</v>
      </c>
      <c r="K226" t="s">
        <v>29</v>
      </c>
      <c r="M226">
        <v>100</v>
      </c>
      <c r="N226" s="1">
        <v>44886</v>
      </c>
      <c r="O226" s="12"/>
    </row>
    <row r="227" spans="1:15" x14ac:dyDescent="0.25">
      <c r="A227" t="s">
        <v>5223</v>
      </c>
      <c r="B227" t="s">
        <v>704</v>
      </c>
      <c r="C227" t="s">
        <v>4661</v>
      </c>
      <c r="D227" t="s">
        <v>5068</v>
      </c>
      <c r="E227" t="s">
        <v>5224</v>
      </c>
      <c r="G227" s="1">
        <v>44876</v>
      </c>
      <c r="H227" s="1"/>
      <c r="I227" t="s">
        <v>1737</v>
      </c>
      <c r="J227" t="s">
        <v>29</v>
      </c>
      <c r="K227" t="s">
        <v>29</v>
      </c>
      <c r="M227">
        <v>100</v>
      </c>
      <c r="N227" s="1">
        <v>44886</v>
      </c>
      <c r="O227" s="12"/>
    </row>
    <row r="228" spans="1:15" x14ac:dyDescent="0.25">
      <c r="A228" t="s">
        <v>5225</v>
      </c>
      <c r="B228" t="s">
        <v>704</v>
      </c>
      <c r="C228" t="s">
        <v>4651</v>
      </c>
      <c r="D228" t="s">
        <v>1017</v>
      </c>
      <c r="E228" t="s">
        <v>5226</v>
      </c>
      <c r="G228" s="1">
        <v>44876</v>
      </c>
      <c r="H228" s="1"/>
      <c r="I228" t="s">
        <v>1737</v>
      </c>
      <c r="J228" t="s">
        <v>29</v>
      </c>
      <c r="K228" t="s">
        <v>18</v>
      </c>
      <c r="M228">
        <v>100</v>
      </c>
      <c r="N228" s="1">
        <v>44876</v>
      </c>
      <c r="O228" s="12" t="s">
        <v>5227</v>
      </c>
    </row>
    <row r="229" spans="1:15" x14ac:dyDescent="0.25">
      <c r="A229" t="s">
        <v>5228</v>
      </c>
      <c r="B229" t="s">
        <v>704</v>
      </c>
      <c r="C229" t="s">
        <v>4661</v>
      </c>
      <c r="D229" t="s">
        <v>5068</v>
      </c>
      <c r="E229" t="s">
        <v>5229</v>
      </c>
      <c r="G229" s="1">
        <v>44879</v>
      </c>
      <c r="H229" s="1"/>
      <c r="I229" t="s">
        <v>1737</v>
      </c>
      <c r="J229" t="s">
        <v>29</v>
      </c>
      <c r="K229" t="s">
        <v>29</v>
      </c>
      <c r="O229" s="12"/>
    </row>
    <row r="230" spans="1:15" x14ac:dyDescent="0.25">
      <c r="A230" t="s">
        <v>5230</v>
      </c>
      <c r="B230" t="s">
        <v>704</v>
      </c>
      <c r="C230" t="s">
        <v>243</v>
      </c>
      <c r="D230" t="s">
        <v>4971</v>
      </c>
      <c r="E230" t="s">
        <v>5231</v>
      </c>
      <c r="G230" s="1">
        <v>44880</v>
      </c>
      <c r="H230" s="1"/>
      <c r="I230" t="s">
        <v>1737</v>
      </c>
      <c r="J230" t="s">
        <v>29</v>
      </c>
      <c r="K230" t="s">
        <v>29</v>
      </c>
      <c r="M230">
        <v>100</v>
      </c>
      <c r="N230" s="1">
        <v>44966</v>
      </c>
      <c r="O230" s="12"/>
    </row>
    <row r="231" spans="1:15" x14ac:dyDescent="0.25">
      <c r="A231" t="s">
        <v>5232</v>
      </c>
      <c r="B231" t="s">
        <v>704</v>
      </c>
      <c r="C231" t="s">
        <v>5049</v>
      </c>
      <c r="D231" t="s">
        <v>5050</v>
      </c>
      <c r="E231" t="s">
        <v>5233</v>
      </c>
      <c r="G231" s="1">
        <v>44880</v>
      </c>
      <c r="H231" s="1"/>
      <c r="I231" t="s">
        <v>1737</v>
      </c>
      <c r="J231" t="s">
        <v>29</v>
      </c>
      <c r="K231" t="s">
        <v>29</v>
      </c>
      <c r="M231">
        <v>100</v>
      </c>
      <c r="N231" s="1">
        <v>44938</v>
      </c>
      <c r="O231" s="12"/>
    </row>
    <row r="232" spans="1:15" x14ac:dyDescent="0.25">
      <c r="A232" t="s">
        <v>5234</v>
      </c>
      <c r="B232" t="s">
        <v>714</v>
      </c>
      <c r="C232" t="s">
        <v>411</v>
      </c>
      <c r="D232" t="s">
        <v>817</v>
      </c>
      <c r="E232" t="s">
        <v>5235</v>
      </c>
      <c r="G232" s="1">
        <v>44880</v>
      </c>
      <c r="H232" s="1"/>
      <c r="I232" t="s">
        <v>1737</v>
      </c>
      <c r="J232" t="s">
        <v>29</v>
      </c>
      <c r="K232" t="s">
        <v>29</v>
      </c>
      <c r="M232">
        <v>100</v>
      </c>
      <c r="N232" s="1">
        <v>44917</v>
      </c>
      <c r="O232" s="12"/>
    </row>
    <row r="233" spans="1:15" x14ac:dyDescent="0.25">
      <c r="A233" t="s">
        <v>5236</v>
      </c>
      <c r="B233" t="s">
        <v>704</v>
      </c>
      <c r="C233" t="s">
        <v>5205</v>
      </c>
      <c r="D233" t="s">
        <v>5237</v>
      </c>
      <c r="E233" t="s">
        <v>5238</v>
      </c>
      <c r="G233" s="1">
        <v>44882</v>
      </c>
      <c r="H233" s="1"/>
      <c r="I233" t="s">
        <v>1737</v>
      </c>
      <c r="J233" t="s">
        <v>29</v>
      </c>
      <c r="K233" t="s">
        <v>29</v>
      </c>
      <c r="M233">
        <v>100</v>
      </c>
      <c r="N233" s="1">
        <v>44897</v>
      </c>
      <c r="O233" s="12"/>
    </row>
    <row r="234" spans="1:15" x14ac:dyDescent="0.25">
      <c r="A234" t="s">
        <v>5239</v>
      </c>
      <c r="B234" t="s">
        <v>704</v>
      </c>
      <c r="C234" t="s">
        <v>670</v>
      </c>
      <c r="D234" t="s">
        <v>5159</v>
      </c>
      <c r="E234" t="s">
        <v>4809</v>
      </c>
      <c r="G234" s="1">
        <v>44882</v>
      </c>
      <c r="H234" s="1"/>
      <c r="I234" t="s">
        <v>1737</v>
      </c>
      <c r="J234" t="s">
        <v>29</v>
      </c>
      <c r="K234" t="s">
        <v>29</v>
      </c>
      <c r="M234">
        <v>100</v>
      </c>
      <c r="N234" s="1">
        <v>44911</v>
      </c>
      <c r="O234" s="12"/>
    </row>
    <row r="235" spans="1:15" x14ac:dyDescent="0.25">
      <c r="A235" t="s">
        <v>5240</v>
      </c>
      <c r="B235" t="s">
        <v>704</v>
      </c>
      <c r="C235" t="s">
        <v>4661</v>
      </c>
      <c r="D235" t="s">
        <v>5068</v>
      </c>
      <c r="E235" t="s">
        <v>5241</v>
      </c>
      <c r="G235" s="1">
        <v>44887</v>
      </c>
      <c r="H235" s="1"/>
      <c r="I235" t="s">
        <v>1737</v>
      </c>
      <c r="J235" t="s">
        <v>29</v>
      </c>
      <c r="K235" t="s">
        <v>29</v>
      </c>
      <c r="M235">
        <v>100</v>
      </c>
      <c r="N235" s="1">
        <v>44893</v>
      </c>
      <c r="O235" s="12"/>
    </row>
    <row r="236" spans="1:15" x14ac:dyDescent="0.25">
      <c r="A236" t="s">
        <v>5242</v>
      </c>
      <c r="B236" t="s">
        <v>704</v>
      </c>
      <c r="C236" t="s">
        <v>4661</v>
      </c>
      <c r="D236" t="s">
        <v>5068</v>
      </c>
      <c r="E236" t="s">
        <v>5241</v>
      </c>
      <c r="G236" s="1">
        <v>44907</v>
      </c>
      <c r="H236" s="1"/>
      <c r="I236" t="s">
        <v>1737</v>
      </c>
      <c r="J236" t="s">
        <v>29</v>
      </c>
      <c r="K236" t="s">
        <v>29</v>
      </c>
      <c r="M236">
        <v>100</v>
      </c>
      <c r="N236" s="1" t="s">
        <v>5243</v>
      </c>
      <c r="O236" s="12"/>
    </row>
    <row r="237" spans="1:15" x14ac:dyDescent="0.25">
      <c r="A237" t="s">
        <v>5244</v>
      </c>
      <c r="B237" t="s">
        <v>704</v>
      </c>
      <c r="C237" t="s">
        <v>163</v>
      </c>
      <c r="D237" t="s">
        <v>723</v>
      </c>
      <c r="E237" t="s">
        <v>5245</v>
      </c>
      <c r="G237" s="1">
        <v>44900</v>
      </c>
      <c r="H237" s="1"/>
      <c r="I237" t="s">
        <v>1737</v>
      </c>
      <c r="J237" t="s">
        <v>29</v>
      </c>
      <c r="K237" t="s">
        <v>29</v>
      </c>
      <c r="M237">
        <v>100</v>
      </c>
      <c r="N237" s="1">
        <v>44903</v>
      </c>
      <c r="O237" s="12"/>
    </row>
    <row r="238" spans="1:15" x14ac:dyDescent="0.25">
      <c r="A238" t="s">
        <v>5246</v>
      </c>
      <c r="B238" t="s">
        <v>13</v>
      </c>
      <c r="C238" t="s">
        <v>4902</v>
      </c>
      <c r="D238" t="s">
        <v>1580</v>
      </c>
      <c r="E238" t="s">
        <v>5247</v>
      </c>
      <c r="G238" s="1">
        <v>44880</v>
      </c>
      <c r="H238" s="1"/>
      <c r="I238" t="s">
        <v>1737</v>
      </c>
      <c r="J238" t="s">
        <v>29</v>
      </c>
      <c r="K238" t="s">
        <v>29</v>
      </c>
      <c r="M238">
        <v>100</v>
      </c>
      <c r="N238" s="1">
        <v>45015</v>
      </c>
      <c r="O238" s="12"/>
    </row>
    <row r="239" spans="1:15" x14ac:dyDescent="0.25">
      <c r="A239" t="s">
        <v>5248</v>
      </c>
      <c r="B239" t="s">
        <v>13</v>
      </c>
      <c r="C239" t="s">
        <v>55</v>
      </c>
      <c r="D239" t="s">
        <v>150</v>
      </c>
      <c r="E239" t="s">
        <v>5249</v>
      </c>
      <c r="G239" s="1">
        <v>44880</v>
      </c>
      <c r="H239" s="1"/>
      <c r="I239" t="s">
        <v>1737</v>
      </c>
      <c r="J239" t="s">
        <v>29</v>
      </c>
      <c r="K239" t="s">
        <v>29</v>
      </c>
      <c r="M239">
        <v>100</v>
      </c>
      <c r="N239" s="1">
        <v>45071</v>
      </c>
      <c r="O239" s="12"/>
    </row>
    <row r="240" spans="1:15" x14ac:dyDescent="0.25">
      <c r="A240" t="s">
        <v>5250</v>
      </c>
      <c r="B240" t="s">
        <v>704</v>
      </c>
      <c r="C240" t="s">
        <v>4661</v>
      </c>
      <c r="D240" t="s">
        <v>5156</v>
      </c>
      <c r="E240" t="s">
        <v>5251</v>
      </c>
      <c r="G240" s="1">
        <v>44901</v>
      </c>
      <c r="H240" s="1"/>
      <c r="I240" t="s">
        <v>1737</v>
      </c>
      <c r="J240" t="s">
        <v>29</v>
      </c>
      <c r="K240" t="s">
        <v>29</v>
      </c>
      <c r="M240">
        <v>100</v>
      </c>
      <c r="N240" s="1">
        <v>44935</v>
      </c>
      <c r="O240" s="12"/>
    </row>
    <row r="241" spans="1:15" x14ac:dyDescent="0.25">
      <c r="A241" t="s">
        <v>5252</v>
      </c>
      <c r="B241" t="s">
        <v>704</v>
      </c>
      <c r="C241" t="s">
        <v>670</v>
      </c>
      <c r="D241" t="s">
        <v>671</v>
      </c>
      <c r="E241" t="s">
        <v>5253</v>
      </c>
      <c r="G241" s="1">
        <v>44904</v>
      </c>
      <c r="H241" s="1"/>
      <c r="I241" t="s">
        <v>1737</v>
      </c>
      <c r="J241" t="s">
        <v>29</v>
      </c>
      <c r="K241" t="s">
        <v>29</v>
      </c>
      <c r="M241">
        <v>100</v>
      </c>
      <c r="N241" s="1">
        <v>45021</v>
      </c>
      <c r="O241" s="12"/>
    </row>
    <row r="242" spans="1:15" x14ac:dyDescent="0.25">
      <c r="A242" t="s">
        <v>5254</v>
      </c>
      <c r="B242" t="s">
        <v>13</v>
      </c>
      <c r="C242" t="s">
        <v>411</v>
      </c>
      <c r="D242" t="s">
        <v>817</v>
      </c>
      <c r="E242" t="s">
        <v>5255</v>
      </c>
      <c r="G242" s="1">
        <v>44904</v>
      </c>
      <c r="H242" s="1"/>
      <c r="I242" t="s">
        <v>1737</v>
      </c>
      <c r="J242" t="s">
        <v>29</v>
      </c>
      <c r="K242" t="s">
        <v>29</v>
      </c>
      <c r="M242">
        <v>100</v>
      </c>
      <c r="N242" s="1">
        <v>44924</v>
      </c>
      <c r="O242" s="12"/>
    </row>
    <row r="243" spans="1:15" x14ac:dyDescent="0.25">
      <c r="A243" t="s">
        <v>5256</v>
      </c>
      <c r="B243" t="s">
        <v>704</v>
      </c>
      <c r="C243" t="s">
        <v>253</v>
      </c>
      <c r="D243" t="s">
        <v>876</v>
      </c>
      <c r="E243" t="s">
        <v>5257</v>
      </c>
      <c r="G243" s="1">
        <v>44908</v>
      </c>
      <c r="H243" s="1"/>
      <c r="I243" t="s">
        <v>1737</v>
      </c>
      <c r="J243" t="s">
        <v>29</v>
      </c>
      <c r="K243" t="s">
        <v>29</v>
      </c>
      <c r="M243">
        <v>100</v>
      </c>
      <c r="N243" s="1">
        <v>44951</v>
      </c>
      <c r="O243" s="12"/>
    </row>
    <row r="244" spans="1:15" x14ac:dyDescent="0.25">
      <c r="A244" t="s">
        <v>5258</v>
      </c>
      <c r="B244" t="s">
        <v>704</v>
      </c>
      <c r="C244" t="s">
        <v>2352</v>
      </c>
      <c r="D244" t="s">
        <v>582</v>
      </c>
      <c r="E244" t="s">
        <v>5259</v>
      </c>
      <c r="G244" s="1">
        <v>44909</v>
      </c>
      <c r="H244" s="1"/>
      <c r="I244" t="s">
        <v>1737</v>
      </c>
      <c r="J244" t="s">
        <v>29</v>
      </c>
      <c r="K244" t="s">
        <v>29</v>
      </c>
      <c r="M244">
        <v>100</v>
      </c>
      <c r="N244" s="1">
        <v>44918</v>
      </c>
      <c r="O244" s="12"/>
    </row>
    <row r="245" spans="1:15" x14ac:dyDescent="0.25">
      <c r="A245" t="s">
        <v>5260</v>
      </c>
      <c r="B245" t="s">
        <v>704</v>
      </c>
      <c r="C245" t="s">
        <v>4661</v>
      </c>
      <c r="D245" t="s">
        <v>5106</v>
      </c>
      <c r="E245" t="s">
        <v>5261</v>
      </c>
      <c r="G245" s="1">
        <v>44909</v>
      </c>
      <c r="H245" s="1"/>
      <c r="I245" t="s">
        <v>1737</v>
      </c>
      <c r="J245" t="s">
        <v>29</v>
      </c>
      <c r="K245" t="s">
        <v>29</v>
      </c>
      <c r="M245">
        <v>100</v>
      </c>
      <c r="N245" s="1">
        <v>44914</v>
      </c>
      <c r="O245" s="12"/>
    </row>
    <row r="246" spans="1:15" x14ac:dyDescent="0.25">
      <c r="A246" t="s">
        <v>5262</v>
      </c>
      <c r="B246" t="s">
        <v>13</v>
      </c>
      <c r="C246" t="s">
        <v>122</v>
      </c>
      <c r="D246" t="s">
        <v>5263</v>
      </c>
      <c r="E246" t="s">
        <v>5264</v>
      </c>
      <c r="G246" s="1">
        <v>44910</v>
      </c>
      <c r="H246" s="1"/>
      <c r="I246" t="s">
        <v>2762</v>
      </c>
      <c r="J246" t="s">
        <v>29</v>
      </c>
      <c r="K246" t="s">
        <v>18</v>
      </c>
      <c r="N246" s="1" t="s">
        <v>5265</v>
      </c>
      <c r="O246" s="12"/>
    </row>
    <row r="247" spans="1:15" x14ac:dyDescent="0.25">
      <c r="A247" t="s">
        <v>5266</v>
      </c>
      <c r="B247" t="s">
        <v>704</v>
      </c>
      <c r="C247" t="s">
        <v>4661</v>
      </c>
      <c r="D247" t="s">
        <v>5106</v>
      </c>
      <c r="E247" t="s">
        <v>5267</v>
      </c>
      <c r="G247" s="1">
        <v>44910</v>
      </c>
      <c r="H247" s="1"/>
      <c r="I247" t="s">
        <v>1737</v>
      </c>
      <c r="J247" t="s">
        <v>29</v>
      </c>
      <c r="K247" t="s">
        <v>29</v>
      </c>
      <c r="M247">
        <v>100</v>
      </c>
      <c r="N247" s="1">
        <v>44942</v>
      </c>
      <c r="O247" s="12"/>
    </row>
    <row r="248" spans="1:15" x14ac:dyDescent="0.25">
      <c r="A248" t="s">
        <v>5268</v>
      </c>
      <c r="B248" t="s">
        <v>3774</v>
      </c>
      <c r="C248" t="s">
        <v>253</v>
      </c>
      <c r="D248" t="s">
        <v>254</v>
      </c>
      <c r="E248" t="s">
        <v>5269</v>
      </c>
      <c r="G248" s="1">
        <v>44911</v>
      </c>
      <c r="H248" s="1"/>
      <c r="I248" t="s">
        <v>1737</v>
      </c>
      <c r="J248" t="s">
        <v>29</v>
      </c>
      <c r="M248">
        <v>100</v>
      </c>
      <c r="N248" s="1">
        <v>44925</v>
      </c>
      <c r="O248" s="12"/>
    </row>
    <row r="249" spans="1:15" x14ac:dyDescent="0.25">
      <c r="A249" t="s">
        <v>5270</v>
      </c>
      <c r="B249" t="s">
        <v>704</v>
      </c>
      <c r="C249" t="s">
        <v>4661</v>
      </c>
      <c r="D249" t="s">
        <v>1563</v>
      </c>
      <c r="E249" t="s">
        <v>5229</v>
      </c>
      <c r="G249" s="1">
        <v>44911</v>
      </c>
      <c r="H249" s="1"/>
      <c r="I249" t="s">
        <v>1737</v>
      </c>
      <c r="J249" t="s">
        <v>29</v>
      </c>
      <c r="K249" t="s">
        <v>29</v>
      </c>
      <c r="M249">
        <v>100</v>
      </c>
      <c r="N249" s="1">
        <v>44922</v>
      </c>
      <c r="O249" s="12"/>
    </row>
    <row r="250" spans="1:15" x14ac:dyDescent="0.25">
      <c r="A250" t="s">
        <v>5271</v>
      </c>
      <c r="B250" t="s">
        <v>704</v>
      </c>
      <c r="C250" t="s">
        <v>670</v>
      </c>
      <c r="D250" t="s">
        <v>671</v>
      </c>
      <c r="E250" t="s">
        <v>5272</v>
      </c>
      <c r="G250" s="1">
        <v>44914</v>
      </c>
      <c r="H250" s="1"/>
      <c r="I250" t="s">
        <v>1737</v>
      </c>
      <c r="J250" t="s">
        <v>29</v>
      </c>
      <c r="K250" t="s">
        <v>29</v>
      </c>
      <c r="M250">
        <v>100</v>
      </c>
      <c r="N250" s="1" t="s">
        <v>5273</v>
      </c>
      <c r="O250" s="12"/>
    </row>
    <row r="251" spans="1:15" x14ac:dyDescent="0.25">
      <c r="A251" t="s">
        <v>5274</v>
      </c>
      <c r="B251" t="s">
        <v>704</v>
      </c>
      <c r="C251" t="s">
        <v>4661</v>
      </c>
      <c r="D251" t="s">
        <v>1563</v>
      </c>
      <c r="E251" t="s">
        <v>5275</v>
      </c>
      <c r="G251" s="1">
        <v>44916</v>
      </c>
      <c r="H251" s="1"/>
      <c r="I251" t="s">
        <v>1737</v>
      </c>
      <c r="J251" t="s">
        <v>29</v>
      </c>
      <c r="K251" t="s">
        <v>29</v>
      </c>
      <c r="M251">
        <v>100</v>
      </c>
      <c r="N251" s="1">
        <v>44925</v>
      </c>
      <c r="O251" s="12"/>
    </row>
    <row r="252" spans="1:15" x14ac:dyDescent="0.25">
      <c r="A252" t="s">
        <v>5276</v>
      </c>
      <c r="B252" t="s">
        <v>3774</v>
      </c>
      <c r="C252" t="s">
        <v>4661</v>
      </c>
      <c r="D252" t="s">
        <v>5277</v>
      </c>
      <c r="E252" t="s">
        <v>5278</v>
      </c>
      <c r="G252" s="1">
        <v>44922</v>
      </c>
      <c r="H252" s="1"/>
      <c r="I252" t="s">
        <v>2762</v>
      </c>
      <c r="J252" t="s">
        <v>29</v>
      </c>
      <c r="O252" s="12"/>
    </row>
    <row r="253" spans="1:15" x14ac:dyDescent="0.25">
      <c r="A253" t="s">
        <v>5279</v>
      </c>
      <c r="B253" t="s">
        <v>704</v>
      </c>
      <c r="C253" t="s">
        <v>5280</v>
      </c>
      <c r="D253" t="s">
        <v>5281</v>
      </c>
      <c r="E253" t="s">
        <v>5282</v>
      </c>
      <c r="G253" s="1">
        <v>44924</v>
      </c>
      <c r="H253" s="1"/>
      <c r="I253" t="s">
        <v>1737</v>
      </c>
      <c r="J253" t="s">
        <v>29</v>
      </c>
      <c r="K253" t="s">
        <v>29</v>
      </c>
      <c r="M253">
        <v>100</v>
      </c>
      <c r="N253" s="1">
        <v>44932</v>
      </c>
      <c r="O253" s="12"/>
    </row>
    <row r="254" spans="1:15" x14ac:dyDescent="0.25">
      <c r="A254" t="s">
        <v>5283</v>
      </c>
      <c r="B254" t="s">
        <v>621</v>
      </c>
      <c r="C254" t="s">
        <v>5284</v>
      </c>
      <c r="D254" s="11" t="s">
        <v>5285</v>
      </c>
      <c r="E254" t="s">
        <v>5286</v>
      </c>
      <c r="G254" s="1">
        <v>44914</v>
      </c>
      <c r="H254" s="1"/>
      <c r="I254" t="s">
        <v>1737</v>
      </c>
      <c r="J254" t="s">
        <v>29</v>
      </c>
      <c r="M254">
        <v>100</v>
      </c>
      <c r="N254" s="1">
        <v>44932</v>
      </c>
      <c r="O254" s="12"/>
    </row>
    <row r="255" spans="1:15" x14ac:dyDescent="0.25">
      <c r="A255" t="s">
        <v>5287</v>
      </c>
      <c r="B255" t="s">
        <v>704</v>
      </c>
      <c r="C255" t="s">
        <v>70</v>
      </c>
      <c r="D255" t="s">
        <v>5288</v>
      </c>
      <c r="E255" t="s">
        <v>5289</v>
      </c>
      <c r="G255" s="1">
        <v>44929</v>
      </c>
      <c r="H255" s="1"/>
      <c r="I255" t="s">
        <v>1737</v>
      </c>
      <c r="J255" t="s">
        <v>29</v>
      </c>
      <c r="K255" t="s">
        <v>29</v>
      </c>
      <c r="M255">
        <v>100</v>
      </c>
      <c r="N255" s="1">
        <v>44939</v>
      </c>
      <c r="O255" s="12"/>
    </row>
    <row r="256" spans="1:15" x14ac:dyDescent="0.25">
      <c r="A256" t="s">
        <v>5290</v>
      </c>
      <c r="B256" t="s">
        <v>704</v>
      </c>
      <c r="C256" t="s">
        <v>4661</v>
      </c>
      <c r="D256" t="s">
        <v>1563</v>
      </c>
      <c r="E256" t="s">
        <v>5291</v>
      </c>
      <c r="G256" s="1">
        <v>44931</v>
      </c>
      <c r="H256" s="1"/>
      <c r="I256" t="s">
        <v>1737</v>
      </c>
      <c r="J256" t="s">
        <v>29</v>
      </c>
      <c r="K256" t="s">
        <v>29</v>
      </c>
      <c r="M256">
        <v>100</v>
      </c>
      <c r="N256" s="1" t="s">
        <v>5292</v>
      </c>
      <c r="O256" s="12" t="s">
        <v>5293</v>
      </c>
    </row>
    <row r="257" spans="1:15" x14ac:dyDescent="0.25">
      <c r="A257" t="s">
        <v>5294</v>
      </c>
      <c r="B257" t="s">
        <v>704</v>
      </c>
      <c r="C257" t="s">
        <v>243</v>
      </c>
      <c r="D257" t="s">
        <v>5166</v>
      </c>
      <c r="E257" t="s">
        <v>5295</v>
      </c>
      <c r="G257" s="1">
        <v>44932</v>
      </c>
      <c r="H257" s="1"/>
      <c r="I257" t="s">
        <v>1737</v>
      </c>
      <c r="J257" t="s">
        <v>29</v>
      </c>
      <c r="K257" t="s">
        <v>29</v>
      </c>
      <c r="M257" s="7">
        <v>1</v>
      </c>
      <c r="N257" s="1" t="s">
        <v>5296</v>
      </c>
      <c r="O257" s="12" t="s">
        <v>5297</v>
      </c>
    </row>
    <row r="258" spans="1:15" x14ac:dyDescent="0.25">
      <c r="A258" t="s">
        <v>5298</v>
      </c>
      <c r="B258" t="s">
        <v>704</v>
      </c>
      <c r="C258" t="s">
        <v>4661</v>
      </c>
      <c r="D258" t="s">
        <v>1563</v>
      </c>
      <c r="E258" t="s">
        <v>5299</v>
      </c>
      <c r="G258" s="1">
        <v>44932</v>
      </c>
      <c r="H258" s="1"/>
      <c r="I258" t="s">
        <v>1737</v>
      </c>
      <c r="J258" t="s">
        <v>29</v>
      </c>
      <c r="M258">
        <v>100</v>
      </c>
      <c r="N258" s="1">
        <v>44935</v>
      </c>
      <c r="O258" s="12"/>
    </row>
    <row r="259" spans="1:15" x14ac:dyDescent="0.25">
      <c r="A259" t="s">
        <v>5300</v>
      </c>
      <c r="B259" t="s">
        <v>704</v>
      </c>
      <c r="C259" t="s">
        <v>4661</v>
      </c>
      <c r="D259" t="s">
        <v>1563</v>
      </c>
      <c r="E259" t="s">
        <v>5299</v>
      </c>
      <c r="G259" s="1">
        <v>44935</v>
      </c>
      <c r="H259" s="1"/>
      <c r="I259" t="s">
        <v>1737</v>
      </c>
      <c r="J259" t="s">
        <v>29</v>
      </c>
      <c r="M259">
        <v>100</v>
      </c>
      <c r="N259" s="1">
        <v>44966</v>
      </c>
      <c r="O259" s="12"/>
    </row>
    <row r="260" spans="1:15" x14ac:dyDescent="0.25">
      <c r="A260" t="s">
        <v>5301</v>
      </c>
      <c r="B260" t="s">
        <v>704</v>
      </c>
      <c r="C260" t="s">
        <v>4661</v>
      </c>
      <c r="D260" t="s">
        <v>5106</v>
      </c>
      <c r="E260" t="s">
        <v>5302</v>
      </c>
      <c r="G260" s="1">
        <v>44935</v>
      </c>
      <c r="H260" s="1"/>
      <c r="I260" t="s">
        <v>1737</v>
      </c>
      <c r="J260" t="s">
        <v>29</v>
      </c>
      <c r="M260">
        <v>100</v>
      </c>
      <c r="N260" s="1">
        <v>44943</v>
      </c>
      <c r="O260" s="12"/>
    </row>
    <row r="261" spans="1:15" x14ac:dyDescent="0.25">
      <c r="A261" t="s">
        <v>5303</v>
      </c>
      <c r="B261" t="s">
        <v>704</v>
      </c>
      <c r="C261" t="s">
        <v>677</v>
      </c>
      <c r="D261" t="s">
        <v>678</v>
      </c>
      <c r="E261" t="s">
        <v>5304</v>
      </c>
      <c r="G261" s="1">
        <v>44935</v>
      </c>
      <c r="H261" s="1"/>
      <c r="I261" t="s">
        <v>1737</v>
      </c>
      <c r="J261" t="s">
        <v>29</v>
      </c>
      <c r="M261">
        <v>100</v>
      </c>
      <c r="N261" s="1">
        <v>44956</v>
      </c>
      <c r="O261" s="12"/>
    </row>
    <row r="262" spans="1:15" x14ac:dyDescent="0.25">
      <c r="A262" t="s">
        <v>5305</v>
      </c>
      <c r="B262" t="s">
        <v>325</v>
      </c>
      <c r="C262" t="s">
        <v>4661</v>
      </c>
      <c r="E262" t="s">
        <v>5306</v>
      </c>
      <c r="G262" s="1">
        <v>44935</v>
      </c>
      <c r="H262" s="1"/>
      <c r="I262" t="s">
        <v>2762</v>
      </c>
      <c r="J262" t="s">
        <v>29</v>
      </c>
      <c r="L262" t="s">
        <v>5307</v>
      </c>
      <c r="O262" s="12"/>
    </row>
    <row r="263" spans="1:15" x14ac:dyDescent="0.25">
      <c r="A263" t="s">
        <v>5308</v>
      </c>
      <c r="B263" t="s">
        <v>325</v>
      </c>
      <c r="C263" t="s">
        <v>4661</v>
      </c>
      <c r="E263" t="s">
        <v>5309</v>
      </c>
      <c r="G263" s="1">
        <v>44932</v>
      </c>
      <c r="H263" s="1"/>
      <c r="I263" t="s">
        <v>1737</v>
      </c>
      <c r="J263" t="s">
        <v>29</v>
      </c>
      <c r="K263" t="s">
        <v>29</v>
      </c>
      <c r="M263">
        <v>100</v>
      </c>
      <c r="N263" s="1">
        <v>44953</v>
      </c>
      <c r="O263" s="12"/>
    </row>
    <row r="264" spans="1:15" x14ac:dyDescent="0.25">
      <c r="A264" t="s">
        <v>5310</v>
      </c>
      <c r="B264" t="s">
        <v>704</v>
      </c>
      <c r="C264" t="s">
        <v>4661</v>
      </c>
      <c r="D264" t="s">
        <v>1563</v>
      </c>
      <c r="E264" t="s">
        <v>4666</v>
      </c>
      <c r="G264" s="1">
        <v>44935</v>
      </c>
      <c r="H264" s="1"/>
      <c r="I264" t="s">
        <v>1737</v>
      </c>
      <c r="J264" t="s">
        <v>29</v>
      </c>
      <c r="K264" t="s">
        <v>29</v>
      </c>
      <c r="M264">
        <v>100</v>
      </c>
      <c r="N264" s="1">
        <v>44937</v>
      </c>
      <c r="O264" s="12"/>
    </row>
    <row r="265" spans="1:15" x14ac:dyDescent="0.25">
      <c r="A265" t="s">
        <v>5311</v>
      </c>
      <c r="B265" t="s">
        <v>704</v>
      </c>
      <c r="C265" t="s">
        <v>25</v>
      </c>
      <c r="D265" t="s">
        <v>886</v>
      </c>
      <c r="E265" t="s">
        <v>5312</v>
      </c>
      <c r="G265" s="1">
        <v>44937</v>
      </c>
      <c r="H265" s="1"/>
      <c r="I265" t="s">
        <v>1737</v>
      </c>
      <c r="J265" t="s">
        <v>29</v>
      </c>
      <c r="K265" t="s">
        <v>29</v>
      </c>
      <c r="M265">
        <v>100</v>
      </c>
      <c r="N265" s="1">
        <v>44938</v>
      </c>
      <c r="O265" s="12"/>
    </row>
    <row r="266" spans="1:15" x14ac:dyDescent="0.25">
      <c r="A266" t="s">
        <v>5313</v>
      </c>
      <c r="B266" t="s">
        <v>704</v>
      </c>
      <c r="C266" t="s">
        <v>5314</v>
      </c>
      <c r="D266" t="s">
        <v>5315</v>
      </c>
      <c r="E266" t="s">
        <v>5316</v>
      </c>
      <c r="G266" s="1">
        <v>44937</v>
      </c>
      <c r="H266" s="1"/>
      <c r="I266" t="s">
        <v>1737</v>
      </c>
      <c r="J266" t="s">
        <v>29</v>
      </c>
      <c r="K266" t="s">
        <v>29</v>
      </c>
      <c r="O266" s="12"/>
    </row>
    <row r="267" spans="1:15" x14ac:dyDescent="0.25">
      <c r="A267" t="s">
        <v>5317</v>
      </c>
      <c r="B267" t="s">
        <v>714</v>
      </c>
      <c r="C267" t="s">
        <v>4661</v>
      </c>
      <c r="D267" t="s">
        <v>5318</v>
      </c>
      <c r="E267" t="s">
        <v>5319</v>
      </c>
      <c r="G267" s="1">
        <v>44938</v>
      </c>
      <c r="H267" s="1"/>
      <c r="I267" t="s">
        <v>1737</v>
      </c>
      <c r="J267" t="s">
        <v>29</v>
      </c>
      <c r="M267">
        <v>100</v>
      </c>
      <c r="N267" s="1">
        <v>44977</v>
      </c>
      <c r="O267" s="12"/>
    </row>
    <row r="268" spans="1:15" x14ac:dyDescent="0.25">
      <c r="A268" t="s">
        <v>5320</v>
      </c>
      <c r="B268" t="s">
        <v>714</v>
      </c>
      <c r="C268" t="s">
        <v>4661</v>
      </c>
      <c r="D268" t="s">
        <v>475</v>
      </c>
      <c r="E268" t="s">
        <v>5321</v>
      </c>
      <c r="G268" s="1">
        <v>44938</v>
      </c>
      <c r="H268" s="1"/>
      <c r="I268" t="s">
        <v>1737</v>
      </c>
      <c r="J268" t="s">
        <v>29</v>
      </c>
      <c r="M268">
        <v>100</v>
      </c>
      <c r="N268" s="1">
        <v>44942</v>
      </c>
      <c r="O268" s="12"/>
    </row>
    <row r="269" spans="1:15" x14ac:dyDescent="0.25">
      <c r="A269" t="s">
        <v>5322</v>
      </c>
      <c r="B269" t="s">
        <v>704</v>
      </c>
      <c r="C269" t="s">
        <v>4661</v>
      </c>
      <c r="D269" t="s">
        <v>5106</v>
      </c>
      <c r="E269" t="s">
        <v>4786</v>
      </c>
      <c r="G269" s="1">
        <v>44942</v>
      </c>
      <c r="H269" s="1"/>
      <c r="I269" t="s">
        <v>1737</v>
      </c>
      <c r="J269" t="s">
        <v>29</v>
      </c>
      <c r="K269" t="s">
        <v>29</v>
      </c>
      <c r="M269">
        <v>100</v>
      </c>
      <c r="N269" s="1">
        <v>44949</v>
      </c>
      <c r="O269" s="12"/>
    </row>
    <row r="270" spans="1:15" x14ac:dyDescent="0.25">
      <c r="A270" t="s">
        <v>5323</v>
      </c>
      <c r="B270" t="s">
        <v>325</v>
      </c>
      <c r="C270" t="s">
        <v>5284</v>
      </c>
      <c r="D270" t="s">
        <v>5324</v>
      </c>
      <c r="E270" t="s">
        <v>5325</v>
      </c>
      <c r="G270" s="1">
        <v>44942</v>
      </c>
      <c r="H270" s="1"/>
      <c r="I270" t="s">
        <v>1737</v>
      </c>
      <c r="J270" t="s">
        <v>29</v>
      </c>
      <c r="M270">
        <v>100</v>
      </c>
      <c r="N270" s="1">
        <v>44943</v>
      </c>
      <c r="O270" s="12"/>
    </row>
    <row r="271" spans="1:15" x14ac:dyDescent="0.25">
      <c r="A271" t="s">
        <v>5326</v>
      </c>
      <c r="B271" t="s">
        <v>3774</v>
      </c>
      <c r="C271" t="s">
        <v>5284</v>
      </c>
      <c r="D271" t="s">
        <v>5324</v>
      </c>
      <c r="E271" t="s">
        <v>5325</v>
      </c>
      <c r="G271" s="1">
        <v>44951</v>
      </c>
      <c r="H271" s="1"/>
      <c r="I271" t="s">
        <v>1737</v>
      </c>
      <c r="J271" t="s">
        <v>29</v>
      </c>
      <c r="M271">
        <v>100</v>
      </c>
      <c r="N271" s="1">
        <v>44985</v>
      </c>
      <c r="O271" s="12"/>
    </row>
    <row r="272" spans="1:15" x14ac:dyDescent="0.25">
      <c r="A272" t="s">
        <v>5327</v>
      </c>
      <c r="B272" t="s">
        <v>704</v>
      </c>
      <c r="C272" t="s">
        <v>677</v>
      </c>
      <c r="D272" t="s">
        <v>678</v>
      </c>
      <c r="E272" t="s">
        <v>5328</v>
      </c>
      <c r="G272" s="1">
        <v>44943</v>
      </c>
      <c r="H272" s="1"/>
      <c r="I272" t="s">
        <v>1737</v>
      </c>
      <c r="J272" t="s">
        <v>29</v>
      </c>
      <c r="K272" t="s">
        <v>29</v>
      </c>
      <c r="M272">
        <v>100</v>
      </c>
      <c r="N272" s="1">
        <v>44944</v>
      </c>
      <c r="O272" s="12"/>
    </row>
    <row r="273" spans="1:15" x14ac:dyDescent="0.25">
      <c r="A273" t="s">
        <v>5329</v>
      </c>
      <c r="B273" t="s">
        <v>704</v>
      </c>
      <c r="C273" t="s">
        <v>4661</v>
      </c>
      <c r="D273" t="s">
        <v>1563</v>
      </c>
      <c r="E273" t="s">
        <v>5330</v>
      </c>
      <c r="G273" s="1">
        <v>44944</v>
      </c>
      <c r="H273" s="1"/>
      <c r="I273" t="s">
        <v>1737</v>
      </c>
      <c r="J273" t="s">
        <v>29</v>
      </c>
      <c r="K273" t="s">
        <v>29</v>
      </c>
      <c r="M273">
        <v>100</v>
      </c>
      <c r="N273" s="1">
        <v>45132</v>
      </c>
      <c r="O273" s="12"/>
    </row>
    <row r="274" spans="1:15" x14ac:dyDescent="0.25">
      <c r="A274" t="s">
        <v>5331</v>
      </c>
      <c r="B274" t="s">
        <v>704</v>
      </c>
      <c r="C274" t="s">
        <v>4661</v>
      </c>
      <c r="D274" t="s">
        <v>5156</v>
      </c>
      <c r="E274" t="s">
        <v>5332</v>
      </c>
      <c r="G274" s="1">
        <v>44945</v>
      </c>
      <c r="H274" s="1"/>
      <c r="I274" t="s">
        <v>1737</v>
      </c>
      <c r="J274" t="s">
        <v>29</v>
      </c>
      <c r="K274" t="s">
        <v>29</v>
      </c>
      <c r="M274">
        <v>100</v>
      </c>
      <c r="N274" s="1">
        <v>45036</v>
      </c>
      <c r="O274" s="12"/>
    </row>
    <row r="275" spans="1:15" x14ac:dyDescent="0.25">
      <c r="A275" t="s">
        <v>5333</v>
      </c>
      <c r="B275" t="s">
        <v>704</v>
      </c>
      <c r="C275" t="s">
        <v>1625</v>
      </c>
      <c r="D275" t="s">
        <v>259</v>
      </c>
      <c r="E275" t="s">
        <v>5334</v>
      </c>
      <c r="G275" s="1">
        <v>44945</v>
      </c>
      <c r="H275" s="1"/>
      <c r="I275" t="s">
        <v>1737</v>
      </c>
      <c r="J275" t="s">
        <v>29</v>
      </c>
      <c r="K275" t="s">
        <v>29</v>
      </c>
      <c r="M275">
        <v>100</v>
      </c>
      <c r="N275" s="1">
        <v>44952</v>
      </c>
      <c r="O275" s="12"/>
    </row>
    <row r="276" spans="1:15" x14ac:dyDescent="0.25">
      <c r="A276" t="s">
        <v>5335</v>
      </c>
      <c r="B276" t="s">
        <v>704</v>
      </c>
      <c r="C276" t="s">
        <v>4661</v>
      </c>
      <c r="E276" t="s">
        <v>5336</v>
      </c>
      <c r="G276" s="1">
        <v>44945</v>
      </c>
      <c r="H276" s="1"/>
      <c r="I276" t="s">
        <v>1737</v>
      </c>
      <c r="J276" t="s">
        <v>29</v>
      </c>
      <c r="K276" t="s">
        <v>29</v>
      </c>
      <c r="M276">
        <v>100</v>
      </c>
      <c r="N276" s="1">
        <v>44953</v>
      </c>
      <c r="O276" s="12"/>
    </row>
    <row r="277" spans="1:15" x14ac:dyDescent="0.25">
      <c r="A277" t="s">
        <v>5337</v>
      </c>
      <c r="B277" t="s">
        <v>704</v>
      </c>
      <c r="C277" t="s">
        <v>5188</v>
      </c>
      <c r="D277" t="s">
        <v>5338</v>
      </c>
      <c r="E277" t="s">
        <v>5339</v>
      </c>
      <c r="F277" t="s">
        <v>5340</v>
      </c>
      <c r="G277" s="1">
        <v>44945</v>
      </c>
      <c r="H277" s="1"/>
      <c r="I277" t="s">
        <v>2762</v>
      </c>
      <c r="J277" t="s">
        <v>29</v>
      </c>
      <c r="K277" t="s">
        <v>29</v>
      </c>
      <c r="L277" t="s">
        <v>5341</v>
      </c>
      <c r="O277" s="12"/>
    </row>
    <row r="278" spans="1:15" x14ac:dyDescent="0.25">
      <c r="A278" t="s">
        <v>5342</v>
      </c>
      <c r="B278" t="s">
        <v>704</v>
      </c>
      <c r="C278" t="s">
        <v>4698</v>
      </c>
      <c r="D278" t="s">
        <v>5343</v>
      </c>
      <c r="E278" t="s">
        <v>5344</v>
      </c>
      <c r="G278" s="1">
        <v>44946</v>
      </c>
      <c r="H278" s="1"/>
      <c r="I278" t="s">
        <v>1737</v>
      </c>
      <c r="J278" t="s">
        <v>29</v>
      </c>
      <c r="K278" t="s">
        <v>29</v>
      </c>
      <c r="M278">
        <v>100</v>
      </c>
      <c r="N278" s="1">
        <v>44960</v>
      </c>
      <c r="O278" s="12"/>
    </row>
    <row r="279" spans="1:15" x14ac:dyDescent="0.25">
      <c r="A279" t="s">
        <v>5345</v>
      </c>
      <c r="B279" t="s">
        <v>704</v>
      </c>
      <c r="C279" t="s">
        <v>677</v>
      </c>
      <c r="D279" t="s">
        <v>678</v>
      </c>
      <c r="E279" t="s">
        <v>5304</v>
      </c>
      <c r="G279" s="1">
        <v>44946</v>
      </c>
      <c r="H279" s="1"/>
      <c r="I279" t="s">
        <v>1737</v>
      </c>
      <c r="J279" t="s">
        <v>29</v>
      </c>
      <c r="K279" t="s">
        <v>29</v>
      </c>
      <c r="M279">
        <v>100</v>
      </c>
      <c r="N279" s="1">
        <v>44963</v>
      </c>
      <c r="O279" s="12"/>
    </row>
    <row r="280" spans="1:15" x14ac:dyDescent="0.25">
      <c r="A280" t="s">
        <v>5346</v>
      </c>
      <c r="B280" t="s">
        <v>704</v>
      </c>
      <c r="C280" t="s">
        <v>4661</v>
      </c>
      <c r="D280" t="s">
        <v>5156</v>
      </c>
      <c r="E280" t="s">
        <v>5347</v>
      </c>
      <c r="G280" s="1">
        <v>44949</v>
      </c>
      <c r="H280" s="1"/>
      <c r="I280" t="s">
        <v>1737</v>
      </c>
      <c r="J280" t="s">
        <v>29</v>
      </c>
      <c r="K280" t="s">
        <v>29</v>
      </c>
      <c r="M280">
        <v>100</v>
      </c>
      <c r="N280" s="1">
        <v>44972</v>
      </c>
      <c r="O280" s="12"/>
    </row>
    <row r="281" spans="1:15" x14ac:dyDescent="0.25">
      <c r="A281" t="s">
        <v>5348</v>
      </c>
      <c r="B281" t="s">
        <v>704</v>
      </c>
      <c r="C281" t="s">
        <v>670</v>
      </c>
      <c r="E281" t="s">
        <v>5349</v>
      </c>
      <c r="G281" s="1">
        <v>44949</v>
      </c>
      <c r="H281" s="1"/>
      <c r="I281" t="s">
        <v>1737</v>
      </c>
      <c r="J281" t="s">
        <v>29</v>
      </c>
      <c r="K281" t="s">
        <v>29</v>
      </c>
      <c r="M281">
        <v>100</v>
      </c>
      <c r="N281" s="1">
        <v>44953</v>
      </c>
      <c r="O281" s="12" t="s">
        <v>5350</v>
      </c>
    </row>
    <row r="282" spans="1:15" x14ac:dyDescent="0.25">
      <c r="A282" t="s">
        <v>5351</v>
      </c>
      <c r="B282" t="s">
        <v>704</v>
      </c>
      <c r="C282" t="s">
        <v>677</v>
      </c>
      <c r="D282" t="s">
        <v>678</v>
      </c>
      <c r="E282" t="s">
        <v>5352</v>
      </c>
      <c r="G282" s="1">
        <v>44950</v>
      </c>
      <c r="H282" s="1"/>
      <c r="I282" t="s">
        <v>1737</v>
      </c>
      <c r="J282" t="s">
        <v>29</v>
      </c>
      <c r="K282" t="s">
        <v>29</v>
      </c>
      <c r="M282">
        <v>100</v>
      </c>
      <c r="N282" s="1">
        <v>44972</v>
      </c>
      <c r="O282" s="12"/>
    </row>
    <row r="283" spans="1:15" x14ac:dyDescent="0.25">
      <c r="A283" t="s">
        <v>5353</v>
      </c>
      <c r="B283" t="s">
        <v>704</v>
      </c>
      <c r="C283" t="s">
        <v>5049</v>
      </c>
      <c r="D283" t="s">
        <v>5050</v>
      </c>
      <c r="E283" t="s">
        <v>5354</v>
      </c>
      <c r="G283" s="1">
        <v>44950</v>
      </c>
      <c r="H283" s="1"/>
      <c r="I283" t="s">
        <v>1737</v>
      </c>
      <c r="J283" t="s">
        <v>29</v>
      </c>
      <c r="K283" t="s">
        <v>29</v>
      </c>
      <c r="O283" s="12" t="s">
        <v>5355</v>
      </c>
    </row>
    <row r="284" spans="1:15" x14ac:dyDescent="0.25">
      <c r="A284" t="s">
        <v>5356</v>
      </c>
      <c r="B284" t="s">
        <v>704</v>
      </c>
      <c r="C284" t="s">
        <v>670</v>
      </c>
      <c r="D284" t="s">
        <v>671</v>
      </c>
      <c r="E284" t="s">
        <v>5357</v>
      </c>
      <c r="G284" s="1">
        <v>44952</v>
      </c>
      <c r="H284" s="1"/>
      <c r="I284" t="s">
        <v>1737</v>
      </c>
      <c r="J284" t="s">
        <v>29</v>
      </c>
      <c r="K284" t="s">
        <v>29</v>
      </c>
      <c r="O284" s="12">
        <v>4007356</v>
      </c>
    </row>
    <row r="285" spans="1:15" x14ac:dyDescent="0.25">
      <c r="A285" t="s">
        <v>5358</v>
      </c>
      <c r="B285" t="s">
        <v>704</v>
      </c>
      <c r="C285" t="s">
        <v>670</v>
      </c>
      <c r="D285" t="s">
        <v>671</v>
      </c>
      <c r="E285" t="s">
        <v>5359</v>
      </c>
      <c r="G285" s="1">
        <v>44952</v>
      </c>
      <c r="H285" s="1"/>
      <c r="I285" t="s">
        <v>1737</v>
      </c>
      <c r="J285" t="s">
        <v>29</v>
      </c>
      <c r="K285" t="s">
        <v>29</v>
      </c>
      <c r="M285" s="9">
        <v>100</v>
      </c>
      <c r="N285" s="1" t="s">
        <v>5360</v>
      </c>
      <c r="O285" s="12"/>
    </row>
    <row r="286" spans="1:15" x14ac:dyDescent="0.25">
      <c r="A286" t="s">
        <v>5361</v>
      </c>
      <c r="B286" t="s">
        <v>13</v>
      </c>
      <c r="C286" t="s">
        <v>5362</v>
      </c>
      <c r="D286" t="s">
        <v>221</v>
      </c>
      <c r="E286" t="s">
        <v>5363</v>
      </c>
      <c r="G286" s="1">
        <v>44953</v>
      </c>
      <c r="H286" s="1"/>
      <c r="I286" t="s">
        <v>1737</v>
      </c>
      <c r="J286" t="s">
        <v>29</v>
      </c>
      <c r="L286" t="s">
        <v>5364</v>
      </c>
      <c r="M286">
        <v>100</v>
      </c>
      <c r="N286" s="1">
        <v>44963</v>
      </c>
      <c r="O286" s="12"/>
    </row>
    <row r="287" spans="1:15" x14ac:dyDescent="0.25">
      <c r="A287" t="s">
        <v>5365</v>
      </c>
      <c r="B287" t="s">
        <v>704</v>
      </c>
      <c r="C287" t="s">
        <v>677</v>
      </c>
      <c r="D287" t="s">
        <v>678</v>
      </c>
      <c r="E287" t="s">
        <v>5366</v>
      </c>
      <c r="G287" s="1">
        <v>44956</v>
      </c>
      <c r="H287" s="1"/>
      <c r="I287" t="s">
        <v>1737</v>
      </c>
      <c r="J287" t="s">
        <v>29</v>
      </c>
      <c r="K287" t="s">
        <v>29</v>
      </c>
      <c r="M287">
        <v>100</v>
      </c>
      <c r="N287" s="1">
        <v>44963</v>
      </c>
      <c r="O287" s="12"/>
    </row>
    <row r="288" spans="1:15" x14ac:dyDescent="0.25">
      <c r="A288" t="s">
        <v>5367</v>
      </c>
      <c r="B288" t="s">
        <v>374</v>
      </c>
      <c r="C288" t="s">
        <v>78</v>
      </c>
      <c r="E288" t="s">
        <v>5368</v>
      </c>
      <c r="G288" s="1">
        <v>44952</v>
      </c>
      <c r="H288" s="1"/>
      <c r="I288" t="s">
        <v>1737</v>
      </c>
      <c r="J288" t="s">
        <v>29</v>
      </c>
      <c r="K288" t="s">
        <v>18</v>
      </c>
      <c r="M288">
        <v>100</v>
      </c>
      <c r="N288" s="1">
        <v>45071</v>
      </c>
      <c r="O288" s="12" t="s">
        <v>5369</v>
      </c>
    </row>
    <row r="289" spans="1:15" x14ac:dyDescent="0.25">
      <c r="A289" t="s">
        <v>5370</v>
      </c>
      <c r="B289" t="s">
        <v>13</v>
      </c>
      <c r="C289" t="s">
        <v>298</v>
      </c>
      <c r="E289" t="s">
        <v>5371</v>
      </c>
      <c r="G289" s="1">
        <v>44959</v>
      </c>
      <c r="H289" s="1"/>
      <c r="I289" t="s">
        <v>1737</v>
      </c>
      <c r="J289" t="s">
        <v>29</v>
      </c>
      <c r="K289" t="s">
        <v>18</v>
      </c>
      <c r="M289">
        <v>100</v>
      </c>
      <c r="N289" s="1">
        <v>45033</v>
      </c>
      <c r="O289" s="12"/>
    </row>
    <row r="290" spans="1:15" x14ac:dyDescent="0.25">
      <c r="A290" t="s">
        <v>5372</v>
      </c>
      <c r="B290" t="s">
        <v>704</v>
      </c>
      <c r="C290" t="s">
        <v>5373</v>
      </c>
      <c r="D290" t="s">
        <v>1603</v>
      </c>
      <c r="E290" t="s">
        <v>5374</v>
      </c>
      <c r="G290" s="1">
        <v>44959</v>
      </c>
      <c r="H290" s="1"/>
      <c r="I290" t="s">
        <v>1737</v>
      </c>
      <c r="J290" t="s">
        <v>29</v>
      </c>
      <c r="K290" t="s">
        <v>29</v>
      </c>
      <c r="M290">
        <v>100</v>
      </c>
      <c r="N290" s="1">
        <v>45015</v>
      </c>
      <c r="O290" s="12" t="s">
        <v>5375</v>
      </c>
    </row>
    <row r="291" spans="1:15" x14ac:dyDescent="0.25">
      <c r="A291" t="s">
        <v>5376</v>
      </c>
      <c r="B291" t="s">
        <v>13</v>
      </c>
      <c r="C291" t="s">
        <v>4661</v>
      </c>
      <c r="D291" t="s">
        <v>5151</v>
      </c>
      <c r="E291" t="s">
        <v>5377</v>
      </c>
      <c r="G291" s="1">
        <v>44960</v>
      </c>
      <c r="H291" s="1"/>
      <c r="I291" t="s">
        <v>1737</v>
      </c>
      <c r="J291" t="s">
        <v>29</v>
      </c>
      <c r="K291" t="s">
        <v>18</v>
      </c>
      <c r="L291" t="s">
        <v>5378</v>
      </c>
      <c r="M291">
        <v>100</v>
      </c>
      <c r="N291" s="1">
        <v>44963</v>
      </c>
      <c r="O291" s="12"/>
    </row>
    <row r="292" spans="1:15" x14ac:dyDescent="0.25">
      <c r="A292" t="s">
        <v>5379</v>
      </c>
      <c r="B292" t="s">
        <v>704</v>
      </c>
      <c r="C292" t="s">
        <v>4737</v>
      </c>
      <c r="D292" t="s">
        <v>5380</v>
      </c>
      <c r="E292" t="s">
        <v>4738</v>
      </c>
      <c r="G292" s="1">
        <v>44963</v>
      </c>
      <c r="H292" s="1"/>
      <c r="I292" t="s">
        <v>2762</v>
      </c>
      <c r="J292" t="s">
        <v>29</v>
      </c>
      <c r="K292" t="s">
        <v>29</v>
      </c>
      <c r="M292">
        <v>100</v>
      </c>
      <c r="N292" s="1" t="s">
        <v>5381</v>
      </c>
      <c r="O292" s="12"/>
    </row>
    <row r="293" spans="1:15" x14ac:dyDescent="0.25">
      <c r="A293" t="s">
        <v>5382</v>
      </c>
      <c r="B293" t="s">
        <v>704</v>
      </c>
      <c r="C293" t="s">
        <v>677</v>
      </c>
      <c r="D293" t="s">
        <v>678</v>
      </c>
      <c r="E293" t="s">
        <v>5383</v>
      </c>
      <c r="G293" s="1">
        <v>44963</v>
      </c>
      <c r="H293" s="1"/>
      <c r="I293" t="s">
        <v>1737</v>
      </c>
      <c r="J293" t="s">
        <v>29</v>
      </c>
      <c r="K293" t="s">
        <v>29</v>
      </c>
      <c r="M293">
        <v>100</v>
      </c>
      <c r="N293" s="1" t="s">
        <v>5384</v>
      </c>
      <c r="O293" s="12" t="s">
        <v>5385</v>
      </c>
    </row>
    <row r="294" spans="1:15" x14ac:dyDescent="0.25">
      <c r="A294" t="s">
        <v>5386</v>
      </c>
      <c r="B294" t="s">
        <v>704</v>
      </c>
      <c r="C294" t="s">
        <v>243</v>
      </c>
      <c r="D294" t="s">
        <v>5166</v>
      </c>
      <c r="E294" t="s">
        <v>5387</v>
      </c>
      <c r="F294" t="s">
        <v>659</v>
      </c>
      <c r="G294" s="1">
        <v>44964</v>
      </c>
      <c r="H294" s="1"/>
      <c r="I294" t="s">
        <v>1737</v>
      </c>
      <c r="J294" t="s">
        <v>29</v>
      </c>
      <c r="K294" t="s">
        <v>29</v>
      </c>
      <c r="M294">
        <v>100</v>
      </c>
      <c r="N294" s="1">
        <v>45020</v>
      </c>
      <c r="O294" s="12" t="s">
        <v>5388</v>
      </c>
    </row>
    <row r="295" spans="1:15" x14ac:dyDescent="0.25">
      <c r="A295" t="s">
        <v>5389</v>
      </c>
      <c r="B295" t="s">
        <v>704</v>
      </c>
      <c r="C295" t="s">
        <v>670</v>
      </c>
      <c r="D295" t="s">
        <v>5102</v>
      </c>
      <c r="E295" t="s">
        <v>5390</v>
      </c>
      <c r="F295" t="s">
        <v>3148</v>
      </c>
      <c r="G295" s="1">
        <v>44964</v>
      </c>
      <c r="H295" s="1"/>
      <c r="I295" t="s">
        <v>1737</v>
      </c>
      <c r="J295" t="s">
        <v>29</v>
      </c>
      <c r="K295" t="s">
        <v>29</v>
      </c>
      <c r="M295">
        <v>100</v>
      </c>
      <c r="N295" s="1">
        <v>44970</v>
      </c>
      <c r="O295" s="12"/>
    </row>
    <row r="296" spans="1:15" x14ac:dyDescent="0.25">
      <c r="A296" t="s">
        <v>5391</v>
      </c>
      <c r="B296" t="s">
        <v>704</v>
      </c>
      <c r="C296" t="s">
        <v>4661</v>
      </c>
      <c r="D296" t="s">
        <v>1563</v>
      </c>
      <c r="E296" t="s">
        <v>5392</v>
      </c>
      <c r="F296" t="s">
        <v>5393</v>
      </c>
      <c r="G296" s="1">
        <v>44964</v>
      </c>
      <c r="H296" s="1"/>
      <c r="I296" t="s">
        <v>1737</v>
      </c>
      <c r="J296" t="s">
        <v>29</v>
      </c>
      <c r="K296" t="s">
        <v>29</v>
      </c>
      <c r="L296" t="s">
        <v>5394</v>
      </c>
      <c r="M296">
        <v>100</v>
      </c>
      <c r="N296" s="1">
        <v>44972</v>
      </c>
      <c r="O296" s="12"/>
    </row>
    <row r="297" spans="1:15" x14ac:dyDescent="0.25">
      <c r="A297" t="s">
        <v>5395</v>
      </c>
      <c r="B297" t="s">
        <v>704</v>
      </c>
      <c r="C297" t="s">
        <v>4661</v>
      </c>
      <c r="D297" t="s">
        <v>1563</v>
      </c>
      <c r="E297" t="s">
        <v>4738</v>
      </c>
      <c r="F297" t="s">
        <v>5393</v>
      </c>
      <c r="G297" s="1">
        <v>44965</v>
      </c>
      <c r="H297" s="1"/>
      <c r="I297" t="s">
        <v>1737</v>
      </c>
      <c r="J297" t="s">
        <v>29</v>
      </c>
      <c r="K297" t="s">
        <v>29</v>
      </c>
      <c r="M297">
        <v>100</v>
      </c>
      <c r="N297" s="1">
        <v>44972</v>
      </c>
      <c r="O297" s="12"/>
    </row>
    <row r="298" spans="1:15" x14ac:dyDescent="0.25">
      <c r="A298" t="s">
        <v>5396</v>
      </c>
      <c r="B298" t="s">
        <v>704</v>
      </c>
      <c r="C298" t="s">
        <v>4661</v>
      </c>
      <c r="D298" t="s">
        <v>1563</v>
      </c>
      <c r="E298" t="s">
        <v>5397</v>
      </c>
      <c r="F298" t="s">
        <v>14</v>
      </c>
      <c r="G298" s="1">
        <v>44965</v>
      </c>
      <c r="H298" s="1"/>
      <c r="I298" t="s">
        <v>1737</v>
      </c>
      <c r="J298" t="s">
        <v>29</v>
      </c>
      <c r="K298" t="s">
        <v>29</v>
      </c>
      <c r="O298" s="12"/>
    </row>
    <row r="299" spans="1:15" x14ac:dyDescent="0.25">
      <c r="A299" t="s">
        <v>5398</v>
      </c>
      <c r="B299" t="s">
        <v>13</v>
      </c>
      <c r="C299" t="s">
        <v>78</v>
      </c>
      <c r="D299" t="s">
        <v>5399</v>
      </c>
      <c r="E299" t="s">
        <v>5400</v>
      </c>
      <c r="F299" t="s">
        <v>14</v>
      </c>
      <c r="G299" s="1">
        <v>44966</v>
      </c>
      <c r="H299" s="1"/>
      <c r="I299" t="s">
        <v>1737</v>
      </c>
      <c r="J299" t="s">
        <v>29</v>
      </c>
      <c r="K299" t="s">
        <v>29</v>
      </c>
      <c r="M299">
        <v>100</v>
      </c>
      <c r="N299" s="1">
        <v>45000</v>
      </c>
      <c r="O299" s="12"/>
    </row>
    <row r="300" spans="1:15" x14ac:dyDescent="0.25">
      <c r="A300" t="s">
        <v>5401</v>
      </c>
      <c r="B300" t="s">
        <v>714</v>
      </c>
      <c r="C300" t="s">
        <v>4661</v>
      </c>
      <c r="D300" t="s">
        <v>5318</v>
      </c>
      <c r="E300" t="s">
        <v>5402</v>
      </c>
      <c r="F300" t="s">
        <v>5403</v>
      </c>
      <c r="G300" s="1">
        <v>44966</v>
      </c>
      <c r="H300" s="1"/>
      <c r="I300" t="s">
        <v>1737</v>
      </c>
      <c r="J300" t="s">
        <v>29</v>
      </c>
      <c r="K300" t="s">
        <v>29</v>
      </c>
      <c r="L300" t="s">
        <v>5404</v>
      </c>
      <c r="M300">
        <v>100</v>
      </c>
      <c r="N300" s="1">
        <v>45156</v>
      </c>
      <c r="O300" s="12"/>
    </row>
    <row r="301" spans="1:15" x14ac:dyDescent="0.25">
      <c r="A301" t="s">
        <v>5405</v>
      </c>
      <c r="B301" t="s">
        <v>325</v>
      </c>
      <c r="C301" t="s">
        <v>5406</v>
      </c>
      <c r="D301" t="s">
        <v>5407</v>
      </c>
      <c r="E301" t="s">
        <v>5408</v>
      </c>
      <c r="G301" s="1">
        <v>44967</v>
      </c>
      <c r="H301" s="1"/>
      <c r="I301" t="s">
        <v>2952</v>
      </c>
      <c r="J301" t="s">
        <v>29</v>
      </c>
      <c r="O301" s="12"/>
    </row>
    <row r="302" spans="1:15" x14ac:dyDescent="0.25">
      <c r="A302" t="s">
        <v>5409</v>
      </c>
      <c r="B302" t="s">
        <v>704</v>
      </c>
      <c r="C302" t="s">
        <v>670</v>
      </c>
      <c r="D302" t="s">
        <v>5102</v>
      </c>
      <c r="E302" t="s">
        <v>5410</v>
      </c>
      <c r="G302" s="1">
        <v>44967</v>
      </c>
      <c r="H302" s="1"/>
      <c r="I302" t="s">
        <v>1737</v>
      </c>
      <c r="J302" t="s">
        <v>29</v>
      </c>
      <c r="K302" t="s">
        <v>29</v>
      </c>
      <c r="M302">
        <v>100</v>
      </c>
      <c r="N302" s="1">
        <v>44970</v>
      </c>
      <c r="O302" s="12"/>
    </row>
    <row r="303" spans="1:15" x14ac:dyDescent="0.25">
      <c r="A303" t="s">
        <v>5411</v>
      </c>
      <c r="B303" t="s">
        <v>704</v>
      </c>
      <c r="C303" t="s">
        <v>5007</v>
      </c>
      <c r="D303" t="s">
        <v>5071</v>
      </c>
      <c r="E303" t="s">
        <v>5412</v>
      </c>
      <c r="F303" t="s">
        <v>5413</v>
      </c>
      <c r="G303" s="1">
        <v>44970</v>
      </c>
      <c r="H303" s="1"/>
      <c r="I303" t="s">
        <v>1737</v>
      </c>
      <c r="J303" t="s">
        <v>29</v>
      </c>
      <c r="K303" t="s">
        <v>29</v>
      </c>
      <c r="M303">
        <v>100</v>
      </c>
      <c r="N303" s="1">
        <v>44994</v>
      </c>
      <c r="O303" s="12"/>
    </row>
    <row r="304" spans="1:15" x14ac:dyDescent="0.25">
      <c r="A304" t="s">
        <v>5414</v>
      </c>
      <c r="B304" t="s">
        <v>135</v>
      </c>
      <c r="C304" t="s">
        <v>78</v>
      </c>
      <c r="D304" t="s">
        <v>79</v>
      </c>
      <c r="E304" t="s">
        <v>2703</v>
      </c>
      <c r="F304" t="s">
        <v>5415</v>
      </c>
      <c r="G304" s="1">
        <v>44971</v>
      </c>
      <c r="H304" s="1"/>
      <c r="I304" t="s">
        <v>1737</v>
      </c>
      <c r="J304" t="s">
        <v>29</v>
      </c>
      <c r="K304" t="s">
        <v>29</v>
      </c>
      <c r="L304" t="s">
        <v>5416</v>
      </c>
      <c r="M304">
        <v>100</v>
      </c>
      <c r="N304" s="1">
        <v>45125</v>
      </c>
      <c r="O304" s="12"/>
    </row>
    <row r="305" spans="1:15" x14ac:dyDescent="0.25">
      <c r="A305" t="s">
        <v>5417</v>
      </c>
      <c r="B305" t="s">
        <v>13</v>
      </c>
      <c r="C305" t="s">
        <v>104</v>
      </c>
      <c r="D305" t="s">
        <v>105</v>
      </c>
      <c r="E305" t="s">
        <v>5418</v>
      </c>
      <c r="F305" t="s">
        <v>3148</v>
      </c>
      <c r="G305" s="1">
        <v>44973</v>
      </c>
      <c r="H305" s="1"/>
      <c r="I305" t="s">
        <v>1737</v>
      </c>
      <c r="J305" t="s">
        <v>29</v>
      </c>
      <c r="K305" t="s">
        <v>29</v>
      </c>
      <c r="L305" t="s">
        <v>5419</v>
      </c>
      <c r="M305">
        <v>100</v>
      </c>
      <c r="N305" s="1">
        <v>44991</v>
      </c>
      <c r="O305" s="12"/>
    </row>
    <row r="306" spans="1:15" x14ac:dyDescent="0.25">
      <c r="A306" t="s">
        <v>5420</v>
      </c>
      <c r="B306" t="s">
        <v>704</v>
      </c>
      <c r="C306" t="s">
        <v>677</v>
      </c>
      <c r="D306" t="s">
        <v>5421</v>
      </c>
      <c r="E306" t="s">
        <v>5422</v>
      </c>
      <c r="F306" t="s">
        <v>4770</v>
      </c>
      <c r="G306" s="1">
        <v>44974</v>
      </c>
      <c r="H306" s="1"/>
      <c r="I306" t="s">
        <v>1737</v>
      </c>
      <c r="J306" t="s">
        <v>29</v>
      </c>
      <c r="K306" t="s">
        <v>29</v>
      </c>
      <c r="M306">
        <v>100</v>
      </c>
      <c r="N306" s="1" t="s">
        <v>5423</v>
      </c>
      <c r="O306" s="12"/>
    </row>
    <row r="307" spans="1:15" x14ac:dyDescent="0.25">
      <c r="A307" t="s">
        <v>5424</v>
      </c>
      <c r="B307" t="s">
        <v>704</v>
      </c>
      <c r="C307" t="s">
        <v>4905</v>
      </c>
      <c r="D307" t="s">
        <v>5425</v>
      </c>
      <c r="E307" t="s">
        <v>5426</v>
      </c>
      <c r="F307" t="s">
        <v>5427</v>
      </c>
      <c r="G307" s="1">
        <v>44977</v>
      </c>
      <c r="H307" s="1"/>
      <c r="I307" t="s">
        <v>1737</v>
      </c>
      <c r="J307" t="s">
        <v>29</v>
      </c>
      <c r="K307" t="s">
        <v>29</v>
      </c>
      <c r="M307">
        <v>100</v>
      </c>
      <c r="N307" s="1">
        <v>44985</v>
      </c>
      <c r="O307" s="12"/>
    </row>
    <row r="308" spans="1:15" x14ac:dyDescent="0.25">
      <c r="A308" t="s">
        <v>5428</v>
      </c>
      <c r="B308" t="s">
        <v>374</v>
      </c>
      <c r="C308" t="s">
        <v>55</v>
      </c>
      <c r="D308" t="s">
        <v>150</v>
      </c>
      <c r="E308" t="s">
        <v>5429</v>
      </c>
      <c r="F308" t="s">
        <v>14</v>
      </c>
      <c r="G308" s="1">
        <v>44974</v>
      </c>
      <c r="H308" s="1"/>
      <c r="I308" t="s">
        <v>1737</v>
      </c>
      <c r="J308" t="s">
        <v>29</v>
      </c>
      <c r="K308" t="s">
        <v>29</v>
      </c>
      <c r="M308">
        <v>100</v>
      </c>
      <c r="N308" s="1">
        <v>45063</v>
      </c>
      <c r="O308" s="12"/>
    </row>
    <row r="309" spans="1:15" x14ac:dyDescent="0.25">
      <c r="A309" t="s">
        <v>5430</v>
      </c>
      <c r="B309" t="s">
        <v>4144</v>
      </c>
      <c r="C309" t="s">
        <v>5284</v>
      </c>
      <c r="D309" t="s">
        <v>5285</v>
      </c>
      <c r="E309" t="s">
        <v>5431</v>
      </c>
      <c r="F309" t="s">
        <v>5432</v>
      </c>
      <c r="G309" s="1">
        <v>44971</v>
      </c>
      <c r="H309" s="1"/>
      <c r="I309" t="s">
        <v>1737</v>
      </c>
      <c r="J309" t="s">
        <v>29</v>
      </c>
      <c r="K309" t="s">
        <v>29</v>
      </c>
      <c r="M309">
        <v>100</v>
      </c>
      <c r="N309" s="1">
        <v>45008</v>
      </c>
      <c r="O309" s="12"/>
    </row>
    <row r="310" spans="1:15" x14ac:dyDescent="0.25">
      <c r="A310" t="s">
        <v>5433</v>
      </c>
      <c r="B310" t="s">
        <v>704</v>
      </c>
      <c r="C310" t="s">
        <v>677</v>
      </c>
      <c r="D310" t="s">
        <v>678</v>
      </c>
      <c r="E310" t="s">
        <v>5434</v>
      </c>
      <c r="F310" t="s">
        <v>555</v>
      </c>
      <c r="G310" s="1">
        <v>44978</v>
      </c>
      <c r="H310" s="1"/>
      <c r="I310" t="s">
        <v>1737</v>
      </c>
      <c r="J310" t="s">
        <v>29</v>
      </c>
      <c r="K310" t="s">
        <v>29</v>
      </c>
      <c r="M310">
        <v>100</v>
      </c>
      <c r="N310" s="1">
        <v>44993</v>
      </c>
      <c r="O310" s="12"/>
    </row>
    <row r="311" spans="1:15" x14ac:dyDescent="0.25">
      <c r="A311" t="s">
        <v>5435</v>
      </c>
      <c r="B311" t="s">
        <v>704</v>
      </c>
      <c r="C311" t="s">
        <v>25</v>
      </c>
      <c r="D311" t="s">
        <v>225</v>
      </c>
      <c r="E311" t="s">
        <v>5436</v>
      </c>
      <c r="F311" t="s">
        <v>5437</v>
      </c>
      <c r="G311" s="1">
        <v>44979</v>
      </c>
      <c r="H311" s="1"/>
      <c r="I311" t="s">
        <v>1737</v>
      </c>
      <c r="J311" t="s">
        <v>29</v>
      </c>
      <c r="K311" t="s">
        <v>29</v>
      </c>
      <c r="M311">
        <v>100</v>
      </c>
      <c r="N311" s="1">
        <v>45028</v>
      </c>
      <c r="O311" s="12"/>
    </row>
    <row r="312" spans="1:15" x14ac:dyDescent="0.25">
      <c r="A312" t="s">
        <v>5438</v>
      </c>
      <c r="B312" t="s">
        <v>704</v>
      </c>
      <c r="C312" t="s">
        <v>4661</v>
      </c>
      <c r="D312" t="s">
        <v>397</v>
      </c>
      <c r="E312" t="s">
        <v>5439</v>
      </c>
      <c r="F312" t="s">
        <v>5440</v>
      </c>
      <c r="G312" s="1">
        <v>44980</v>
      </c>
      <c r="H312" s="1"/>
      <c r="I312" t="s">
        <v>1737</v>
      </c>
      <c r="J312" t="s">
        <v>29</v>
      </c>
      <c r="K312" t="s">
        <v>29</v>
      </c>
      <c r="M312">
        <v>100</v>
      </c>
      <c r="N312" s="1">
        <v>45023</v>
      </c>
      <c r="O312" s="12"/>
    </row>
    <row r="313" spans="1:15" x14ac:dyDescent="0.25">
      <c r="A313" t="s">
        <v>5441</v>
      </c>
      <c r="B313" t="s">
        <v>714</v>
      </c>
      <c r="C313" t="s">
        <v>4902</v>
      </c>
      <c r="D313" t="s">
        <v>1580</v>
      </c>
      <c r="E313" t="s">
        <v>5442</v>
      </c>
      <c r="F313" t="s">
        <v>14</v>
      </c>
      <c r="G313" s="1">
        <v>44981</v>
      </c>
      <c r="H313" s="1"/>
      <c r="I313" t="s">
        <v>1737</v>
      </c>
      <c r="J313" t="s">
        <v>29</v>
      </c>
      <c r="K313" t="s">
        <v>29</v>
      </c>
      <c r="M313">
        <v>100</v>
      </c>
      <c r="N313" s="1">
        <v>45023</v>
      </c>
      <c r="O313" s="12"/>
    </row>
    <row r="314" spans="1:15" x14ac:dyDescent="0.25">
      <c r="A314" t="s">
        <v>5443</v>
      </c>
      <c r="B314" t="s">
        <v>704</v>
      </c>
      <c r="C314" t="s">
        <v>677</v>
      </c>
      <c r="D314" t="s">
        <v>678</v>
      </c>
      <c r="E314" t="s">
        <v>5444</v>
      </c>
      <c r="F314" t="s">
        <v>555</v>
      </c>
      <c r="G314" s="1">
        <v>44981</v>
      </c>
      <c r="H314" s="1"/>
      <c r="I314" t="s">
        <v>1737</v>
      </c>
      <c r="J314" t="s">
        <v>29</v>
      </c>
      <c r="K314" t="s">
        <v>29</v>
      </c>
      <c r="M314">
        <v>100</v>
      </c>
      <c r="N314" s="1">
        <v>45035</v>
      </c>
      <c r="O314" s="12"/>
    </row>
    <row r="315" spans="1:15" x14ac:dyDescent="0.25">
      <c r="A315" t="s">
        <v>5445</v>
      </c>
      <c r="B315" t="s">
        <v>704</v>
      </c>
      <c r="C315" t="s">
        <v>70</v>
      </c>
      <c r="D315" t="s">
        <v>5288</v>
      </c>
      <c r="E315" t="s">
        <v>5446</v>
      </c>
      <c r="F315" t="s">
        <v>14</v>
      </c>
      <c r="G315" s="1">
        <v>44985</v>
      </c>
      <c r="H315" s="1"/>
      <c r="I315" t="s">
        <v>2762</v>
      </c>
      <c r="J315" t="s">
        <v>29</v>
      </c>
      <c r="K315" t="s">
        <v>29</v>
      </c>
      <c r="M315" t="s">
        <v>3675</v>
      </c>
      <c r="N315" s="1">
        <v>44991</v>
      </c>
      <c r="O315" s="12" t="s">
        <v>5447</v>
      </c>
    </row>
    <row r="316" spans="1:15" x14ac:dyDescent="0.25">
      <c r="A316" t="s">
        <v>5448</v>
      </c>
      <c r="B316" t="s">
        <v>13</v>
      </c>
      <c r="C316" t="s">
        <v>243</v>
      </c>
      <c r="D316" t="s">
        <v>5449</v>
      </c>
      <c r="E316" t="s">
        <v>5450</v>
      </c>
      <c r="F316" t="s">
        <v>14</v>
      </c>
      <c r="G316" s="1">
        <v>44986</v>
      </c>
      <c r="H316" s="1"/>
      <c r="I316" t="s">
        <v>2952</v>
      </c>
      <c r="J316" t="s">
        <v>29</v>
      </c>
      <c r="K316" t="s">
        <v>29</v>
      </c>
      <c r="O316" s="12"/>
    </row>
    <row r="317" spans="1:15" x14ac:dyDescent="0.25">
      <c r="A317" t="s">
        <v>5451</v>
      </c>
      <c r="B317" t="s">
        <v>704</v>
      </c>
      <c r="C317" t="s">
        <v>163</v>
      </c>
      <c r="D317" t="s">
        <v>5452</v>
      </c>
      <c r="E317" t="s">
        <v>5453</v>
      </c>
      <c r="F317" t="s">
        <v>5454</v>
      </c>
      <c r="G317" s="1">
        <v>44987</v>
      </c>
      <c r="H317" s="1"/>
      <c r="I317" t="s">
        <v>1737</v>
      </c>
      <c r="J317" t="s">
        <v>29</v>
      </c>
      <c r="K317" t="s">
        <v>29</v>
      </c>
      <c r="M317">
        <v>100</v>
      </c>
      <c r="N317" s="1">
        <v>45037</v>
      </c>
      <c r="O317" s="12"/>
    </row>
    <row r="318" spans="1:15" x14ac:dyDescent="0.25">
      <c r="A318" t="s">
        <v>5455</v>
      </c>
      <c r="B318" t="s">
        <v>704</v>
      </c>
      <c r="C318" t="s">
        <v>5188</v>
      </c>
      <c r="D318" t="s">
        <v>5338</v>
      </c>
      <c r="E318" t="s">
        <v>5456</v>
      </c>
      <c r="F318" t="s">
        <v>5340</v>
      </c>
      <c r="G318" s="1">
        <v>44988</v>
      </c>
      <c r="H318" s="1"/>
      <c r="I318" t="s">
        <v>1737</v>
      </c>
      <c r="J318" t="s">
        <v>29</v>
      </c>
      <c r="K318" t="s">
        <v>29</v>
      </c>
      <c r="M318">
        <v>100</v>
      </c>
      <c r="N318" s="1">
        <v>45124</v>
      </c>
      <c r="O318" s="12"/>
    </row>
    <row r="319" spans="1:15" x14ac:dyDescent="0.25">
      <c r="A319" t="s">
        <v>5457</v>
      </c>
      <c r="B319" t="s">
        <v>167</v>
      </c>
      <c r="C319" t="s">
        <v>298</v>
      </c>
      <c r="D319" t="s">
        <v>5458</v>
      </c>
      <c r="E319" t="s">
        <v>5459</v>
      </c>
      <c r="F319" t="s">
        <v>14</v>
      </c>
      <c r="G319" s="1">
        <v>44988</v>
      </c>
      <c r="H319" s="1"/>
      <c r="I319" t="s">
        <v>2952</v>
      </c>
      <c r="J319" t="s">
        <v>29</v>
      </c>
      <c r="K319" t="s">
        <v>18</v>
      </c>
      <c r="O319" s="12"/>
    </row>
    <row r="320" spans="1:15" x14ac:dyDescent="0.25">
      <c r="A320" t="s">
        <v>5460</v>
      </c>
      <c r="B320" t="s">
        <v>433</v>
      </c>
      <c r="C320" t="s">
        <v>298</v>
      </c>
      <c r="D320" t="s">
        <v>5458</v>
      </c>
      <c r="E320" t="s">
        <v>5461</v>
      </c>
      <c r="F320" t="s">
        <v>14</v>
      </c>
      <c r="G320" s="1">
        <v>44987</v>
      </c>
      <c r="H320" s="1"/>
      <c r="I320" t="s">
        <v>2952</v>
      </c>
      <c r="J320" t="s">
        <v>29</v>
      </c>
      <c r="K320" t="s">
        <v>18</v>
      </c>
      <c r="O320" s="12"/>
    </row>
    <row r="321" spans="1:15" x14ac:dyDescent="0.25">
      <c r="A321" t="s">
        <v>5462</v>
      </c>
      <c r="B321" t="s">
        <v>704</v>
      </c>
      <c r="C321" t="s">
        <v>670</v>
      </c>
      <c r="D321" t="s">
        <v>5102</v>
      </c>
      <c r="E321" t="s">
        <v>5463</v>
      </c>
      <c r="F321" t="s">
        <v>3148</v>
      </c>
      <c r="G321" s="1">
        <v>44988</v>
      </c>
      <c r="H321" s="1"/>
      <c r="I321" t="s">
        <v>1737</v>
      </c>
      <c r="J321" t="s">
        <v>29</v>
      </c>
      <c r="K321" t="s">
        <v>29</v>
      </c>
      <c r="M321">
        <v>100</v>
      </c>
      <c r="N321" s="1">
        <v>45040</v>
      </c>
      <c r="O321" s="12"/>
    </row>
    <row r="322" spans="1:15" x14ac:dyDescent="0.25">
      <c r="A322" t="s">
        <v>5464</v>
      </c>
      <c r="B322" t="s">
        <v>704</v>
      </c>
      <c r="C322" t="s">
        <v>70</v>
      </c>
      <c r="D322" t="s">
        <v>5288</v>
      </c>
      <c r="E322" t="s">
        <v>5465</v>
      </c>
      <c r="F322" t="s">
        <v>5466</v>
      </c>
      <c r="G322" s="1">
        <v>44988</v>
      </c>
      <c r="H322" s="1"/>
      <c r="I322" t="s">
        <v>1737</v>
      </c>
      <c r="J322" t="s">
        <v>29</v>
      </c>
      <c r="K322" t="s">
        <v>29</v>
      </c>
      <c r="M322">
        <v>100</v>
      </c>
      <c r="N322" s="1">
        <v>45002</v>
      </c>
      <c r="O322" s="12"/>
    </row>
    <row r="323" spans="1:15" x14ac:dyDescent="0.25">
      <c r="A323" t="s">
        <v>5467</v>
      </c>
      <c r="B323" t="s">
        <v>704</v>
      </c>
      <c r="C323" t="s">
        <v>243</v>
      </c>
      <c r="D323" t="s">
        <v>5166</v>
      </c>
      <c r="E323" t="s">
        <v>5468</v>
      </c>
      <c r="F323" t="s">
        <v>659</v>
      </c>
      <c r="G323" s="1">
        <v>44991</v>
      </c>
      <c r="H323" s="1"/>
      <c r="I323" t="s">
        <v>1737</v>
      </c>
      <c r="J323" t="s">
        <v>29</v>
      </c>
      <c r="K323" t="s">
        <v>29</v>
      </c>
      <c r="M323">
        <v>100</v>
      </c>
      <c r="N323" s="1">
        <v>44999</v>
      </c>
      <c r="O323" s="12"/>
    </row>
    <row r="324" spans="1:15" x14ac:dyDescent="0.25">
      <c r="A324" t="s">
        <v>5469</v>
      </c>
      <c r="B324" t="s">
        <v>433</v>
      </c>
      <c r="C324" t="s">
        <v>298</v>
      </c>
      <c r="D324" t="s">
        <v>5458</v>
      </c>
      <c r="E324" t="s">
        <v>5461</v>
      </c>
      <c r="F324" t="s">
        <v>14</v>
      </c>
      <c r="G324" s="1">
        <v>44991</v>
      </c>
      <c r="H324" s="1"/>
      <c r="I324" t="s">
        <v>1737</v>
      </c>
      <c r="J324" t="s">
        <v>29</v>
      </c>
      <c r="K324" t="s">
        <v>29</v>
      </c>
      <c r="M324">
        <v>100</v>
      </c>
      <c r="N324" s="1">
        <v>45058</v>
      </c>
      <c r="O324" s="12"/>
    </row>
    <row r="325" spans="1:15" x14ac:dyDescent="0.25">
      <c r="A325" t="s">
        <v>5470</v>
      </c>
      <c r="B325" t="s">
        <v>714</v>
      </c>
      <c r="C325" t="s">
        <v>4661</v>
      </c>
      <c r="D325" t="s">
        <v>397</v>
      </c>
      <c r="E325" t="s">
        <v>5471</v>
      </c>
      <c r="F325" t="s">
        <v>14</v>
      </c>
      <c r="G325" s="1">
        <v>44970</v>
      </c>
      <c r="H325" s="1"/>
      <c r="I325" t="s">
        <v>1737</v>
      </c>
      <c r="J325" t="s">
        <v>29</v>
      </c>
      <c r="M325">
        <v>100</v>
      </c>
      <c r="N325" s="1">
        <v>45014</v>
      </c>
      <c r="O325" s="12"/>
    </row>
    <row r="326" spans="1:15" x14ac:dyDescent="0.25">
      <c r="A326" t="s">
        <v>5472</v>
      </c>
      <c r="B326" t="s">
        <v>714</v>
      </c>
      <c r="C326" t="s">
        <v>4661</v>
      </c>
      <c r="D326" t="s">
        <v>397</v>
      </c>
      <c r="E326" t="s">
        <v>5473</v>
      </c>
      <c r="F326" t="s">
        <v>14</v>
      </c>
      <c r="G326" s="1">
        <v>44984</v>
      </c>
      <c r="H326" s="1"/>
      <c r="I326" t="s">
        <v>1737</v>
      </c>
      <c r="J326" t="s">
        <v>29</v>
      </c>
      <c r="M326">
        <v>100</v>
      </c>
      <c r="N326" s="1">
        <v>45014</v>
      </c>
      <c r="O326" s="12"/>
    </row>
    <row r="327" spans="1:15" x14ac:dyDescent="0.25">
      <c r="A327" t="s">
        <v>5474</v>
      </c>
      <c r="B327" t="s">
        <v>704</v>
      </c>
      <c r="C327" t="s">
        <v>5188</v>
      </c>
      <c r="D327" t="s">
        <v>5338</v>
      </c>
      <c r="E327" t="s">
        <v>5475</v>
      </c>
      <c r="F327" t="s">
        <v>5476</v>
      </c>
      <c r="G327" s="1">
        <v>44992</v>
      </c>
      <c r="H327" s="1"/>
      <c r="I327" t="s">
        <v>1737</v>
      </c>
      <c r="J327" t="s">
        <v>29</v>
      </c>
      <c r="K327" t="s">
        <v>29</v>
      </c>
      <c r="M327">
        <v>100</v>
      </c>
      <c r="N327" s="1">
        <v>45037</v>
      </c>
      <c r="O327" s="12"/>
    </row>
    <row r="328" spans="1:15" x14ac:dyDescent="0.25">
      <c r="A328" t="s">
        <v>5477</v>
      </c>
      <c r="B328" t="s">
        <v>704</v>
      </c>
      <c r="C328" t="s">
        <v>4698</v>
      </c>
      <c r="D328" t="s">
        <v>5478</v>
      </c>
      <c r="E328" t="s">
        <v>5479</v>
      </c>
      <c r="F328" t="s">
        <v>5413</v>
      </c>
      <c r="G328" s="1">
        <v>44993</v>
      </c>
      <c r="H328" s="1"/>
      <c r="I328" t="s">
        <v>1737</v>
      </c>
      <c r="J328" t="s">
        <v>29</v>
      </c>
      <c r="K328" t="s">
        <v>29</v>
      </c>
      <c r="M328">
        <v>100</v>
      </c>
      <c r="N328" s="1">
        <v>45046</v>
      </c>
      <c r="O328" s="12"/>
    </row>
    <row r="329" spans="1:15" x14ac:dyDescent="0.25">
      <c r="A329" t="s">
        <v>5480</v>
      </c>
      <c r="B329" t="s">
        <v>704</v>
      </c>
      <c r="C329" t="s">
        <v>163</v>
      </c>
      <c r="D329" t="s">
        <v>5481</v>
      </c>
      <c r="E329" t="s">
        <v>5482</v>
      </c>
      <c r="F329" t="s">
        <v>659</v>
      </c>
      <c r="G329" s="1">
        <v>44994</v>
      </c>
      <c r="H329" s="1"/>
      <c r="I329" t="s">
        <v>1737</v>
      </c>
      <c r="J329" t="s">
        <v>29</v>
      </c>
      <c r="K329" t="s">
        <v>29</v>
      </c>
      <c r="M329">
        <v>100</v>
      </c>
      <c r="N329" s="1">
        <v>45007</v>
      </c>
      <c r="O329" s="12"/>
    </row>
    <row r="330" spans="1:15" x14ac:dyDescent="0.25">
      <c r="A330" t="s">
        <v>5483</v>
      </c>
      <c r="B330" t="s">
        <v>704</v>
      </c>
      <c r="C330" t="s">
        <v>4737</v>
      </c>
      <c r="D330" t="s">
        <v>5380</v>
      </c>
      <c r="E330" t="s">
        <v>4738</v>
      </c>
      <c r="F330" t="s">
        <v>555</v>
      </c>
      <c r="G330" s="1">
        <v>44994</v>
      </c>
      <c r="H330" s="1"/>
      <c r="I330" t="s">
        <v>2762</v>
      </c>
      <c r="J330" t="s">
        <v>29</v>
      </c>
      <c r="K330" t="s">
        <v>29</v>
      </c>
      <c r="O330" s="12"/>
    </row>
    <row r="331" spans="1:15" x14ac:dyDescent="0.25">
      <c r="A331" t="s">
        <v>5484</v>
      </c>
      <c r="B331" t="s">
        <v>704</v>
      </c>
      <c r="C331" t="s">
        <v>243</v>
      </c>
      <c r="D331" t="s">
        <v>5166</v>
      </c>
      <c r="E331" t="s">
        <v>5485</v>
      </c>
      <c r="F331" t="s">
        <v>659</v>
      </c>
      <c r="G331" s="1">
        <v>44994</v>
      </c>
      <c r="H331" s="1"/>
      <c r="I331" t="s">
        <v>2762</v>
      </c>
      <c r="J331" t="s">
        <v>29</v>
      </c>
      <c r="K331" t="s">
        <v>29</v>
      </c>
      <c r="L331" t="s">
        <v>5486</v>
      </c>
      <c r="O331" s="12" t="s">
        <v>5487</v>
      </c>
    </row>
    <row r="332" spans="1:15" x14ac:dyDescent="0.25">
      <c r="A332" t="s">
        <v>5488</v>
      </c>
      <c r="B332" t="s">
        <v>704</v>
      </c>
      <c r="C332" t="s">
        <v>163</v>
      </c>
      <c r="D332" t="s">
        <v>5489</v>
      </c>
      <c r="E332" t="s">
        <v>5490</v>
      </c>
      <c r="F332" t="s">
        <v>555</v>
      </c>
      <c r="G332" s="1">
        <v>44994</v>
      </c>
      <c r="H332" s="1"/>
      <c r="I332" t="s">
        <v>1737</v>
      </c>
      <c r="J332" t="s">
        <v>29</v>
      </c>
      <c r="K332" t="s">
        <v>29</v>
      </c>
      <c r="M332">
        <v>100</v>
      </c>
      <c r="N332" s="1" t="s">
        <v>5491</v>
      </c>
      <c r="O332" s="12"/>
    </row>
    <row r="333" spans="1:15" x14ac:dyDescent="0.25">
      <c r="A333" t="s">
        <v>5492</v>
      </c>
      <c r="B333" t="s">
        <v>704</v>
      </c>
      <c r="C333" t="s">
        <v>5493</v>
      </c>
      <c r="D333" t="s">
        <v>5494</v>
      </c>
      <c r="E333" t="s">
        <v>5495</v>
      </c>
      <c r="F333" t="s">
        <v>14</v>
      </c>
      <c r="G333" s="1">
        <v>44995</v>
      </c>
      <c r="H333" s="1"/>
      <c r="I333" t="s">
        <v>1737</v>
      </c>
      <c r="J333" t="s">
        <v>29</v>
      </c>
      <c r="K333" t="s">
        <v>29</v>
      </c>
      <c r="M333">
        <v>100</v>
      </c>
      <c r="N333" s="1">
        <v>45051</v>
      </c>
      <c r="O333" s="12"/>
    </row>
    <row r="334" spans="1:15" x14ac:dyDescent="0.25">
      <c r="A334" t="s">
        <v>5496</v>
      </c>
      <c r="B334" t="s">
        <v>704</v>
      </c>
      <c r="C334" t="s">
        <v>1625</v>
      </c>
      <c r="D334" t="s">
        <v>259</v>
      </c>
      <c r="E334" t="s">
        <v>5497</v>
      </c>
      <c r="F334" t="s">
        <v>14</v>
      </c>
      <c r="G334" s="1">
        <v>44995</v>
      </c>
      <c r="H334" s="1"/>
      <c r="I334" t="s">
        <v>2762</v>
      </c>
      <c r="J334" t="s">
        <v>29</v>
      </c>
      <c r="K334" t="s">
        <v>29</v>
      </c>
      <c r="O334" s="12"/>
    </row>
    <row r="335" spans="1:15" x14ac:dyDescent="0.25">
      <c r="A335" t="s">
        <v>5498</v>
      </c>
      <c r="B335" t="s">
        <v>704</v>
      </c>
      <c r="C335" t="s">
        <v>4737</v>
      </c>
      <c r="D335" t="s">
        <v>2021</v>
      </c>
      <c r="E335" t="s">
        <v>4738</v>
      </c>
      <c r="F335" t="s">
        <v>555</v>
      </c>
      <c r="G335" s="1">
        <v>44999</v>
      </c>
      <c r="H335" s="1"/>
      <c r="I335" t="s">
        <v>2762</v>
      </c>
      <c r="J335" t="s">
        <v>29</v>
      </c>
      <c r="K335" t="s">
        <v>29</v>
      </c>
      <c r="O335" s="12"/>
    </row>
    <row r="336" spans="1:15" x14ac:dyDescent="0.25">
      <c r="A336" t="s">
        <v>5499</v>
      </c>
      <c r="B336" t="s">
        <v>433</v>
      </c>
      <c r="C336" t="s">
        <v>298</v>
      </c>
      <c r="D336" t="s">
        <v>5458</v>
      </c>
      <c r="E336" t="s">
        <v>5500</v>
      </c>
      <c r="F336" t="s">
        <v>1295</v>
      </c>
      <c r="G336" s="1">
        <v>45000</v>
      </c>
      <c r="H336" s="1"/>
      <c r="I336" t="s">
        <v>2762</v>
      </c>
      <c r="J336" t="s">
        <v>18</v>
      </c>
      <c r="M336">
        <v>0</v>
      </c>
      <c r="N336" s="1">
        <v>45057</v>
      </c>
      <c r="O336" s="12" t="s">
        <v>5501</v>
      </c>
    </row>
    <row r="337" spans="1:15" x14ac:dyDescent="0.25">
      <c r="A337" t="s">
        <v>5502</v>
      </c>
      <c r="B337" t="s">
        <v>704</v>
      </c>
      <c r="C337" t="s">
        <v>25</v>
      </c>
      <c r="D337" t="s">
        <v>225</v>
      </c>
      <c r="E337" t="s">
        <v>5503</v>
      </c>
      <c r="F337" t="s">
        <v>5504</v>
      </c>
      <c r="G337" s="1">
        <v>45001</v>
      </c>
      <c r="H337" s="1"/>
      <c r="I337" t="s">
        <v>1737</v>
      </c>
      <c r="J337" t="s">
        <v>29</v>
      </c>
      <c r="K337" t="s">
        <v>29</v>
      </c>
      <c r="M337">
        <v>100</v>
      </c>
      <c r="N337" s="1">
        <v>45005</v>
      </c>
      <c r="O337" s="12"/>
    </row>
    <row r="338" spans="1:15" x14ac:dyDescent="0.25">
      <c r="A338" t="s">
        <v>5505</v>
      </c>
      <c r="B338" t="s">
        <v>704</v>
      </c>
      <c r="C338" t="s">
        <v>677</v>
      </c>
      <c r="D338" t="s">
        <v>678</v>
      </c>
      <c r="E338" t="s">
        <v>5506</v>
      </c>
      <c r="F338" t="s">
        <v>5507</v>
      </c>
      <c r="G338" s="1">
        <v>45005</v>
      </c>
      <c r="H338" s="1"/>
      <c r="I338" t="s">
        <v>1737</v>
      </c>
      <c r="J338" t="s">
        <v>29</v>
      </c>
      <c r="K338" t="s">
        <v>29</v>
      </c>
      <c r="M338">
        <v>100</v>
      </c>
      <c r="N338" s="1">
        <v>45022</v>
      </c>
      <c r="O338" s="12"/>
    </row>
    <row r="339" spans="1:15" x14ac:dyDescent="0.25">
      <c r="A339" t="s">
        <v>5508</v>
      </c>
      <c r="B339" t="s">
        <v>704</v>
      </c>
      <c r="C339" t="s">
        <v>243</v>
      </c>
      <c r="D339" t="s">
        <v>5166</v>
      </c>
      <c r="E339" t="s">
        <v>5509</v>
      </c>
      <c r="F339" t="s">
        <v>5413</v>
      </c>
      <c r="G339" s="1">
        <v>45005</v>
      </c>
      <c r="H339" s="1"/>
      <c r="I339" t="s">
        <v>1737</v>
      </c>
      <c r="J339" t="s">
        <v>29</v>
      </c>
      <c r="K339" t="s">
        <v>29</v>
      </c>
      <c r="M339">
        <v>100</v>
      </c>
      <c r="N339" s="1">
        <v>45019</v>
      </c>
      <c r="O339" s="12"/>
    </row>
    <row r="340" spans="1:15" x14ac:dyDescent="0.25">
      <c r="A340" t="s">
        <v>5510</v>
      </c>
      <c r="B340" t="s">
        <v>704</v>
      </c>
      <c r="C340" t="s">
        <v>163</v>
      </c>
      <c r="D340" t="s">
        <v>5481</v>
      </c>
      <c r="E340" t="s">
        <v>5511</v>
      </c>
      <c r="F340" t="s">
        <v>659</v>
      </c>
      <c r="G340" s="1">
        <v>45005</v>
      </c>
      <c r="H340" s="1"/>
      <c r="I340" t="s">
        <v>1737</v>
      </c>
      <c r="J340" t="s">
        <v>29</v>
      </c>
      <c r="K340" t="s">
        <v>29</v>
      </c>
      <c r="M340">
        <v>100</v>
      </c>
      <c r="N340" s="1">
        <v>45036</v>
      </c>
      <c r="O340" s="12"/>
    </row>
    <row r="341" spans="1:15" x14ac:dyDescent="0.25">
      <c r="A341" t="s">
        <v>5512</v>
      </c>
      <c r="B341" t="s">
        <v>714</v>
      </c>
      <c r="C341" t="s">
        <v>4661</v>
      </c>
      <c r="E341" t="s">
        <v>5513</v>
      </c>
      <c r="F341" t="s">
        <v>555</v>
      </c>
      <c r="G341" s="1">
        <v>44927</v>
      </c>
      <c r="H341" s="1"/>
      <c r="I341" t="s">
        <v>2952</v>
      </c>
      <c r="J341" t="s">
        <v>29</v>
      </c>
      <c r="O341" s="12"/>
    </row>
    <row r="342" spans="1:15" x14ac:dyDescent="0.25">
      <c r="A342" t="s">
        <v>5514</v>
      </c>
      <c r="B342" t="s">
        <v>704</v>
      </c>
      <c r="C342" t="s">
        <v>4698</v>
      </c>
      <c r="D342" t="s">
        <v>5478</v>
      </c>
      <c r="E342" t="s">
        <v>5515</v>
      </c>
      <c r="F342" t="s">
        <v>5413</v>
      </c>
      <c r="G342" s="1">
        <v>45006</v>
      </c>
      <c r="H342" s="1"/>
      <c r="I342" t="s">
        <v>1737</v>
      </c>
      <c r="J342" t="s">
        <v>29</v>
      </c>
      <c r="K342" t="s">
        <v>29</v>
      </c>
      <c r="M342">
        <v>100</v>
      </c>
      <c r="N342" s="1">
        <v>45030</v>
      </c>
      <c r="O342" s="12"/>
    </row>
    <row r="343" spans="1:15" x14ac:dyDescent="0.25">
      <c r="A343" t="s">
        <v>5516</v>
      </c>
      <c r="B343" t="s">
        <v>704</v>
      </c>
      <c r="C343" t="s">
        <v>5517</v>
      </c>
      <c r="D343" t="s">
        <v>5518</v>
      </c>
      <c r="E343" t="s">
        <v>5519</v>
      </c>
      <c r="F343" t="s">
        <v>5413</v>
      </c>
      <c r="G343" s="1">
        <v>45007</v>
      </c>
      <c r="H343" s="1"/>
      <c r="I343" t="s">
        <v>1737</v>
      </c>
      <c r="J343" t="s">
        <v>29</v>
      </c>
      <c r="K343" t="s">
        <v>29</v>
      </c>
      <c r="M343">
        <v>100</v>
      </c>
      <c r="N343" s="1">
        <v>45037</v>
      </c>
      <c r="O343" s="12"/>
    </row>
    <row r="344" spans="1:15" x14ac:dyDescent="0.25">
      <c r="A344" t="s">
        <v>5520</v>
      </c>
      <c r="B344" t="s">
        <v>704</v>
      </c>
      <c r="C344" t="s">
        <v>4905</v>
      </c>
      <c r="D344" t="s">
        <v>5122</v>
      </c>
      <c r="E344" t="s">
        <v>5521</v>
      </c>
      <c r="F344" t="s">
        <v>5517</v>
      </c>
      <c r="G344" s="1">
        <v>45007</v>
      </c>
      <c r="H344" s="1"/>
      <c r="I344" t="s">
        <v>1737</v>
      </c>
      <c r="J344" t="s">
        <v>29</v>
      </c>
      <c r="K344" t="s">
        <v>29</v>
      </c>
      <c r="M344">
        <v>100</v>
      </c>
      <c r="N344" s="1">
        <v>45014</v>
      </c>
      <c r="O344" s="12"/>
    </row>
    <row r="345" spans="1:15" x14ac:dyDescent="0.25">
      <c r="A345" t="s">
        <v>5522</v>
      </c>
      <c r="B345" t="s">
        <v>704</v>
      </c>
      <c r="C345" t="s">
        <v>670</v>
      </c>
      <c r="D345" t="s">
        <v>5214</v>
      </c>
      <c r="E345" t="s">
        <v>5523</v>
      </c>
      <c r="F345" t="s">
        <v>5413</v>
      </c>
      <c r="G345" s="1">
        <v>45007</v>
      </c>
      <c r="H345" s="1"/>
      <c r="I345" t="s">
        <v>1737</v>
      </c>
      <c r="J345" t="s">
        <v>29</v>
      </c>
      <c r="K345" t="s">
        <v>29</v>
      </c>
      <c r="M345">
        <v>100</v>
      </c>
      <c r="N345" s="1">
        <v>45014</v>
      </c>
      <c r="O345" s="12"/>
    </row>
    <row r="346" spans="1:15" x14ac:dyDescent="0.25">
      <c r="A346" t="s">
        <v>5524</v>
      </c>
      <c r="B346" t="s">
        <v>3774</v>
      </c>
      <c r="C346" t="s">
        <v>5525</v>
      </c>
      <c r="D346" t="s">
        <v>5526</v>
      </c>
      <c r="E346" t="s">
        <v>5527</v>
      </c>
      <c r="F346" t="s">
        <v>14</v>
      </c>
      <c r="G346" s="1">
        <v>45008</v>
      </c>
      <c r="H346" s="1"/>
      <c r="I346" t="s">
        <v>1737</v>
      </c>
      <c r="J346" t="s">
        <v>29</v>
      </c>
      <c r="M346">
        <v>100</v>
      </c>
      <c r="N346" s="1">
        <v>45008</v>
      </c>
      <c r="O346" s="12"/>
    </row>
    <row r="347" spans="1:15" x14ac:dyDescent="0.25">
      <c r="A347" t="s">
        <v>5528</v>
      </c>
      <c r="B347" t="s">
        <v>704</v>
      </c>
      <c r="C347" t="s">
        <v>4698</v>
      </c>
      <c r="D347" t="s">
        <v>5478</v>
      </c>
      <c r="E347" t="s">
        <v>5529</v>
      </c>
      <c r="F347" t="s">
        <v>5413</v>
      </c>
      <c r="G347" s="1">
        <v>45009</v>
      </c>
      <c r="H347" s="1"/>
      <c r="I347" t="s">
        <v>1737</v>
      </c>
      <c r="J347" t="s">
        <v>29</v>
      </c>
      <c r="K347" t="s">
        <v>29</v>
      </c>
      <c r="M347">
        <v>100</v>
      </c>
      <c r="N347" s="1">
        <v>45091</v>
      </c>
      <c r="O347" s="12"/>
    </row>
    <row r="348" spans="1:15" x14ac:dyDescent="0.25">
      <c r="A348" t="s">
        <v>5530</v>
      </c>
      <c r="B348" t="s">
        <v>13</v>
      </c>
      <c r="C348" t="s">
        <v>4661</v>
      </c>
      <c r="D348" t="s">
        <v>5151</v>
      </c>
      <c r="E348" t="s">
        <v>5531</v>
      </c>
      <c r="F348" t="s">
        <v>5532</v>
      </c>
      <c r="G348" s="1">
        <v>45009</v>
      </c>
      <c r="H348" s="1"/>
      <c r="I348" t="s">
        <v>1737</v>
      </c>
      <c r="J348" t="s">
        <v>29</v>
      </c>
      <c r="M348">
        <v>100</v>
      </c>
      <c r="N348" s="1">
        <v>45030</v>
      </c>
      <c r="O348" s="12"/>
    </row>
    <row r="349" spans="1:15" x14ac:dyDescent="0.25">
      <c r="A349" t="s">
        <v>5533</v>
      </c>
      <c r="B349" t="s">
        <v>13</v>
      </c>
      <c r="C349" t="s">
        <v>5534</v>
      </c>
      <c r="D349" t="s">
        <v>311</v>
      </c>
      <c r="E349" t="s">
        <v>5535</v>
      </c>
      <c r="F349" t="s">
        <v>5536</v>
      </c>
      <c r="G349" s="1">
        <v>45012</v>
      </c>
      <c r="H349" s="1"/>
      <c r="I349" t="s">
        <v>2952</v>
      </c>
      <c r="J349" t="s">
        <v>29</v>
      </c>
      <c r="K349" t="s">
        <v>18</v>
      </c>
      <c r="M349">
        <v>50</v>
      </c>
      <c r="N349" s="1">
        <v>45106</v>
      </c>
      <c r="O349" s="12" t="s">
        <v>5537</v>
      </c>
    </row>
    <row r="350" spans="1:15" x14ac:dyDescent="0.25">
      <c r="A350" t="s">
        <v>5538</v>
      </c>
      <c r="B350" t="s">
        <v>704</v>
      </c>
      <c r="C350" t="s">
        <v>5539</v>
      </c>
      <c r="D350" t="s">
        <v>5540</v>
      </c>
      <c r="E350" t="s">
        <v>5541</v>
      </c>
      <c r="F350" t="s">
        <v>5542</v>
      </c>
      <c r="G350" s="1">
        <v>45013</v>
      </c>
      <c r="H350" s="1"/>
      <c r="I350" t="s">
        <v>1737</v>
      </c>
      <c r="J350" t="s">
        <v>29</v>
      </c>
      <c r="K350" t="s">
        <v>29</v>
      </c>
      <c r="M350">
        <v>100</v>
      </c>
      <c r="N350" s="1">
        <v>45035</v>
      </c>
      <c r="O350" s="12"/>
    </row>
    <row r="351" spans="1:15" x14ac:dyDescent="0.25">
      <c r="A351" t="s">
        <v>5543</v>
      </c>
      <c r="B351" t="s">
        <v>704</v>
      </c>
      <c r="C351" t="s">
        <v>5539</v>
      </c>
      <c r="D351" t="s">
        <v>5540</v>
      </c>
      <c r="E351" t="s">
        <v>5541</v>
      </c>
      <c r="F351" t="s">
        <v>5542</v>
      </c>
      <c r="G351" s="1">
        <v>45014</v>
      </c>
      <c r="H351" s="1"/>
      <c r="I351" t="s">
        <v>1737</v>
      </c>
      <c r="J351" t="s">
        <v>29</v>
      </c>
      <c r="K351" t="s">
        <v>29</v>
      </c>
      <c r="M351">
        <v>100</v>
      </c>
      <c r="N351" s="1">
        <v>45035</v>
      </c>
      <c r="O351" s="12"/>
    </row>
    <row r="352" spans="1:15" x14ac:dyDescent="0.25">
      <c r="A352" t="s">
        <v>5544</v>
      </c>
      <c r="B352" t="s">
        <v>704</v>
      </c>
      <c r="C352" t="s">
        <v>5539</v>
      </c>
      <c r="D352" t="s">
        <v>5540</v>
      </c>
      <c r="E352" t="s">
        <v>5541</v>
      </c>
      <c r="F352" t="s">
        <v>5542</v>
      </c>
      <c r="G352" s="1">
        <v>45015</v>
      </c>
      <c r="H352" s="1"/>
      <c r="I352" t="s">
        <v>1737</v>
      </c>
      <c r="J352" t="s">
        <v>29</v>
      </c>
      <c r="K352" t="s">
        <v>29</v>
      </c>
      <c r="M352">
        <v>100</v>
      </c>
      <c r="N352" s="1">
        <v>45035</v>
      </c>
      <c r="O352" s="12"/>
    </row>
    <row r="353" spans="1:15" x14ac:dyDescent="0.25">
      <c r="A353" t="s">
        <v>5545</v>
      </c>
      <c r="B353" t="s">
        <v>325</v>
      </c>
      <c r="C353" t="s">
        <v>1736</v>
      </c>
      <c r="D353" t="s">
        <v>5546</v>
      </c>
      <c r="E353" t="s">
        <v>5547</v>
      </c>
      <c r="F353" t="s">
        <v>5548</v>
      </c>
      <c r="G353" s="1">
        <v>45014</v>
      </c>
      <c r="H353" s="1"/>
      <c r="I353" t="s">
        <v>1737</v>
      </c>
      <c r="J353" t="s">
        <v>29</v>
      </c>
      <c r="M353">
        <v>100</v>
      </c>
      <c r="N353" s="1">
        <v>45040</v>
      </c>
      <c r="O353" s="12"/>
    </row>
    <row r="354" spans="1:15" x14ac:dyDescent="0.25">
      <c r="A354" t="s">
        <v>5549</v>
      </c>
      <c r="B354" t="s">
        <v>704</v>
      </c>
      <c r="C354" t="s">
        <v>70</v>
      </c>
      <c r="D354" t="s">
        <v>5288</v>
      </c>
      <c r="E354" t="s">
        <v>5550</v>
      </c>
      <c r="F354" t="s">
        <v>5551</v>
      </c>
      <c r="G354" s="1">
        <v>45014</v>
      </c>
      <c r="H354" s="1"/>
      <c r="I354" t="s">
        <v>1737</v>
      </c>
      <c r="J354" t="s">
        <v>29</v>
      </c>
      <c r="K354" t="s">
        <v>29</v>
      </c>
      <c r="M354">
        <v>100</v>
      </c>
      <c r="N354" s="1">
        <v>45019</v>
      </c>
      <c r="O354" s="12"/>
    </row>
    <row r="355" spans="1:15" x14ac:dyDescent="0.25">
      <c r="A355" t="s">
        <v>5552</v>
      </c>
      <c r="B355" t="s">
        <v>13</v>
      </c>
      <c r="C355" t="s">
        <v>247</v>
      </c>
      <c r="D355" t="s">
        <v>1675</v>
      </c>
      <c r="E355" t="s">
        <v>5553</v>
      </c>
      <c r="F355" t="s">
        <v>14</v>
      </c>
      <c r="G355" s="1">
        <v>45014</v>
      </c>
      <c r="H355" s="1"/>
      <c r="I355" t="s">
        <v>1737</v>
      </c>
      <c r="J355" t="s">
        <v>29</v>
      </c>
      <c r="K355" t="s">
        <v>29</v>
      </c>
      <c r="M355">
        <v>100</v>
      </c>
      <c r="N355" s="1">
        <v>45042</v>
      </c>
      <c r="O355" s="12"/>
    </row>
    <row r="356" spans="1:15" x14ac:dyDescent="0.25">
      <c r="A356" t="s">
        <v>5554</v>
      </c>
      <c r="B356" t="s">
        <v>704</v>
      </c>
      <c r="C356" t="s">
        <v>5454</v>
      </c>
      <c r="D356" t="s">
        <v>5555</v>
      </c>
      <c r="E356" t="s">
        <v>5556</v>
      </c>
      <c r="F356" t="s">
        <v>14</v>
      </c>
      <c r="G356" s="1">
        <v>45014</v>
      </c>
      <c r="H356" s="1"/>
      <c r="I356" t="s">
        <v>2952</v>
      </c>
      <c r="J356" t="s">
        <v>29</v>
      </c>
      <c r="K356" t="s">
        <v>29</v>
      </c>
    </row>
    <row r="357" spans="1:15" x14ac:dyDescent="0.25">
      <c r="A357" t="s">
        <v>5557</v>
      </c>
      <c r="B357" t="s">
        <v>704</v>
      </c>
      <c r="C357" t="s">
        <v>5558</v>
      </c>
      <c r="D357" t="s">
        <v>5559</v>
      </c>
      <c r="E357" t="s">
        <v>5560</v>
      </c>
      <c r="F357" t="s">
        <v>555</v>
      </c>
      <c r="G357" s="1">
        <v>45016</v>
      </c>
      <c r="H357" s="1"/>
      <c r="I357" t="s">
        <v>1737</v>
      </c>
      <c r="J357" t="s">
        <v>29</v>
      </c>
      <c r="K357" t="s">
        <v>29</v>
      </c>
      <c r="M357">
        <v>100</v>
      </c>
      <c r="N357" s="1">
        <v>45028</v>
      </c>
      <c r="O357" s="12"/>
    </row>
    <row r="358" spans="1:15" x14ac:dyDescent="0.25">
      <c r="A358" t="s">
        <v>5561</v>
      </c>
      <c r="B358" t="s">
        <v>325</v>
      </c>
      <c r="C358" t="s">
        <v>4661</v>
      </c>
      <c r="D358" t="s">
        <v>475</v>
      </c>
      <c r="E358" t="s">
        <v>5562</v>
      </c>
      <c r="F358" t="s">
        <v>14</v>
      </c>
      <c r="G358" s="1">
        <v>45015</v>
      </c>
      <c r="H358" s="1"/>
      <c r="I358" t="s">
        <v>1737</v>
      </c>
      <c r="J358" t="s">
        <v>29</v>
      </c>
      <c r="K358" t="s">
        <v>29</v>
      </c>
      <c r="M358">
        <v>100</v>
      </c>
      <c r="N358" s="1">
        <v>45023</v>
      </c>
      <c r="O358" s="12"/>
    </row>
    <row r="359" spans="1:15" x14ac:dyDescent="0.25">
      <c r="A359" t="s">
        <v>5563</v>
      </c>
      <c r="B359" t="s">
        <v>704</v>
      </c>
      <c r="C359" t="s">
        <v>243</v>
      </c>
      <c r="D359" t="s">
        <v>244</v>
      </c>
      <c r="E359" t="s">
        <v>5564</v>
      </c>
      <c r="F359" t="s">
        <v>5565</v>
      </c>
      <c r="G359" s="1">
        <v>45019</v>
      </c>
      <c r="H359" s="1"/>
      <c r="I359" t="s">
        <v>1737</v>
      </c>
      <c r="J359" t="s">
        <v>29</v>
      </c>
      <c r="K359" t="s">
        <v>29</v>
      </c>
      <c r="M359">
        <v>100</v>
      </c>
      <c r="N359" s="1">
        <v>45033</v>
      </c>
      <c r="O359" s="12"/>
    </row>
    <row r="360" spans="1:15" x14ac:dyDescent="0.25">
      <c r="A360" t="s">
        <v>5566</v>
      </c>
      <c r="B360" t="s">
        <v>704</v>
      </c>
      <c r="C360" t="s">
        <v>670</v>
      </c>
      <c r="D360" t="s">
        <v>5214</v>
      </c>
      <c r="E360" t="s">
        <v>5567</v>
      </c>
      <c r="F360" t="s">
        <v>5413</v>
      </c>
      <c r="G360" s="1">
        <v>45019</v>
      </c>
      <c r="H360" s="1"/>
      <c r="I360" t="s">
        <v>1737</v>
      </c>
      <c r="J360" t="s">
        <v>29</v>
      </c>
      <c r="K360" t="s">
        <v>29</v>
      </c>
      <c r="M360">
        <v>100</v>
      </c>
      <c r="N360" s="1">
        <v>45054</v>
      </c>
      <c r="O360" s="12"/>
    </row>
    <row r="361" spans="1:15" x14ac:dyDescent="0.25">
      <c r="A361" t="s">
        <v>5568</v>
      </c>
      <c r="B361" t="s">
        <v>714</v>
      </c>
      <c r="C361" t="s">
        <v>411</v>
      </c>
      <c r="E361" t="s">
        <v>5569</v>
      </c>
      <c r="F361" t="s">
        <v>14</v>
      </c>
      <c r="G361" s="1">
        <v>45019</v>
      </c>
      <c r="H361" s="1"/>
      <c r="I361" t="s">
        <v>1737</v>
      </c>
      <c r="J361" t="s">
        <v>29</v>
      </c>
      <c r="K361" t="s">
        <v>29</v>
      </c>
      <c r="M361">
        <v>100</v>
      </c>
      <c r="N361" s="1">
        <v>45043</v>
      </c>
      <c r="O361" s="12"/>
    </row>
    <row r="362" spans="1:15" x14ac:dyDescent="0.25">
      <c r="A362" t="s">
        <v>5570</v>
      </c>
      <c r="B362" t="s">
        <v>704</v>
      </c>
      <c r="C362" t="s">
        <v>243</v>
      </c>
      <c r="D362" t="s">
        <v>5166</v>
      </c>
      <c r="E362" t="s">
        <v>5571</v>
      </c>
      <c r="F362" t="s">
        <v>5572</v>
      </c>
      <c r="G362" s="1">
        <v>45020</v>
      </c>
      <c r="H362" s="1"/>
      <c r="I362" t="s">
        <v>1737</v>
      </c>
      <c r="J362" t="s">
        <v>29</v>
      </c>
      <c r="K362" t="s">
        <v>29</v>
      </c>
      <c r="M362">
        <v>100</v>
      </c>
      <c r="N362" s="1">
        <v>45029</v>
      </c>
      <c r="O362" s="12"/>
    </row>
    <row r="363" spans="1:15" x14ac:dyDescent="0.25">
      <c r="A363" t="s">
        <v>5573</v>
      </c>
      <c r="B363" t="s">
        <v>704</v>
      </c>
      <c r="C363" t="s">
        <v>4698</v>
      </c>
      <c r="D363" t="s">
        <v>5478</v>
      </c>
      <c r="E363" t="s">
        <v>5574</v>
      </c>
      <c r="F363" t="s">
        <v>5413</v>
      </c>
      <c r="G363" s="1">
        <v>45020</v>
      </c>
      <c r="H363" s="1"/>
      <c r="I363" t="s">
        <v>1737</v>
      </c>
      <c r="J363" t="s">
        <v>29</v>
      </c>
      <c r="K363" t="s">
        <v>29</v>
      </c>
      <c r="M363">
        <v>100</v>
      </c>
      <c r="N363" s="1">
        <v>45040</v>
      </c>
      <c r="O363" s="12"/>
    </row>
    <row r="364" spans="1:15" x14ac:dyDescent="0.25">
      <c r="A364" t="s">
        <v>5575</v>
      </c>
      <c r="B364" t="s">
        <v>704</v>
      </c>
      <c r="C364" t="s">
        <v>243</v>
      </c>
      <c r="D364" t="s">
        <v>244</v>
      </c>
      <c r="E364" t="s">
        <v>5576</v>
      </c>
      <c r="F364" t="s">
        <v>555</v>
      </c>
      <c r="G364" s="1">
        <v>45020</v>
      </c>
      <c r="H364" s="1"/>
      <c r="I364" t="s">
        <v>1737</v>
      </c>
      <c r="J364" t="s">
        <v>29</v>
      </c>
      <c r="K364" t="s">
        <v>29</v>
      </c>
      <c r="M364">
        <v>100</v>
      </c>
      <c r="N364" s="1">
        <v>45062</v>
      </c>
      <c r="O364" s="12"/>
    </row>
    <row r="365" spans="1:15" x14ac:dyDescent="0.25">
      <c r="A365" t="s">
        <v>5577</v>
      </c>
      <c r="B365" t="s">
        <v>704</v>
      </c>
      <c r="C365" t="s">
        <v>670</v>
      </c>
      <c r="D365" t="s">
        <v>671</v>
      </c>
      <c r="E365" t="s">
        <v>5578</v>
      </c>
      <c r="F365" t="s">
        <v>3148</v>
      </c>
      <c r="G365" s="1">
        <v>45022</v>
      </c>
      <c r="H365" s="1"/>
      <c r="I365" t="s">
        <v>1737</v>
      </c>
      <c r="J365" t="s">
        <v>29</v>
      </c>
      <c r="K365" t="s">
        <v>29</v>
      </c>
      <c r="M365">
        <v>100</v>
      </c>
      <c r="N365" s="1">
        <v>45159</v>
      </c>
      <c r="O365" s="12"/>
    </row>
    <row r="366" spans="1:15" x14ac:dyDescent="0.25">
      <c r="A366" t="s">
        <v>5579</v>
      </c>
      <c r="B366" t="s">
        <v>704</v>
      </c>
      <c r="C366" t="s">
        <v>670</v>
      </c>
      <c r="D366" t="s">
        <v>5102</v>
      </c>
      <c r="E366" t="s">
        <v>4934</v>
      </c>
      <c r="F366" t="s">
        <v>3148</v>
      </c>
      <c r="G366" s="1">
        <v>45023</v>
      </c>
      <c r="H366" s="1"/>
      <c r="I366" t="s">
        <v>1737</v>
      </c>
      <c r="J366" t="s">
        <v>29</v>
      </c>
      <c r="K366" t="s">
        <v>29</v>
      </c>
      <c r="M366">
        <v>100</v>
      </c>
      <c r="N366" s="1" t="s">
        <v>5580</v>
      </c>
      <c r="O366" s="12"/>
    </row>
    <row r="367" spans="1:15" x14ac:dyDescent="0.25">
      <c r="A367" t="s">
        <v>5581</v>
      </c>
      <c r="B367" t="s">
        <v>621</v>
      </c>
      <c r="C367" t="s">
        <v>479</v>
      </c>
      <c r="D367" t="s">
        <v>633</v>
      </c>
      <c r="E367" t="s">
        <v>5582</v>
      </c>
      <c r="F367" t="s">
        <v>14</v>
      </c>
      <c r="G367" s="1">
        <v>45023</v>
      </c>
      <c r="H367" s="1"/>
      <c r="I367" t="s">
        <v>1737</v>
      </c>
      <c r="J367" t="s">
        <v>29</v>
      </c>
      <c r="M367">
        <v>100</v>
      </c>
      <c r="N367" s="1">
        <v>45156</v>
      </c>
      <c r="O367" s="12"/>
    </row>
    <row r="368" spans="1:15" x14ac:dyDescent="0.25">
      <c r="A368" t="s">
        <v>5583</v>
      </c>
      <c r="B368" t="s">
        <v>325</v>
      </c>
      <c r="C368" t="s">
        <v>5525</v>
      </c>
      <c r="D368" t="s">
        <v>5526</v>
      </c>
      <c r="E368" t="s">
        <v>5584</v>
      </c>
      <c r="F368" t="s">
        <v>14</v>
      </c>
      <c r="G368" s="1">
        <v>45026</v>
      </c>
      <c r="H368" s="1"/>
      <c r="I368" t="s">
        <v>1737</v>
      </c>
      <c r="J368" t="s">
        <v>29</v>
      </c>
      <c r="M368">
        <v>100</v>
      </c>
      <c r="N368" s="1">
        <v>45027</v>
      </c>
      <c r="O368" s="12"/>
    </row>
    <row r="369" spans="1:15" x14ac:dyDescent="0.25">
      <c r="A369" t="s">
        <v>5585</v>
      </c>
      <c r="B369" t="s">
        <v>325</v>
      </c>
      <c r="C369" t="s">
        <v>4929</v>
      </c>
      <c r="D369" t="s">
        <v>5586</v>
      </c>
      <c r="E369" t="s">
        <v>5587</v>
      </c>
      <c r="F369" t="s">
        <v>14</v>
      </c>
      <c r="G369" s="1">
        <v>45026</v>
      </c>
      <c r="H369" s="1"/>
      <c r="I369" t="s">
        <v>1737</v>
      </c>
      <c r="J369" t="s">
        <v>29</v>
      </c>
      <c r="M369">
        <v>100</v>
      </c>
      <c r="N369" s="1">
        <v>45058</v>
      </c>
      <c r="O369" s="12"/>
    </row>
    <row r="370" spans="1:15" x14ac:dyDescent="0.25">
      <c r="A370" t="s">
        <v>5588</v>
      </c>
      <c r="B370" t="s">
        <v>13</v>
      </c>
      <c r="C370" t="s">
        <v>5534</v>
      </c>
      <c r="D370" t="s">
        <v>311</v>
      </c>
      <c r="E370" t="s">
        <v>5589</v>
      </c>
      <c r="F370" t="s">
        <v>14</v>
      </c>
      <c r="G370" s="1">
        <v>45027</v>
      </c>
      <c r="H370" s="1"/>
      <c r="I370" t="s">
        <v>1737</v>
      </c>
      <c r="J370" t="s">
        <v>29</v>
      </c>
      <c r="K370" t="s">
        <v>18</v>
      </c>
      <c r="M370">
        <v>100</v>
      </c>
      <c r="N370" s="1">
        <v>45106</v>
      </c>
      <c r="O370" s="12"/>
    </row>
    <row r="371" spans="1:15" x14ac:dyDescent="0.25">
      <c r="A371" t="s">
        <v>5590</v>
      </c>
      <c r="B371" t="s">
        <v>325</v>
      </c>
      <c r="C371" t="s">
        <v>5591</v>
      </c>
      <c r="D371" t="s">
        <v>5592</v>
      </c>
      <c r="E371" t="s">
        <v>5593</v>
      </c>
      <c r="F371" t="s">
        <v>14</v>
      </c>
      <c r="G371" s="1">
        <v>45030</v>
      </c>
      <c r="H371" s="1"/>
      <c r="I371" t="s">
        <v>1737</v>
      </c>
      <c r="J371" t="s">
        <v>29</v>
      </c>
      <c r="M371">
        <v>100</v>
      </c>
      <c r="N371" s="1">
        <v>45030</v>
      </c>
      <c r="O371" s="12"/>
    </row>
    <row r="372" spans="1:15" x14ac:dyDescent="0.25">
      <c r="A372" t="s">
        <v>5594</v>
      </c>
      <c r="B372" t="s">
        <v>704</v>
      </c>
      <c r="C372" t="s">
        <v>670</v>
      </c>
      <c r="D372" t="s">
        <v>5102</v>
      </c>
      <c r="E372" t="s">
        <v>5103</v>
      </c>
      <c r="F372" t="s">
        <v>3148</v>
      </c>
      <c r="G372" s="1">
        <v>45030</v>
      </c>
      <c r="H372" s="1"/>
      <c r="I372" t="s">
        <v>1737</v>
      </c>
      <c r="J372" t="s">
        <v>29</v>
      </c>
      <c r="K372" t="s">
        <v>29</v>
      </c>
      <c r="M372">
        <v>100</v>
      </c>
      <c r="N372" s="1">
        <v>45055</v>
      </c>
      <c r="O372" s="12"/>
    </row>
    <row r="373" spans="1:15" x14ac:dyDescent="0.25">
      <c r="A373" t="s">
        <v>5595</v>
      </c>
      <c r="B373" t="s">
        <v>704</v>
      </c>
      <c r="C373" t="s">
        <v>70</v>
      </c>
      <c r="D373" t="s">
        <v>5288</v>
      </c>
      <c r="E373" t="s">
        <v>5596</v>
      </c>
      <c r="F373" t="s">
        <v>5597</v>
      </c>
      <c r="G373" s="1">
        <v>45033</v>
      </c>
      <c r="H373" s="1"/>
      <c r="I373" t="s">
        <v>1737</v>
      </c>
      <c r="J373" t="s">
        <v>29</v>
      </c>
      <c r="K373" t="s">
        <v>29</v>
      </c>
      <c r="M373">
        <v>100</v>
      </c>
      <c r="N373" s="1">
        <v>45036</v>
      </c>
      <c r="O373" s="12"/>
    </row>
    <row r="374" spans="1:15" x14ac:dyDescent="0.25">
      <c r="A374" s="13" t="s">
        <v>5598</v>
      </c>
      <c r="B374" s="13" t="s">
        <v>704</v>
      </c>
      <c r="C374" s="13" t="s">
        <v>5188</v>
      </c>
      <c r="D374" s="13" t="s">
        <v>5338</v>
      </c>
      <c r="E374" s="13" t="s">
        <v>5599</v>
      </c>
      <c r="F374" s="13" t="s">
        <v>5600</v>
      </c>
      <c r="G374" s="14">
        <v>45033</v>
      </c>
      <c r="H374" s="14"/>
      <c r="I374" s="13" t="s">
        <v>2762</v>
      </c>
      <c r="J374" s="13" t="s">
        <v>29</v>
      </c>
      <c r="K374" s="13" t="s">
        <v>29</v>
      </c>
      <c r="L374" t="s">
        <v>5601</v>
      </c>
      <c r="O374" s="12"/>
    </row>
    <row r="375" spans="1:15" x14ac:dyDescent="0.25">
      <c r="A375" t="s">
        <v>5602</v>
      </c>
      <c r="B375" t="s">
        <v>704</v>
      </c>
      <c r="C375" t="s">
        <v>677</v>
      </c>
      <c r="D375" t="s">
        <v>678</v>
      </c>
      <c r="E375" t="s">
        <v>5603</v>
      </c>
      <c r="F375" t="s">
        <v>555</v>
      </c>
      <c r="G375" s="1">
        <v>45034</v>
      </c>
      <c r="H375" s="1"/>
      <c r="I375" t="s">
        <v>1737</v>
      </c>
      <c r="J375" t="s">
        <v>29</v>
      </c>
      <c r="K375" t="s">
        <v>29</v>
      </c>
      <c r="M375">
        <v>100</v>
      </c>
      <c r="N375" s="1">
        <v>45049</v>
      </c>
      <c r="O375" s="12"/>
    </row>
    <row r="376" spans="1:15" x14ac:dyDescent="0.25">
      <c r="A376" t="s">
        <v>5604</v>
      </c>
      <c r="B376" t="s">
        <v>704</v>
      </c>
      <c r="C376" t="s">
        <v>4737</v>
      </c>
      <c r="D376" t="s">
        <v>5380</v>
      </c>
      <c r="E376" t="s">
        <v>4738</v>
      </c>
      <c r="F376" t="s">
        <v>555</v>
      </c>
      <c r="G376" s="1">
        <v>45034</v>
      </c>
      <c r="H376" s="1"/>
      <c r="I376" t="s">
        <v>2762</v>
      </c>
      <c r="J376" t="s">
        <v>29</v>
      </c>
      <c r="K376" t="s">
        <v>29</v>
      </c>
      <c r="O376" s="12"/>
    </row>
    <row r="377" spans="1:15" x14ac:dyDescent="0.25">
      <c r="A377" t="s">
        <v>5605</v>
      </c>
      <c r="B377" t="s">
        <v>135</v>
      </c>
      <c r="C377" t="s">
        <v>742</v>
      </c>
      <c r="D377" t="s">
        <v>5606</v>
      </c>
      <c r="E377" t="s">
        <v>5607</v>
      </c>
      <c r="F377" t="s">
        <v>14</v>
      </c>
      <c r="G377" s="1">
        <v>45034</v>
      </c>
      <c r="H377" s="1"/>
      <c r="I377" t="s">
        <v>1737</v>
      </c>
      <c r="J377" t="s">
        <v>29</v>
      </c>
      <c r="K377" t="s">
        <v>29</v>
      </c>
      <c r="M377">
        <v>100</v>
      </c>
      <c r="N377" s="1">
        <v>45037</v>
      </c>
      <c r="O377" s="12"/>
    </row>
    <row r="378" spans="1:15" x14ac:dyDescent="0.25">
      <c r="A378" t="s">
        <v>5608</v>
      </c>
      <c r="B378" t="s">
        <v>24</v>
      </c>
      <c r="C378" t="s">
        <v>126</v>
      </c>
      <c r="D378" t="s">
        <v>232</v>
      </c>
      <c r="E378" t="s">
        <v>5609</v>
      </c>
      <c r="F378" t="s">
        <v>5610</v>
      </c>
      <c r="G378" s="1">
        <v>45034</v>
      </c>
      <c r="H378" s="1"/>
      <c r="I378" t="s">
        <v>1737</v>
      </c>
      <c r="J378" t="s">
        <v>29</v>
      </c>
      <c r="K378" t="s">
        <v>29</v>
      </c>
      <c r="M378">
        <v>100</v>
      </c>
      <c r="N378" s="1">
        <v>45083</v>
      </c>
      <c r="O378" s="12"/>
    </row>
    <row r="379" spans="1:15" x14ac:dyDescent="0.25">
      <c r="A379" t="s">
        <v>5611</v>
      </c>
      <c r="B379" t="s">
        <v>24</v>
      </c>
      <c r="C379" t="s">
        <v>126</v>
      </c>
      <c r="D379" t="s">
        <v>232</v>
      </c>
      <c r="E379" t="s">
        <v>5612</v>
      </c>
      <c r="F379" t="s">
        <v>5610</v>
      </c>
      <c r="G379" s="1">
        <v>45063</v>
      </c>
      <c r="H379" s="1"/>
      <c r="I379" t="s">
        <v>1737</v>
      </c>
      <c r="J379" t="s">
        <v>29</v>
      </c>
      <c r="M379">
        <v>100</v>
      </c>
      <c r="N379" s="1">
        <v>45103</v>
      </c>
      <c r="O379" s="12"/>
    </row>
    <row r="380" spans="1:15" x14ac:dyDescent="0.25">
      <c r="A380" t="s">
        <v>5613</v>
      </c>
      <c r="B380" t="s">
        <v>704</v>
      </c>
      <c r="C380" t="s">
        <v>163</v>
      </c>
      <c r="D380" t="s">
        <v>5614</v>
      </c>
      <c r="E380" t="s">
        <v>5615</v>
      </c>
      <c r="F380" t="s">
        <v>5616</v>
      </c>
      <c r="G380" s="1">
        <v>45035</v>
      </c>
      <c r="H380" s="1"/>
      <c r="I380" t="s">
        <v>1737</v>
      </c>
      <c r="J380" t="s">
        <v>29</v>
      </c>
      <c r="K380" t="s">
        <v>29</v>
      </c>
      <c r="O380" s="12"/>
    </row>
    <row r="381" spans="1:15" x14ac:dyDescent="0.25">
      <c r="A381" t="s">
        <v>5617</v>
      </c>
      <c r="B381" t="s">
        <v>704</v>
      </c>
      <c r="C381" t="s">
        <v>70</v>
      </c>
      <c r="D381" t="s">
        <v>5288</v>
      </c>
      <c r="E381" t="s">
        <v>5618</v>
      </c>
      <c r="F381" t="s">
        <v>5454</v>
      </c>
      <c r="G381" s="1">
        <v>45037</v>
      </c>
      <c r="H381" s="1"/>
      <c r="I381" t="s">
        <v>1737</v>
      </c>
      <c r="J381" t="s">
        <v>29</v>
      </c>
      <c r="K381" t="s">
        <v>29</v>
      </c>
      <c r="M381">
        <v>100</v>
      </c>
      <c r="N381" s="1">
        <v>45042</v>
      </c>
      <c r="O381" s="12"/>
    </row>
    <row r="382" spans="1:15" x14ac:dyDescent="0.25">
      <c r="A382" t="s">
        <v>5619</v>
      </c>
      <c r="B382" t="s">
        <v>325</v>
      </c>
      <c r="C382" t="s">
        <v>4661</v>
      </c>
      <c r="D382" t="s">
        <v>5559</v>
      </c>
      <c r="E382" t="s">
        <v>5620</v>
      </c>
      <c r="F382" t="s">
        <v>5621</v>
      </c>
      <c r="G382" s="1">
        <v>45037</v>
      </c>
      <c r="H382" s="1"/>
      <c r="I382" t="s">
        <v>1737</v>
      </c>
      <c r="J382" t="s">
        <v>29</v>
      </c>
      <c r="M382">
        <v>100</v>
      </c>
      <c r="N382" s="1">
        <v>45082</v>
      </c>
      <c r="O382" s="12"/>
    </row>
    <row r="383" spans="1:15" x14ac:dyDescent="0.25">
      <c r="A383" t="s">
        <v>5622</v>
      </c>
      <c r="B383" t="s">
        <v>704</v>
      </c>
      <c r="C383" t="s">
        <v>163</v>
      </c>
      <c r="D383" t="s">
        <v>5623</v>
      </c>
      <c r="E383" t="s">
        <v>5624</v>
      </c>
      <c r="F383" t="s">
        <v>5413</v>
      </c>
      <c r="G383" s="1">
        <v>45037</v>
      </c>
      <c r="H383" s="1"/>
      <c r="I383" t="s">
        <v>1737</v>
      </c>
      <c r="J383" t="s">
        <v>29</v>
      </c>
      <c r="K383" t="s">
        <v>29</v>
      </c>
      <c r="M383">
        <v>100</v>
      </c>
      <c r="N383" s="1">
        <v>45051</v>
      </c>
      <c r="O383" s="12"/>
    </row>
    <row r="384" spans="1:15" x14ac:dyDescent="0.25">
      <c r="A384" t="s">
        <v>5625</v>
      </c>
      <c r="B384" t="s">
        <v>24</v>
      </c>
      <c r="C384" t="s">
        <v>2893</v>
      </c>
      <c r="E384" t="s">
        <v>5626</v>
      </c>
      <c r="F384" t="s">
        <v>5627</v>
      </c>
      <c r="G384" s="1">
        <v>45037</v>
      </c>
      <c r="H384" s="1"/>
      <c r="I384" t="s">
        <v>1737</v>
      </c>
      <c r="J384" t="s">
        <v>29</v>
      </c>
      <c r="M384">
        <v>100</v>
      </c>
      <c r="N384" s="1">
        <v>45077</v>
      </c>
      <c r="O384" s="12"/>
    </row>
    <row r="385" spans="1:15" x14ac:dyDescent="0.25">
      <c r="A385" t="s">
        <v>5628</v>
      </c>
      <c r="B385" t="s">
        <v>704</v>
      </c>
      <c r="C385" t="s">
        <v>4929</v>
      </c>
      <c r="D385" t="s">
        <v>5629</v>
      </c>
      <c r="E385" t="s">
        <v>5630</v>
      </c>
      <c r="F385" t="s">
        <v>5631</v>
      </c>
      <c r="G385" s="1">
        <v>45040</v>
      </c>
      <c r="H385" s="1"/>
      <c r="I385" t="s">
        <v>1737</v>
      </c>
      <c r="J385" t="s">
        <v>29</v>
      </c>
      <c r="K385" t="s">
        <v>29</v>
      </c>
      <c r="M385">
        <v>100</v>
      </c>
      <c r="N385" s="1">
        <v>45054</v>
      </c>
      <c r="O385" s="12"/>
    </row>
    <row r="386" spans="1:15" x14ac:dyDescent="0.25">
      <c r="A386" t="s">
        <v>5632</v>
      </c>
      <c r="B386" t="s">
        <v>704</v>
      </c>
      <c r="C386" t="s">
        <v>4698</v>
      </c>
      <c r="D386" t="s">
        <v>5478</v>
      </c>
      <c r="E386" t="s">
        <v>5633</v>
      </c>
      <c r="F386" t="s">
        <v>5413</v>
      </c>
      <c r="G386" s="1">
        <v>45041</v>
      </c>
      <c r="H386" s="1"/>
      <c r="I386" t="s">
        <v>1737</v>
      </c>
      <c r="J386" t="s">
        <v>29</v>
      </c>
      <c r="K386" t="s">
        <v>29</v>
      </c>
      <c r="M386">
        <v>100</v>
      </c>
      <c r="N386" s="1">
        <v>45050</v>
      </c>
      <c r="O386" s="12"/>
    </row>
    <row r="387" spans="1:15" x14ac:dyDescent="0.25">
      <c r="A387" t="s">
        <v>5634</v>
      </c>
      <c r="B387" t="s">
        <v>704</v>
      </c>
      <c r="C387" t="s">
        <v>5635</v>
      </c>
      <c r="D387" t="s">
        <v>5636</v>
      </c>
      <c r="E387" t="s">
        <v>5637</v>
      </c>
      <c r="F387" t="s">
        <v>5638</v>
      </c>
      <c r="G387" s="1">
        <v>45041</v>
      </c>
      <c r="H387" s="1"/>
      <c r="I387" t="s">
        <v>1737</v>
      </c>
      <c r="J387" t="s">
        <v>29</v>
      </c>
      <c r="K387" t="s">
        <v>29</v>
      </c>
      <c r="M387">
        <v>100</v>
      </c>
      <c r="N387" s="1">
        <v>45138</v>
      </c>
      <c r="O387" s="12" t="s">
        <v>5639</v>
      </c>
    </row>
    <row r="388" spans="1:15" x14ac:dyDescent="0.25">
      <c r="A388" t="s">
        <v>5640</v>
      </c>
      <c r="B388" t="s">
        <v>704</v>
      </c>
      <c r="C388" t="s">
        <v>5641</v>
      </c>
      <c r="D388" t="s">
        <v>5641</v>
      </c>
      <c r="E388" t="s">
        <v>5642</v>
      </c>
      <c r="F388" t="s">
        <v>5643</v>
      </c>
      <c r="G388" s="1">
        <v>45043</v>
      </c>
      <c r="H388" s="1"/>
      <c r="I388" t="s">
        <v>1737</v>
      </c>
      <c r="J388" t="s">
        <v>29</v>
      </c>
      <c r="K388" t="s">
        <v>29</v>
      </c>
      <c r="O388" s="12"/>
    </row>
    <row r="389" spans="1:15" x14ac:dyDescent="0.25">
      <c r="A389" t="s">
        <v>5644</v>
      </c>
      <c r="B389" t="s">
        <v>13</v>
      </c>
      <c r="C389" t="s">
        <v>47</v>
      </c>
      <c r="D389" t="s">
        <v>345</v>
      </c>
      <c r="E389" t="s">
        <v>5645</v>
      </c>
      <c r="F389" t="s">
        <v>5646</v>
      </c>
      <c r="G389" s="1">
        <v>45044</v>
      </c>
      <c r="H389" s="1"/>
      <c r="I389" t="s">
        <v>1737</v>
      </c>
      <c r="J389" t="s">
        <v>29</v>
      </c>
      <c r="L389" t="s">
        <v>386</v>
      </c>
      <c r="M389">
        <v>100</v>
      </c>
      <c r="N389" s="1">
        <v>45064</v>
      </c>
      <c r="O389" s="12"/>
    </row>
    <row r="390" spans="1:15" x14ac:dyDescent="0.25">
      <c r="A390" t="s">
        <v>5647</v>
      </c>
      <c r="B390" t="s">
        <v>704</v>
      </c>
      <c r="C390" t="s">
        <v>163</v>
      </c>
      <c r="D390" t="s">
        <v>5648</v>
      </c>
      <c r="E390" t="s">
        <v>5649</v>
      </c>
      <c r="F390" t="s">
        <v>555</v>
      </c>
      <c r="G390" s="1">
        <v>45047</v>
      </c>
      <c r="H390" s="1"/>
      <c r="I390" t="s">
        <v>1737</v>
      </c>
      <c r="J390" t="s">
        <v>29</v>
      </c>
      <c r="K390" t="s">
        <v>29</v>
      </c>
      <c r="M390">
        <v>100</v>
      </c>
      <c r="N390" s="1">
        <v>45103</v>
      </c>
      <c r="O390" s="12"/>
    </row>
    <row r="391" spans="1:15" x14ac:dyDescent="0.25">
      <c r="A391" t="s">
        <v>5650</v>
      </c>
      <c r="B391" t="s">
        <v>704</v>
      </c>
      <c r="C391" t="s">
        <v>4661</v>
      </c>
      <c r="D391" t="s">
        <v>5106</v>
      </c>
      <c r="E391" t="s">
        <v>5651</v>
      </c>
      <c r="F391" t="s">
        <v>5454</v>
      </c>
      <c r="G391" s="1">
        <v>45048</v>
      </c>
      <c r="H391" s="1"/>
      <c r="I391" t="s">
        <v>1737</v>
      </c>
      <c r="J391" t="s">
        <v>29</v>
      </c>
      <c r="K391" t="s">
        <v>29</v>
      </c>
      <c r="M391">
        <v>100</v>
      </c>
      <c r="N391" s="1">
        <v>45057</v>
      </c>
      <c r="O391" s="12"/>
    </row>
    <row r="392" spans="1:15" x14ac:dyDescent="0.25">
      <c r="A392" t="s">
        <v>5652</v>
      </c>
      <c r="B392" t="s">
        <v>704</v>
      </c>
      <c r="C392" t="s">
        <v>677</v>
      </c>
      <c r="D392" t="s">
        <v>678</v>
      </c>
      <c r="E392" t="s">
        <v>5366</v>
      </c>
      <c r="F392" t="s">
        <v>555</v>
      </c>
      <c r="G392" s="1">
        <v>45048</v>
      </c>
      <c r="H392" s="1"/>
      <c r="I392" t="s">
        <v>1737</v>
      </c>
      <c r="J392" t="s">
        <v>29</v>
      </c>
      <c r="K392" t="s">
        <v>29</v>
      </c>
      <c r="M392">
        <v>100</v>
      </c>
      <c r="N392" s="1">
        <v>45058</v>
      </c>
      <c r="O392" s="12"/>
    </row>
    <row r="393" spans="1:15" x14ac:dyDescent="0.25">
      <c r="A393" t="s">
        <v>5653</v>
      </c>
      <c r="B393" t="s">
        <v>704</v>
      </c>
      <c r="C393" t="s">
        <v>4661</v>
      </c>
      <c r="D393" t="s">
        <v>5106</v>
      </c>
      <c r="E393" t="s">
        <v>5654</v>
      </c>
      <c r="F393" t="s">
        <v>5655</v>
      </c>
      <c r="G393" s="1">
        <v>45050</v>
      </c>
      <c r="H393" s="1"/>
      <c r="I393" t="s">
        <v>1737</v>
      </c>
      <c r="J393" t="s">
        <v>29</v>
      </c>
      <c r="K393" t="s">
        <v>29</v>
      </c>
      <c r="M393">
        <v>100</v>
      </c>
      <c r="N393" s="1">
        <v>45050</v>
      </c>
      <c r="O393" s="12"/>
    </row>
    <row r="394" spans="1:15" x14ac:dyDescent="0.25">
      <c r="A394" t="s">
        <v>5656</v>
      </c>
      <c r="B394" t="s">
        <v>704</v>
      </c>
      <c r="C394" t="s">
        <v>4661</v>
      </c>
      <c r="D394" t="s">
        <v>5106</v>
      </c>
      <c r="E394" t="s">
        <v>5657</v>
      </c>
      <c r="F394" t="s">
        <v>5658</v>
      </c>
      <c r="G394" s="1">
        <v>45050</v>
      </c>
      <c r="H394" s="1"/>
      <c r="I394" t="s">
        <v>1737</v>
      </c>
      <c r="J394" t="s">
        <v>29</v>
      </c>
      <c r="K394" t="s">
        <v>29</v>
      </c>
      <c r="M394">
        <v>100</v>
      </c>
      <c r="N394" s="1">
        <v>45057</v>
      </c>
      <c r="O394" s="12"/>
    </row>
    <row r="395" spans="1:15" x14ac:dyDescent="0.25">
      <c r="A395" t="s">
        <v>5659</v>
      </c>
      <c r="B395" t="s">
        <v>704</v>
      </c>
      <c r="C395" t="s">
        <v>163</v>
      </c>
      <c r="D395" t="s">
        <v>5660</v>
      </c>
      <c r="E395" t="s">
        <v>5661</v>
      </c>
      <c r="F395" t="s">
        <v>5413</v>
      </c>
      <c r="G395" s="1">
        <v>45050</v>
      </c>
      <c r="H395" s="1"/>
      <c r="I395" t="s">
        <v>1737</v>
      </c>
      <c r="J395" t="s">
        <v>29</v>
      </c>
      <c r="K395" t="s">
        <v>29</v>
      </c>
      <c r="M395" t="s">
        <v>5662</v>
      </c>
      <c r="N395" s="1" t="s">
        <v>5663</v>
      </c>
      <c r="O395" s="12"/>
    </row>
    <row r="396" spans="1:15" x14ac:dyDescent="0.25">
      <c r="A396" t="s">
        <v>5664</v>
      </c>
      <c r="B396" t="s">
        <v>325</v>
      </c>
      <c r="C396" t="s">
        <v>43</v>
      </c>
      <c r="E396" t="s">
        <v>5665</v>
      </c>
      <c r="F396" t="s">
        <v>5666</v>
      </c>
      <c r="G396" s="1">
        <v>45051</v>
      </c>
      <c r="H396" s="1"/>
      <c r="I396" t="s">
        <v>1737</v>
      </c>
      <c r="J396" t="s">
        <v>29</v>
      </c>
      <c r="M396">
        <v>100</v>
      </c>
      <c r="N396" s="1">
        <v>45295</v>
      </c>
      <c r="O396" s="12"/>
    </row>
    <row r="397" spans="1:15" x14ac:dyDescent="0.25">
      <c r="A397" t="s">
        <v>5667</v>
      </c>
      <c r="B397" t="s">
        <v>704</v>
      </c>
      <c r="C397" t="s">
        <v>243</v>
      </c>
      <c r="D397" t="s">
        <v>244</v>
      </c>
      <c r="E397" t="s">
        <v>5668</v>
      </c>
      <c r="F397" t="s">
        <v>5669</v>
      </c>
      <c r="G397" s="1">
        <v>45051</v>
      </c>
      <c r="H397" s="1"/>
      <c r="I397" t="s">
        <v>1737</v>
      </c>
      <c r="J397" t="s">
        <v>29</v>
      </c>
      <c r="K397" t="s">
        <v>29</v>
      </c>
      <c r="M397">
        <v>100</v>
      </c>
      <c r="N397" s="1">
        <v>45068</v>
      </c>
      <c r="O397" s="12"/>
    </row>
    <row r="398" spans="1:15" x14ac:dyDescent="0.25">
      <c r="A398" t="s">
        <v>5670</v>
      </c>
      <c r="B398" t="s">
        <v>704</v>
      </c>
      <c r="C398" t="s">
        <v>163</v>
      </c>
      <c r="D398" t="s">
        <v>5648</v>
      </c>
      <c r="E398" t="s">
        <v>5671</v>
      </c>
      <c r="F398" t="s">
        <v>5672</v>
      </c>
      <c r="G398" s="1">
        <v>45054</v>
      </c>
      <c r="H398" s="1"/>
      <c r="I398" t="s">
        <v>1737</v>
      </c>
      <c r="J398" t="s">
        <v>29</v>
      </c>
      <c r="K398" t="s">
        <v>29</v>
      </c>
      <c r="M398">
        <v>100</v>
      </c>
      <c r="N398" s="1">
        <v>45103</v>
      </c>
      <c r="O398" s="12"/>
    </row>
    <row r="399" spans="1:15" x14ac:dyDescent="0.25">
      <c r="A399" t="s">
        <v>5673</v>
      </c>
      <c r="B399" t="s">
        <v>704</v>
      </c>
      <c r="C399" t="s">
        <v>670</v>
      </c>
      <c r="D399" t="s">
        <v>5102</v>
      </c>
      <c r="E399" t="s">
        <v>4694</v>
      </c>
      <c r="F399" t="s">
        <v>3148</v>
      </c>
      <c r="G399" s="1">
        <v>45055</v>
      </c>
      <c r="H399" s="1"/>
      <c r="I399" t="s">
        <v>1737</v>
      </c>
      <c r="J399" t="s">
        <v>29</v>
      </c>
      <c r="K399" t="s">
        <v>29</v>
      </c>
      <c r="M399">
        <v>100</v>
      </c>
      <c r="N399" s="1">
        <v>45156</v>
      </c>
      <c r="O399" s="12"/>
    </row>
    <row r="400" spans="1:15" x14ac:dyDescent="0.25">
      <c r="A400" t="s">
        <v>5674</v>
      </c>
      <c r="B400" t="s">
        <v>704</v>
      </c>
      <c r="C400" t="s">
        <v>670</v>
      </c>
      <c r="D400" t="s">
        <v>671</v>
      </c>
      <c r="E400" t="s">
        <v>5675</v>
      </c>
      <c r="F400" t="s">
        <v>3148</v>
      </c>
      <c r="G400" s="1">
        <v>45058</v>
      </c>
      <c r="H400" s="1"/>
      <c r="I400" t="s">
        <v>1737</v>
      </c>
      <c r="J400" t="s">
        <v>29</v>
      </c>
      <c r="K400" t="s">
        <v>29</v>
      </c>
      <c r="M400">
        <v>100</v>
      </c>
      <c r="N400" s="1">
        <v>45077</v>
      </c>
      <c r="O400" s="12"/>
    </row>
    <row r="401" spans="1:15" x14ac:dyDescent="0.25">
      <c r="A401" t="s">
        <v>5676</v>
      </c>
      <c r="B401" t="s">
        <v>704</v>
      </c>
      <c r="C401" t="s">
        <v>670</v>
      </c>
      <c r="D401" t="s">
        <v>5102</v>
      </c>
      <c r="E401" t="s">
        <v>4678</v>
      </c>
      <c r="F401" t="s">
        <v>3148</v>
      </c>
      <c r="G401" s="1">
        <v>45061</v>
      </c>
      <c r="H401" s="1"/>
      <c r="I401" t="s">
        <v>1737</v>
      </c>
      <c r="J401" t="s">
        <v>29</v>
      </c>
      <c r="K401" t="s">
        <v>29</v>
      </c>
      <c r="M401">
        <v>100</v>
      </c>
      <c r="N401" s="1">
        <v>45077</v>
      </c>
      <c r="O401" s="12"/>
    </row>
    <row r="402" spans="1:15" x14ac:dyDescent="0.25">
      <c r="A402" t="s">
        <v>5677</v>
      </c>
      <c r="B402" t="s">
        <v>433</v>
      </c>
      <c r="C402" t="s">
        <v>298</v>
      </c>
      <c r="E402" t="s">
        <v>5678</v>
      </c>
      <c r="F402" t="s">
        <v>14</v>
      </c>
      <c r="G402" s="1">
        <v>45063</v>
      </c>
      <c r="H402" s="1"/>
      <c r="I402" t="s">
        <v>1737</v>
      </c>
      <c r="J402" t="s">
        <v>29</v>
      </c>
      <c r="M402">
        <v>100</v>
      </c>
      <c r="N402" s="1">
        <v>45114</v>
      </c>
      <c r="O402" s="12"/>
    </row>
    <row r="403" spans="1:15" x14ac:dyDescent="0.25">
      <c r="A403" t="s">
        <v>5679</v>
      </c>
      <c r="B403" t="s">
        <v>704</v>
      </c>
      <c r="C403" t="s">
        <v>163</v>
      </c>
      <c r="D403" t="s">
        <v>5489</v>
      </c>
      <c r="E403" t="s">
        <v>5680</v>
      </c>
      <c r="F403" t="s">
        <v>659</v>
      </c>
      <c r="G403" s="1">
        <v>45064</v>
      </c>
      <c r="H403" s="1"/>
      <c r="I403" t="s">
        <v>1737</v>
      </c>
      <c r="J403" t="s">
        <v>29</v>
      </c>
      <c r="K403" t="s">
        <v>29</v>
      </c>
      <c r="M403">
        <v>100</v>
      </c>
      <c r="N403" s="1">
        <v>45114</v>
      </c>
      <c r="O403" s="12"/>
    </row>
    <row r="404" spans="1:15" x14ac:dyDescent="0.25">
      <c r="A404" t="s">
        <v>5681</v>
      </c>
      <c r="B404" t="s">
        <v>704</v>
      </c>
      <c r="C404" t="s">
        <v>4737</v>
      </c>
      <c r="D404" t="s">
        <v>5380</v>
      </c>
      <c r="E404" t="s">
        <v>4738</v>
      </c>
      <c r="F404" t="s">
        <v>555</v>
      </c>
      <c r="G404" s="1">
        <v>45065</v>
      </c>
      <c r="H404" s="1"/>
      <c r="I404" t="s">
        <v>2762</v>
      </c>
      <c r="J404" t="s">
        <v>29</v>
      </c>
      <c r="K404" t="s">
        <v>29</v>
      </c>
      <c r="M404">
        <v>100</v>
      </c>
      <c r="N404" s="1">
        <v>45065</v>
      </c>
      <c r="O404" s="12"/>
    </row>
    <row r="405" spans="1:15" x14ac:dyDescent="0.25">
      <c r="A405" t="s">
        <v>5682</v>
      </c>
      <c r="B405" t="s">
        <v>704</v>
      </c>
      <c r="C405" t="s">
        <v>163</v>
      </c>
      <c r="E405" t="s">
        <v>5453</v>
      </c>
      <c r="F405" t="s">
        <v>5454</v>
      </c>
      <c r="G405" s="1">
        <v>45068</v>
      </c>
      <c r="H405" s="1"/>
      <c r="I405" t="s">
        <v>1737</v>
      </c>
      <c r="J405" t="s">
        <v>29</v>
      </c>
      <c r="K405" t="s">
        <v>29</v>
      </c>
      <c r="M405">
        <v>100</v>
      </c>
      <c r="N405" s="1">
        <v>45103</v>
      </c>
      <c r="O405" s="12"/>
    </row>
    <row r="406" spans="1:15" x14ac:dyDescent="0.25">
      <c r="A406" t="s">
        <v>5683</v>
      </c>
      <c r="B406" t="s">
        <v>704</v>
      </c>
      <c r="C406" t="s">
        <v>163</v>
      </c>
      <c r="E406" t="s">
        <v>5684</v>
      </c>
      <c r="F406" t="s">
        <v>5454</v>
      </c>
      <c r="G406" s="1">
        <v>45068</v>
      </c>
      <c r="H406" s="1"/>
      <c r="I406" t="s">
        <v>1737</v>
      </c>
      <c r="J406" t="s">
        <v>29</v>
      </c>
      <c r="K406" t="s">
        <v>29</v>
      </c>
      <c r="M406">
        <v>100</v>
      </c>
      <c r="N406" s="1">
        <v>45154</v>
      </c>
      <c r="O406" s="12"/>
    </row>
    <row r="407" spans="1:15" x14ac:dyDescent="0.25">
      <c r="A407" t="s">
        <v>5685</v>
      </c>
      <c r="B407" t="s">
        <v>704</v>
      </c>
      <c r="C407" t="s">
        <v>243</v>
      </c>
      <c r="D407" t="s">
        <v>244</v>
      </c>
      <c r="E407" t="s">
        <v>5686</v>
      </c>
      <c r="F407" t="s">
        <v>5687</v>
      </c>
      <c r="G407" s="1">
        <v>45069</v>
      </c>
      <c r="H407" s="1"/>
      <c r="I407" t="s">
        <v>1737</v>
      </c>
      <c r="J407" t="s">
        <v>29</v>
      </c>
      <c r="K407" t="s">
        <v>29</v>
      </c>
      <c r="M407">
        <v>100</v>
      </c>
      <c r="N407" s="1">
        <v>45077</v>
      </c>
      <c r="O407" s="12"/>
    </row>
    <row r="408" spans="1:15" x14ac:dyDescent="0.25">
      <c r="A408" t="s">
        <v>5688</v>
      </c>
      <c r="B408" t="s">
        <v>13</v>
      </c>
      <c r="C408" t="s">
        <v>110</v>
      </c>
      <c r="D408" t="s">
        <v>111</v>
      </c>
      <c r="E408" t="s">
        <v>5689</v>
      </c>
      <c r="F408" t="s">
        <v>14</v>
      </c>
      <c r="G408" s="1">
        <v>45071</v>
      </c>
      <c r="H408" s="1"/>
      <c r="I408" t="s">
        <v>1737</v>
      </c>
      <c r="J408" t="s">
        <v>29</v>
      </c>
      <c r="K408" t="s">
        <v>29</v>
      </c>
      <c r="M408">
        <v>100</v>
      </c>
      <c r="N408" s="1">
        <v>45120</v>
      </c>
      <c r="O408" s="12"/>
    </row>
    <row r="409" spans="1:15" x14ac:dyDescent="0.25">
      <c r="A409" t="s">
        <v>5690</v>
      </c>
      <c r="B409" t="s">
        <v>704</v>
      </c>
      <c r="C409" t="s">
        <v>393</v>
      </c>
      <c r="D409" t="s">
        <v>5691</v>
      </c>
      <c r="E409" t="s">
        <v>5692</v>
      </c>
      <c r="F409" t="s">
        <v>5413</v>
      </c>
      <c r="G409" s="1">
        <v>45071</v>
      </c>
      <c r="H409" s="1"/>
      <c r="I409" t="s">
        <v>1737</v>
      </c>
      <c r="J409" t="s">
        <v>29</v>
      </c>
      <c r="K409" t="s">
        <v>29</v>
      </c>
      <c r="M409">
        <v>100</v>
      </c>
      <c r="N409" s="1">
        <v>45078</v>
      </c>
      <c r="O409" s="12"/>
    </row>
    <row r="410" spans="1:15" x14ac:dyDescent="0.25">
      <c r="A410" t="s">
        <v>5693</v>
      </c>
      <c r="B410" t="s">
        <v>3238</v>
      </c>
      <c r="C410" t="s">
        <v>159</v>
      </c>
      <c r="D410" t="s">
        <v>352</v>
      </c>
      <c r="E410" t="s">
        <v>5694</v>
      </c>
      <c r="F410" t="s">
        <v>14</v>
      </c>
      <c r="G410" s="1">
        <v>45069</v>
      </c>
      <c r="H410" s="1"/>
      <c r="I410" t="s">
        <v>1737</v>
      </c>
      <c r="J410" t="s">
        <v>29</v>
      </c>
      <c r="M410">
        <v>100</v>
      </c>
      <c r="N410" s="1">
        <v>45076</v>
      </c>
      <c r="O410" s="12"/>
    </row>
    <row r="411" spans="1:15" x14ac:dyDescent="0.25">
      <c r="A411" t="s">
        <v>5695</v>
      </c>
      <c r="B411" t="s">
        <v>704</v>
      </c>
      <c r="C411" t="s">
        <v>5007</v>
      </c>
      <c r="D411" t="s">
        <v>5071</v>
      </c>
      <c r="E411" t="s">
        <v>5696</v>
      </c>
      <c r="F411" t="s">
        <v>5413</v>
      </c>
      <c r="G411" s="1">
        <v>45072</v>
      </c>
      <c r="H411" s="1"/>
      <c r="I411" t="s">
        <v>1737</v>
      </c>
      <c r="J411" t="s">
        <v>29</v>
      </c>
      <c r="K411" t="s">
        <v>29</v>
      </c>
      <c r="M411">
        <v>100</v>
      </c>
      <c r="N411" s="1">
        <v>45099</v>
      </c>
      <c r="O411" s="12"/>
    </row>
    <row r="412" spans="1:15" x14ac:dyDescent="0.25">
      <c r="A412" t="s">
        <v>5697</v>
      </c>
      <c r="B412" t="s">
        <v>325</v>
      </c>
      <c r="C412" t="s">
        <v>5698</v>
      </c>
      <c r="E412" t="s">
        <v>5699</v>
      </c>
      <c r="F412" t="s">
        <v>14</v>
      </c>
      <c r="G412" s="1">
        <v>45072</v>
      </c>
      <c r="H412" s="1"/>
      <c r="I412" t="s">
        <v>2952</v>
      </c>
      <c r="J412" t="s">
        <v>29</v>
      </c>
      <c r="O412" s="12"/>
    </row>
    <row r="413" spans="1:15" x14ac:dyDescent="0.25">
      <c r="A413" t="s">
        <v>5700</v>
      </c>
      <c r="B413" t="s">
        <v>704</v>
      </c>
      <c r="C413" t="s">
        <v>4661</v>
      </c>
      <c r="D413" t="s">
        <v>475</v>
      </c>
      <c r="E413" t="s">
        <v>5701</v>
      </c>
      <c r="F413" t="s">
        <v>14</v>
      </c>
      <c r="G413" s="1">
        <v>45076</v>
      </c>
      <c r="H413" s="1"/>
      <c r="I413" t="s">
        <v>1737</v>
      </c>
      <c r="J413" t="s">
        <v>29</v>
      </c>
      <c r="K413" t="s">
        <v>29</v>
      </c>
      <c r="M413">
        <v>100</v>
      </c>
      <c r="N413" s="1">
        <v>45078</v>
      </c>
      <c r="O413" s="12"/>
    </row>
    <row r="414" spans="1:15" x14ac:dyDescent="0.25">
      <c r="A414" t="s">
        <v>5702</v>
      </c>
      <c r="B414" t="s">
        <v>704</v>
      </c>
      <c r="C414" t="s">
        <v>4661</v>
      </c>
      <c r="D414" t="s">
        <v>475</v>
      </c>
      <c r="E414" t="s">
        <v>5703</v>
      </c>
      <c r="F414" t="s">
        <v>5704</v>
      </c>
      <c r="G414" s="1">
        <v>45076</v>
      </c>
      <c r="H414" s="1"/>
      <c r="I414" t="s">
        <v>1737</v>
      </c>
      <c r="J414" t="s">
        <v>29</v>
      </c>
      <c r="K414" t="s">
        <v>29</v>
      </c>
      <c r="M414">
        <v>100</v>
      </c>
      <c r="N414" s="1">
        <v>45100</v>
      </c>
      <c r="O414" s="12"/>
    </row>
    <row r="415" spans="1:15" x14ac:dyDescent="0.25">
      <c r="A415" t="s">
        <v>5705</v>
      </c>
      <c r="B415" t="s">
        <v>704</v>
      </c>
      <c r="C415" t="s">
        <v>4661</v>
      </c>
      <c r="D415" t="s">
        <v>5106</v>
      </c>
      <c r="E415" t="s">
        <v>5706</v>
      </c>
      <c r="F415" t="s">
        <v>5707</v>
      </c>
      <c r="G415" s="1">
        <v>45078</v>
      </c>
      <c r="H415" s="1"/>
      <c r="I415" t="s">
        <v>1737</v>
      </c>
      <c r="J415" t="s">
        <v>29</v>
      </c>
      <c r="K415" t="s">
        <v>29</v>
      </c>
      <c r="M415">
        <v>100</v>
      </c>
      <c r="N415" s="1">
        <v>45084</v>
      </c>
      <c r="O415" s="12"/>
    </row>
    <row r="416" spans="1:15" x14ac:dyDescent="0.25">
      <c r="A416" t="s">
        <v>5708</v>
      </c>
      <c r="B416" t="s">
        <v>714</v>
      </c>
      <c r="C416" t="s">
        <v>4661</v>
      </c>
      <c r="D416" t="s">
        <v>397</v>
      </c>
      <c r="E416" t="s">
        <v>5709</v>
      </c>
      <c r="F416" t="s">
        <v>14</v>
      </c>
      <c r="G416" s="1">
        <v>45079</v>
      </c>
      <c r="H416" s="1"/>
      <c r="I416" t="s">
        <v>1737</v>
      </c>
      <c r="J416" t="s">
        <v>29</v>
      </c>
      <c r="M416">
        <v>100</v>
      </c>
      <c r="N416" s="1">
        <v>45156</v>
      </c>
      <c r="O416" s="12"/>
    </row>
    <row r="417" spans="1:15" x14ac:dyDescent="0.25">
      <c r="A417" t="s">
        <v>5710</v>
      </c>
      <c r="B417" t="s">
        <v>704</v>
      </c>
      <c r="C417" t="s">
        <v>5711</v>
      </c>
      <c r="D417" t="s">
        <v>723</v>
      </c>
      <c r="E417" t="s">
        <v>5453</v>
      </c>
      <c r="F417" t="s">
        <v>3148</v>
      </c>
      <c r="G417" s="1">
        <v>45082</v>
      </c>
      <c r="H417" s="1"/>
      <c r="I417" t="s">
        <v>1737</v>
      </c>
      <c r="J417" t="s">
        <v>29</v>
      </c>
      <c r="K417" t="s">
        <v>29</v>
      </c>
      <c r="M417">
        <v>100</v>
      </c>
      <c r="N417" s="1">
        <v>45099</v>
      </c>
      <c r="O417" s="12"/>
    </row>
    <row r="418" spans="1:15" x14ac:dyDescent="0.25">
      <c r="A418" t="s">
        <v>5712</v>
      </c>
      <c r="B418" t="s">
        <v>704</v>
      </c>
      <c r="C418" t="s">
        <v>70</v>
      </c>
      <c r="D418" t="s">
        <v>5288</v>
      </c>
      <c r="E418" t="s">
        <v>5713</v>
      </c>
      <c r="F418" t="s">
        <v>5454</v>
      </c>
      <c r="G418" s="1">
        <v>45083</v>
      </c>
      <c r="H418" s="1"/>
      <c r="I418" t="s">
        <v>1737</v>
      </c>
      <c r="J418" t="s">
        <v>29</v>
      </c>
      <c r="K418" t="s">
        <v>29</v>
      </c>
      <c r="M418">
        <v>100</v>
      </c>
      <c r="N418" s="1">
        <v>45089</v>
      </c>
      <c r="O418" s="12"/>
    </row>
    <row r="419" spans="1:15" x14ac:dyDescent="0.25">
      <c r="A419" t="s">
        <v>5714</v>
      </c>
      <c r="B419" t="s">
        <v>325</v>
      </c>
      <c r="C419" t="s">
        <v>5715</v>
      </c>
      <c r="D419" t="s">
        <v>5716</v>
      </c>
      <c r="E419" t="s">
        <v>5717</v>
      </c>
      <c r="F419" t="s">
        <v>14</v>
      </c>
      <c r="G419" s="1">
        <v>45083</v>
      </c>
      <c r="H419" s="1"/>
      <c r="I419" t="s">
        <v>1737</v>
      </c>
      <c r="J419" t="s">
        <v>29</v>
      </c>
      <c r="M419">
        <v>100</v>
      </c>
      <c r="N419" s="1">
        <v>45084</v>
      </c>
      <c r="O419" s="12"/>
    </row>
    <row r="420" spans="1:15" x14ac:dyDescent="0.25">
      <c r="A420" t="s">
        <v>5718</v>
      </c>
      <c r="B420" t="s">
        <v>3430</v>
      </c>
      <c r="C420" t="s">
        <v>47</v>
      </c>
      <c r="D420" t="s">
        <v>5719</v>
      </c>
      <c r="E420" t="s">
        <v>5720</v>
      </c>
      <c r="F420" t="s">
        <v>5721</v>
      </c>
      <c r="G420" s="1">
        <v>45085</v>
      </c>
      <c r="H420" s="1"/>
      <c r="I420" t="s">
        <v>1737</v>
      </c>
      <c r="J420" t="s">
        <v>29</v>
      </c>
      <c r="K420" t="s">
        <v>18</v>
      </c>
      <c r="M420">
        <v>100</v>
      </c>
      <c r="N420" s="1">
        <v>45153</v>
      </c>
      <c r="O420" s="12"/>
    </row>
    <row r="421" spans="1:15" x14ac:dyDescent="0.25">
      <c r="A421" t="s">
        <v>5722</v>
      </c>
      <c r="B421" t="s">
        <v>13</v>
      </c>
      <c r="C421" t="s">
        <v>177</v>
      </c>
      <c r="D421" t="s">
        <v>511</v>
      </c>
      <c r="E421" t="s">
        <v>5723</v>
      </c>
      <c r="F421" t="s">
        <v>14</v>
      </c>
      <c r="G421" s="1">
        <v>45084</v>
      </c>
      <c r="H421" s="1"/>
      <c r="I421" t="s">
        <v>1737</v>
      </c>
      <c r="J421" t="s">
        <v>29</v>
      </c>
      <c r="K421" t="s">
        <v>18</v>
      </c>
      <c r="M421">
        <v>100</v>
      </c>
      <c r="N421" s="1">
        <v>45272</v>
      </c>
      <c r="O421" s="12"/>
    </row>
    <row r="422" spans="1:15" x14ac:dyDescent="0.25">
      <c r="A422" t="s">
        <v>5724</v>
      </c>
      <c r="B422" t="s">
        <v>704</v>
      </c>
      <c r="C422" t="s">
        <v>4737</v>
      </c>
      <c r="D422" t="s">
        <v>5380</v>
      </c>
      <c r="E422" t="s">
        <v>5725</v>
      </c>
      <c r="F422" t="s">
        <v>555</v>
      </c>
      <c r="G422" s="1">
        <v>45089</v>
      </c>
      <c r="H422" s="1"/>
      <c r="I422" t="s">
        <v>2762</v>
      </c>
      <c r="J422" t="s">
        <v>29</v>
      </c>
      <c r="K422" t="s">
        <v>29</v>
      </c>
      <c r="O422" s="12"/>
    </row>
    <row r="423" spans="1:15" x14ac:dyDescent="0.25">
      <c r="A423" t="s">
        <v>5726</v>
      </c>
      <c r="B423" t="s">
        <v>704</v>
      </c>
      <c r="C423" t="s">
        <v>43</v>
      </c>
      <c r="D423" t="s">
        <v>582</v>
      </c>
      <c r="E423" t="s">
        <v>5727</v>
      </c>
      <c r="F423" t="s">
        <v>5728</v>
      </c>
      <c r="G423" s="1">
        <v>45096</v>
      </c>
      <c r="H423" s="1"/>
      <c r="I423" t="s">
        <v>1737</v>
      </c>
      <c r="J423" t="s">
        <v>29</v>
      </c>
      <c r="K423" t="s">
        <v>29</v>
      </c>
      <c r="M423">
        <v>100</v>
      </c>
      <c r="N423" s="1">
        <v>45113</v>
      </c>
      <c r="O423" s="12"/>
    </row>
    <row r="424" spans="1:15" x14ac:dyDescent="0.25">
      <c r="A424" t="s">
        <v>5729</v>
      </c>
      <c r="B424" t="s">
        <v>474</v>
      </c>
      <c r="C424" t="s">
        <v>4661</v>
      </c>
      <c r="D424" t="s">
        <v>397</v>
      </c>
      <c r="E424" t="s">
        <v>5730</v>
      </c>
      <c r="F424" t="s">
        <v>325</v>
      </c>
      <c r="G424" s="1">
        <v>45089</v>
      </c>
      <c r="H424" s="1"/>
      <c r="I424" t="s">
        <v>1737</v>
      </c>
      <c r="J424" t="s">
        <v>29</v>
      </c>
      <c r="K424" t="s">
        <v>29</v>
      </c>
      <c r="M424">
        <v>100</v>
      </c>
      <c r="N424" s="1">
        <v>45105</v>
      </c>
      <c r="O424" s="12"/>
    </row>
    <row r="425" spans="1:15" x14ac:dyDescent="0.25">
      <c r="A425" t="s">
        <v>5731</v>
      </c>
      <c r="B425" t="s">
        <v>704</v>
      </c>
      <c r="C425" t="s">
        <v>677</v>
      </c>
      <c r="D425" t="s">
        <v>678</v>
      </c>
      <c r="E425" t="s">
        <v>5732</v>
      </c>
      <c r="F425" t="s">
        <v>555</v>
      </c>
      <c r="G425" s="1">
        <v>45092</v>
      </c>
      <c r="H425" s="1"/>
      <c r="I425" t="s">
        <v>1737</v>
      </c>
      <c r="J425" t="s">
        <v>29</v>
      </c>
      <c r="K425" t="s">
        <v>29</v>
      </c>
      <c r="M425">
        <v>100</v>
      </c>
      <c r="N425" s="1">
        <v>45106</v>
      </c>
      <c r="O425" s="12"/>
    </row>
    <row r="426" spans="1:15" x14ac:dyDescent="0.25">
      <c r="A426" t="s">
        <v>5733</v>
      </c>
      <c r="B426" t="s">
        <v>704</v>
      </c>
      <c r="C426" t="s">
        <v>5188</v>
      </c>
      <c r="D426" t="s">
        <v>5734</v>
      </c>
      <c r="E426" t="s">
        <v>5735</v>
      </c>
      <c r="F426" t="s">
        <v>5476</v>
      </c>
      <c r="G426" s="1">
        <v>45092</v>
      </c>
      <c r="H426" s="1"/>
      <c r="I426" t="s">
        <v>1737</v>
      </c>
      <c r="J426" t="s">
        <v>29</v>
      </c>
      <c r="K426" t="s">
        <v>29</v>
      </c>
      <c r="M426">
        <v>100</v>
      </c>
      <c r="N426" s="1">
        <v>45145</v>
      </c>
      <c r="O426" s="12"/>
    </row>
    <row r="427" spans="1:15" x14ac:dyDescent="0.25">
      <c r="A427" t="s">
        <v>5736</v>
      </c>
      <c r="B427" t="s">
        <v>704</v>
      </c>
      <c r="C427" t="s">
        <v>4661</v>
      </c>
      <c r="D427" t="s">
        <v>5106</v>
      </c>
      <c r="E427" t="s">
        <v>5737</v>
      </c>
      <c r="F427" t="s">
        <v>5413</v>
      </c>
      <c r="G427" s="1">
        <v>45092</v>
      </c>
      <c r="H427" s="1"/>
      <c r="I427" t="s">
        <v>1737</v>
      </c>
      <c r="J427" t="s">
        <v>29</v>
      </c>
      <c r="K427" t="s">
        <v>29</v>
      </c>
      <c r="M427" t="s">
        <v>5738</v>
      </c>
      <c r="N427" s="1" t="s">
        <v>5739</v>
      </c>
      <c r="O427" s="12"/>
    </row>
    <row r="428" spans="1:15" x14ac:dyDescent="0.25">
      <c r="A428" t="s">
        <v>5740</v>
      </c>
      <c r="B428" t="s">
        <v>704</v>
      </c>
      <c r="C428" t="s">
        <v>393</v>
      </c>
      <c r="D428" t="s">
        <v>5343</v>
      </c>
      <c r="E428" t="s">
        <v>5741</v>
      </c>
      <c r="F428" t="s">
        <v>5413</v>
      </c>
      <c r="G428" s="1">
        <v>45097</v>
      </c>
      <c r="H428" s="1"/>
      <c r="I428" t="s">
        <v>1737</v>
      </c>
      <c r="J428" t="s">
        <v>29</v>
      </c>
      <c r="K428" t="s">
        <v>29</v>
      </c>
      <c r="M428">
        <v>100</v>
      </c>
      <c r="N428" s="1">
        <v>45133</v>
      </c>
      <c r="O428" s="12"/>
    </row>
    <row r="429" spans="1:15" x14ac:dyDescent="0.25">
      <c r="A429" t="s">
        <v>5742</v>
      </c>
      <c r="B429" t="s">
        <v>704</v>
      </c>
      <c r="C429" t="s">
        <v>243</v>
      </c>
      <c r="D429" t="s">
        <v>5166</v>
      </c>
      <c r="E429" t="s">
        <v>5743</v>
      </c>
      <c r="F429" t="s">
        <v>5744</v>
      </c>
      <c r="G429" s="1">
        <v>45098</v>
      </c>
      <c r="H429" s="1"/>
      <c r="I429" t="s">
        <v>1737</v>
      </c>
      <c r="J429" t="s">
        <v>29</v>
      </c>
      <c r="K429" t="s">
        <v>29</v>
      </c>
      <c r="M429">
        <v>100</v>
      </c>
      <c r="N429" s="1">
        <v>45119</v>
      </c>
      <c r="O429" s="12"/>
    </row>
    <row r="430" spans="1:15" x14ac:dyDescent="0.25">
      <c r="A430" t="s">
        <v>5745</v>
      </c>
      <c r="B430" t="s">
        <v>714</v>
      </c>
      <c r="C430" t="s">
        <v>4661</v>
      </c>
      <c r="D430" t="s">
        <v>5106</v>
      </c>
      <c r="E430" t="s">
        <v>5746</v>
      </c>
      <c r="F430" t="s">
        <v>5747</v>
      </c>
      <c r="G430" s="1">
        <v>45099</v>
      </c>
      <c r="H430" s="1"/>
      <c r="I430" t="s">
        <v>1737</v>
      </c>
      <c r="J430" t="s">
        <v>29</v>
      </c>
      <c r="M430">
        <v>100</v>
      </c>
      <c r="N430" s="1">
        <v>45107</v>
      </c>
      <c r="O430" s="12"/>
    </row>
    <row r="431" spans="1:15" x14ac:dyDescent="0.25">
      <c r="A431" t="s">
        <v>5748</v>
      </c>
      <c r="B431" t="s">
        <v>704</v>
      </c>
      <c r="C431" t="s">
        <v>4661</v>
      </c>
      <c r="D431" t="s">
        <v>5749</v>
      </c>
      <c r="E431" t="s">
        <v>5750</v>
      </c>
      <c r="F431" t="s">
        <v>3148</v>
      </c>
      <c r="G431" s="1">
        <v>45100</v>
      </c>
      <c r="H431" s="1"/>
      <c r="I431" t="s">
        <v>1737</v>
      </c>
      <c r="J431" t="s">
        <v>29</v>
      </c>
      <c r="K431" t="s">
        <v>29</v>
      </c>
      <c r="M431" t="s">
        <v>5738</v>
      </c>
      <c r="N431" s="1" t="s">
        <v>5751</v>
      </c>
      <c r="O431" s="12" t="s">
        <v>5752</v>
      </c>
    </row>
    <row r="432" spans="1:15" x14ac:dyDescent="0.25">
      <c r="A432" t="s">
        <v>5753</v>
      </c>
      <c r="B432" t="s">
        <v>704</v>
      </c>
      <c r="C432" t="s">
        <v>393</v>
      </c>
      <c r="D432" t="s">
        <v>5691</v>
      </c>
      <c r="E432" t="s">
        <v>5754</v>
      </c>
      <c r="F432" t="s">
        <v>5413</v>
      </c>
      <c r="G432" s="1">
        <v>45100</v>
      </c>
      <c r="H432" s="1"/>
      <c r="I432" t="s">
        <v>1737</v>
      </c>
      <c r="J432" t="s">
        <v>29</v>
      </c>
      <c r="K432" t="s">
        <v>29</v>
      </c>
      <c r="M432">
        <v>100</v>
      </c>
      <c r="N432" s="1">
        <v>45142</v>
      </c>
      <c r="O432" s="12"/>
    </row>
    <row r="433" spans="1:15" x14ac:dyDescent="0.25">
      <c r="A433" t="s">
        <v>5755</v>
      </c>
      <c r="B433" t="s">
        <v>704</v>
      </c>
      <c r="C433" t="s">
        <v>5756</v>
      </c>
      <c r="D433" t="s">
        <v>5757</v>
      </c>
      <c r="E433" t="s">
        <v>5453</v>
      </c>
      <c r="G433" s="1">
        <v>45100</v>
      </c>
      <c r="H433" s="1"/>
      <c r="I433" t="s">
        <v>1737</v>
      </c>
      <c r="J433" t="s">
        <v>29</v>
      </c>
      <c r="K433" t="s">
        <v>29</v>
      </c>
      <c r="M433">
        <v>100</v>
      </c>
      <c r="N433" s="1">
        <v>45125</v>
      </c>
      <c r="O433" s="12"/>
    </row>
    <row r="434" spans="1:15" x14ac:dyDescent="0.25">
      <c r="A434" t="s">
        <v>5758</v>
      </c>
      <c r="B434" t="s">
        <v>704</v>
      </c>
      <c r="C434" t="s">
        <v>4737</v>
      </c>
      <c r="D434" t="s">
        <v>5380</v>
      </c>
      <c r="E434" t="s">
        <v>5759</v>
      </c>
      <c r="F434" t="s">
        <v>555</v>
      </c>
      <c r="G434" s="1">
        <v>45104</v>
      </c>
      <c r="H434" s="1"/>
      <c r="I434" t="s">
        <v>2762</v>
      </c>
      <c r="J434" t="s">
        <v>29</v>
      </c>
      <c r="K434" t="s">
        <v>29</v>
      </c>
      <c r="M434">
        <v>100</v>
      </c>
      <c r="N434" s="1">
        <v>45104</v>
      </c>
      <c r="O434" s="12"/>
    </row>
    <row r="435" spans="1:15" x14ac:dyDescent="0.25">
      <c r="A435" t="s">
        <v>5760</v>
      </c>
      <c r="B435" t="s">
        <v>704</v>
      </c>
      <c r="C435" t="s">
        <v>4661</v>
      </c>
      <c r="D435" t="s">
        <v>397</v>
      </c>
      <c r="E435" t="s">
        <v>5761</v>
      </c>
      <c r="F435" t="s">
        <v>5762</v>
      </c>
      <c r="G435" s="1">
        <v>45104</v>
      </c>
      <c r="H435" s="1"/>
      <c r="I435" t="s">
        <v>1737</v>
      </c>
      <c r="J435" t="s">
        <v>29</v>
      </c>
      <c r="K435" t="s">
        <v>29</v>
      </c>
      <c r="M435">
        <v>100</v>
      </c>
      <c r="N435" s="1">
        <v>45113</v>
      </c>
      <c r="O435" s="12"/>
    </row>
    <row r="436" spans="1:15" x14ac:dyDescent="0.25">
      <c r="A436" t="s">
        <v>5763</v>
      </c>
      <c r="B436" t="s">
        <v>704</v>
      </c>
      <c r="C436" t="s">
        <v>126</v>
      </c>
      <c r="D436" t="s">
        <v>232</v>
      </c>
      <c r="E436" t="s">
        <v>5764</v>
      </c>
      <c r="F436" t="s">
        <v>5610</v>
      </c>
      <c r="G436" s="1">
        <v>45105</v>
      </c>
      <c r="H436" s="1"/>
      <c r="I436" t="s">
        <v>1737</v>
      </c>
      <c r="J436" t="s">
        <v>29</v>
      </c>
      <c r="K436" t="s">
        <v>29</v>
      </c>
      <c r="L436" t="s">
        <v>5765</v>
      </c>
      <c r="M436">
        <v>100</v>
      </c>
      <c r="N436" s="1">
        <v>45155</v>
      </c>
      <c r="O436" s="12"/>
    </row>
    <row r="437" spans="1:15" x14ac:dyDescent="0.25">
      <c r="A437" t="s">
        <v>5766</v>
      </c>
      <c r="B437" t="s">
        <v>704</v>
      </c>
      <c r="C437" t="s">
        <v>670</v>
      </c>
      <c r="D437" t="s">
        <v>5214</v>
      </c>
      <c r="E437" t="s">
        <v>5767</v>
      </c>
      <c r="F437" t="s">
        <v>3148</v>
      </c>
      <c r="G437" s="1">
        <v>45106</v>
      </c>
      <c r="H437" s="1"/>
      <c r="I437" t="s">
        <v>1737</v>
      </c>
      <c r="J437" t="s">
        <v>29</v>
      </c>
      <c r="K437" t="s">
        <v>29</v>
      </c>
      <c r="M437">
        <v>100</v>
      </c>
      <c r="N437" s="1">
        <v>45355</v>
      </c>
      <c r="O437" s="29">
        <v>45287</v>
      </c>
    </row>
    <row r="438" spans="1:15" x14ac:dyDescent="0.25">
      <c r="A438" t="s">
        <v>5768</v>
      </c>
      <c r="B438" t="s">
        <v>24</v>
      </c>
      <c r="C438" t="s">
        <v>126</v>
      </c>
      <c r="D438" t="s">
        <v>232</v>
      </c>
      <c r="E438" t="s">
        <v>5769</v>
      </c>
      <c r="F438" t="s">
        <v>5770</v>
      </c>
      <c r="G438" s="1">
        <v>45106</v>
      </c>
      <c r="H438" s="1"/>
      <c r="I438" t="s">
        <v>1737</v>
      </c>
      <c r="J438" t="s">
        <v>29</v>
      </c>
      <c r="L438" t="s">
        <v>5771</v>
      </c>
      <c r="M438">
        <v>100</v>
      </c>
      <c r="N438" s="1">
        <v>45114</v>
      </c>
      <c r="O438" s="12"/>
    </row>
    <row r="439" spans="1:15" x14ac:dyDescent="0.25">
      <c r="A439" t="s">
        <v>5772</v>
      </c>
      <c r="B439" t="s">
        <v>135</v>
      </c>
      <c r="C439" t="s">
        <v>5773</v>
      </c>
      <c r="D439" t="s">
        <v>5774</v>
      </c>
      <c r="E439" t="s">
        <v>5775</v>
      </c>
      <c r="F439" t="s">
        <v>5504</v>
      </c>
      <c r="G439" s="1">
        <v>45107</v>
      </c>
      <c r="H439" s="1"/>
      <c r="I439" t="s">
        <v>1737</v>
      </c>
      <c r="J439" t="s">
        <v>29</v>
      </c>
      <c r="K439" t="s">
        <v>29</v>
      </c>
      <c r="L439" t="s">
        <v>324</v>
      </c>
      <c r="M439">
        <v>100</v>
      </c>
      <c r="N439" s="1">
        <v>45114</v>
      </c>
      <c r="O439" s="12"/>
    </row>
    <row r="440" spans="1:15" x14ac:dyDescent="0.25">
      <c r="A440" t="s">
        <v>5776</v>
      </c>
      <c r="B440" t="s">
        <v>704</v>
      </c>
      <c r="C440" t="s">
        <v>5188</v>
      </c>
      <c r="D440" t="s">
        <v>5338</v>
      </c>
      <c r="E440" t="s">
        <v>5777</v>
      </c>
      <c r="F440" t="s">
        <v>5476</v>
      </c>
      <c r="G440" s="1">
        <v>45112</v>
      </c>
      <c r="H440" s="1"/>
      <c r="I440" t="s">
        <v>1737</v>
      </c>
      <c r="J440" t="s">
        <v>29</v>
      </c>
      <c r="M440">
        <v>100</v>
      </c>
      <c r="N440" s="1">
        <v>45153</v>
      </c>
      <c r="O440" s="12"/>
    </row>
    <row r="441" spans="1:15" x14ac:dyDescent="0.25">
      <c r="A441" t="s">
        <v>5778</v>
      </c>
      <c r="B441" t="s">
        <v>704</v>
      </c>
      <c r="C441" t="s">
        <v>4737</v>
      </c>
      <c r="D441" t="s">
        <v>5380</v>
      </c>
      <c r="E441" t="s">
        <v>5725</v>
      </c>
      <c r="F441" t="s">
        <v>555</v>
      </c>
      <c r="G441" s="1">
        <v>45113</v>
      </c>
      <c r="H441" s="1"/>
      <c r="I441" t="s">
        <v>2762</v>
      </c>
      <c r="J441" t="s">
        <v>29</v>
      </c>
      <c r="M441">
        <v>100</v>
      </c>
      <c r="N441" s="1">
        <v>45113</v>
      </c>
      <c r="O441" s="12"/>
    </row>
    <row r="442" spans="1:15" x14ac:dyDescent="0.25">
      <c r="A442" t="s">
        <v>5779</v>
      </c>
      <c r="B442" t="s">
        <v>704</v>
      </c>
      <c r="C442" t="s">
        <v>4737</v>
      </c>
      <c r="D442" t="s">
        <v>5380</v>
      </c>
      <c r="E442" t="s">
        <v>5780</v>
      </c>
      <c r="F442" t="s">
        <v>555</v>
      </c>
      <c r="G442" s="1">
        <v>45117</v>
      </c>
      <c r="H442" s="1"/>
      <c r="I442" t="s">
        <v>2762</v>
      </c>
      <c r="J442" t="s">
        <v>29</v>
      </c>
      <c r="O442" s="12"/>
    </row>
    <row r="443" spans="1:15" x14ac:dyDescent="0.25">
      <c r="A443" t="s">
        <v>5781</v>
      </c>
      <c r="B443" t="s">
        <v>704</v>
      </c>
      <c r="C443" t="s">
        <v>677</v>
      </c>
      <c r="D443" t="s">
        <v>678</v>
      </c>
      <c r="E443" t="s">
        <v>5782</v>
      </c>
      <c r="F443" t="s">
        <v>555</v>
      </c>
      <c r="G443" s="1">
        <v>45117</v>
      </c>
      <c r="H443" s="1"/>
      <c r="I443" t="s">
        <v>1737</v>
      </c>
      <c r="J443" t="s">
        <v>29</v>
      </c>
      <c r="K443" t="s">
        <v>29</v>
      </c>
      <c r="M443">
        <v>100</v>
      </c>
      <c r="N443" s="1" t="s">
        <v>5783</v>
      </c>
      <c r="O443" s="12"/>
    </row>
    <row r="444" spans="1:15" x14ac:dyDescent="0.25">
      <c r="A444" t="s">
        <v>5784</v>
      </c>
      <c r="B444" t="s">
        <v>621</v>
      </c>
      <c r="C444" t="s">
        <v>766</v>
      </c>
      <c r="D444" s="23" t="s">
        <v>5785</v>
      </c>
      <c r="E444" s="23" t="s">
        <v>5786</v>
      </c>
      <c r="F444" t="s">
        <v>14</v>
      </c>
      <c r="G444" s="1">
        <v>45114</v>
      </c>
      <c r="H444" s="1"/>
      <c r="I444" t="s">
        <v>1737</v>
      </c>
      <c r="J444" t="s">
        <v>29</v>
      </c>
      <c r="M444">
        <v>100</v>
      </c>
      <c r="N444" s="1">
        <v>45146</v>
      </c>
      <c r="O444" s="12"/>
    </row>
    <row r="445" spans="1:15" x14ac:dyDescent="0.25">
      <c r="A445" t="s">
        <v>5787</v>
      </c>
      <c r="B445" t="s">
        <v>704</v>
      </c>
      <c r="C445" t="s">
        <v>4661</v>
      </c>
      <c r="D445" t="s">
        <v>5788</v>
      </c>
      <c r="E445" t="s">
        <v>5789</v>
      </c>
      <c r="F445" t="s">
        <v>14</v>
      </c>
      <c r="G445" s="1">
        <v>45118</v>
      </c>
      <c r="H445" s="1"/>
      <c r="I445" t="s">
        <v>1737</v>
      </c>
      <c r="J445" t="s">
        <v>29</v>
      </c>
      <c r="K445" t="s">
        <v>29</v>
      </c>
      <c r="M445">
        <v>100</v>
      </c>
      <c r="N445" s="1">
        <v>45127</v>
      </c>
      <c r="O445" s="12"/>
    </row>
    <row r="446" spans="1:15" x14ac:dyDescent="0.25">
      <c r="A446" t="s">
        <v>5790</v>
      </c>
      <c r="B446" t="s">
        <v>704</v>
      </c>
      <c r="C446" t="s">
        <v>5791</v>
      </c>
      <c r="D446" t="s">
        <v>5792</v>
      </c>
      <c r="E446" t="s">
        <v>5793</v>
      </c>
      <c r="F446" t="s">
        <v>329</v>
      </c>
      <c r="G446" s="1">
        <v>45119</v>
      </c>
      <c r="H446" s="1"/>
      <c r="I446" t="s">
        <v>1737</v>
      </c>
      <c r="J446" t="s">
        <v>29</v>
      </c>
      <c r="K446" t="s">
        <v>29</v>
      </c>
      <c r="M446">
        <v>100</v>
      </c>
      <c r="N446" s="1">
        <v>45125</v>
      </c>
      <c r="O446" s="12"/>
    </row>
    <row r="447" spans="1:15" x14ac:dyDescent="0.25">
      <c r="A447" t="s">
        <v>5794</v>
      </c>
      <c r="B447" t="s">
        <v>704</v>
      </c>
      <c r="C447" t="s">
        <v>4661</v>
      </c>
      <c r="D447" t="s">
        <v>5788</v>
      </c>
      <c r="E447" t="s">
        <v>5795</v>
      </c>
      <c r="G447" s="1"/>
      <c r="H447" s="1"/>
      <c r="I447" t="s">
        <v>1737</v>
      </c>
      <c r="J447" t="s">
        <v>29</v>
      </c>
      <c r="M447">
        <v>100</v>
      </c>
      <c r="N447" s="1">
        <v>45125</v>
      </c>
      <c r="O447" s="12"/>
    </row>
    <row r="448" spans="1:15" x14ac:dyDescent="0.25">
      <c r="A448" t="s">
        <v>5796</v>
      </c>
      <c r="B448" t="s">
        <v>325</v>
      </c>
      <c r="C448" t="s">
        <v>5791</v>
      </c>
      <c r="E448" t="s">
        <v>5797</v>
      </c>
      <c r="F448" t="s">
        <v>14</v>
      </c>
      <c r="G448" s="1">
        <v>45118</v>
      </c>
      <c r="H448" s="1"/>
      <c r="I448" t="s">
        <v>2952</v>
      </c>
      <c r="J448" t="s">
        <v>29</v>
      </c>
      <c r="O448" s="12"/>
    </row>
    <row r="449" spans="1:15" x14ac:dyDescent="0.25">
      <c r="A449" t="s">
        <v>5798</v>
      </c>
      <c r="B449" t="s">
        <v>704</v>
      </c>
      <c r="C449" t="s">
        <v>5539</v>
      </c>
      <c r="D449" t="s">
        <v>5540</v>
      </c>
      <c r="E449" t="s">
        <v>1380</v>
      </c>
      <c r="F449" t="s">
        <v>3148</v>
      </c>
      <c r="G449" s="1">
        <v>45121</v>
      </c>
      <c r="H449" s="1"/>
      <c r="I449" t="s">
        <v>1737</v>
      </c>
      <c r="J449" t="s">
        <v>29</v>
      </c>
      <c r="M449">
        <v>100</v>
      </c>
      <c r="N449" s="1">
        <v>45181</v>
      </c>
      <c r="O449" s="12"/>
    </row>
    <row r="450" spans="1:15" x14ac:dyDescent="0.25">
      <c r="A450" t="s">
        <v>5799</v>
      </c>
      <c r="B450" t="s">
        <v>24</v>
      </c>
      <c r="C450" t="s">
        <v>126</v>
      </c>
      <c r="D450" t="s">
        <v>5800</v>
      </c>
      <c r="E450" t="s">
        <v>5801</v>
      </c>
      <c r="F450" t="s">
        <v>5802</v>
      </c>
      <c r="G450" s="1">
        <v>45121</v>
      </c>
      <c r="H450" s="1"/>
      <c r="I450" t="s">
        <v>1737</v>
      </c>
      <c r="J450" t="s">
        <v>29</v>
      </c>
      <c r="K450" t="s">
        <v>29</v>
      </c>
      <c r="M450">
        <v>100</v>
      </c>
      <c r="N450" s="1">
        <v>45148</v>
      </c>
      <c r="O450" s="12"/>
    </row>
    <row r="451" spans="1:15" x14ac:dyDescent="0.25">
      <c r="A451" t="s">
        <v>5803</v>
      </c>
      <c r="B451" t="s">
        <v>24</v>
      </c>
      <c r="C451" t="s">
        <v>126</v>
      </c>
      <c r="D451" t="s">
        <v>5800</v>
      </c>
      <c r="E451" t="s">
        <v>5804</v>
      </c>
      <c r="F451" t="s">
        <v>5805</v>
      </c>
      <c r="G451" s="1">
        <v>45121</v>
      </c>
      <c r="H451" s="1"/>
      <c r="I451" t="s">
        <v>1737</v>
      </c>
      <c r="J451" t="s">
        <v>29</v>
      </c>
      <c r="K451" t="s">
        <v>29</v>
      </c>
      <c r="M451">
        <v>100</v>
      </c>
      <c r="N451" s="1">
        <v>45140</v>
      </c>
      <c r="O451" s="12"/>
    </row>
    <row r="452" spans="1:15" x14ac:dyDescent="0.25">
      <c r="A452" t="s">
        <v>5806</v>
      </c>
      <c r="B452" t="s">
        <v>24</v>
      </c>
      <c r="C452" t="s">
        <v>126</v>
      </c>
      <c r="D452" t="s">
        <v>5807</v>
      </c>
      <c r="E452" t="s">
        <v>5808</v>
      </c>
      <c r="F452" t="s">
        <v>5809</v>
      </c>
      <c r="G452" s="1">
        <v>45121</v>
      </c>
      <c r="H452" s="1"/>
      <c r="I452" t="s">
        <v>1737</v>
      </c>
      <c r="J452" t="s">
        <v>29</v>
      </c>
      <c r="K452" t="s">
        <v>29</v>
      </c>
      <c r="M452">
        <v>100</v>
      </c>
      <c r="N452" s="1">
        <v>45155</v>
      </c>
      <c r="O452" s="12"/>
    </row>
    <row r="453" spans="1:15" x14ac:dyDescent="0.25">
      <c r="A453" t="s">
        <v>5810</v>
      </c>
      <c r="B453" t="s">
        <v>704</v>
      </c>
      <c r="C453" t="s">
        <v>163</v>
      </c>
      <c r="D453" t="s">
        <v>5811</v>
      </c>
      <c r="E453" t="s">
        <v>5812</v>
      </c>
      <c r="F453" t="s">
        <v>5413</v>
      </c>
      <c r="G453" s="1">
        <v>45124</v>
      </c>
      <c r="H453" s="1"/>
      <c r="I453" t="s">
        <v>1737</v>
      </c>
      <c r="J453" t="s">
        <v>29</v>
      </c>
      <c r="K453" t="s">
        <v>29</v>
      </c>
      <c r="M453">
        <v>100</v>
      </c>
      <c r="N453" s="1">
        <v>45126</v>
      </c>
      <c r="O453" s="12"/>
    </row>
    <row r="454" spans="1:15" x14ac:dyDescent="0.25">
      <c r="A454" t="s">
        <v>5813</v>
      </c>
      <c r="B454" t="s">
        <v>499</v>
      </c>
      <c r="C454" t="s">
        <v>5773</v>
      </c>
      <c r="D454" t="s">
        <v>105</v>
      </c>
      <c r="E454" t="s">
        <v>565</v>
      </c>
      <c r="F454" t="s">
        <v>3148</v>
      </c>
      <c r="G454" s="1">
        <v>45128</v>
      </c>
      <c r="H454" s="1"/>
      <c r="I454" t="s">
        <v>1737</v>
      </c>
      <c r="J454" t="s">
        <v>29</v>
      </c>
      <c r="K454" t="s">
        <v>29</v>
      </c>
      <c r="L454" t="s">
        <v>549</v>
      </c>
      <c r="M454">
        <v>100</v>
      </c>
      <c r="N454" s="1">
        <v>45146</v>
      </c>
      <c r="O454" s="12"/>
    </row>
    <row r="455" spans="1:15" x14ac:dyDescent="0.25">
      <c r="A455" t="s">
        <v>5814</v>
      </c>
      <c r="B455" t="s">
        <v>704</v>
      </c>
      <c r="C455" t="s">
        <v>5007</v>
      </c>
      <c r="D455" t="s">
        <v>5071</v>
      </c>
      <c r="E455" t="s">
        <v>5815</v>
      </c>
      <c r="F455" t="s">
        <v>5413</v>
      </c>
      <c r="G455" s="1">
        <v>45128</v>
      </c>
      <c r="H455" s="1"/>
      <c r="I455" t="s">
        <v>1737</v>
      </c>
      <c r="J455" t="s">
        <v>29</v>
      </c>
      <c r="K455" t="s">
        <v>29</v>
      </c>
      <c r="M455">
        <v>100</v>
      </c>
      <c r="N455" s="1">
        <v>45169</v>
      </c>
      <c r="O455" s="12"/>
    </row>
    <row r="456" spans="1:15" x14ac:dyDescent="0.25">
      <c r="A456" s="24" t="s">
        <v>5816</v>
      </c>
      <c r="B456" s="24" t="s">
        <v>621</v>
      </c>
      <c r="C456" s="24" t="s">
        <v>5817</v>
      </c>
      <c r="D456" s="24" t="s">
        <v>511</v>
      </c>
      <c r="E456" s="24" t="s">
        <v>5818</v>
      </c>
      <c r="F456" s="24" t="s">
        <v>14</v>
      </c>
      <c r="G456" s="25">
        <v>45128</v>
      </c>
      <c r="H456" s="25"/>
      <c r="I456" s="24" t="s">
        <v>1737</v>
      </c>
      <c r="J456" s="24" t="s">
        <v>29</v>
      </c>
      <c r="K456" s="24" t="s">
        <v>29</v>
      </c>
      <c r="L456" s="24"/>
      <c r="M456" s="24">
        <v>100</v>
      </c>
      <c r="N456" s="25">
        <v>45159</v>
      </c>
      <c r="O456" s="31"/>
    </row>
    <row r="457" spans="1:15" x14ac:dyDescent="0.25">
      <c r="A457" t="s">
        <v>5819</v>
      </c>
      <c r="B457" t="s">
        <v>704</v>
      </c>
      <c r="C457" t="s">
        <v>670</v>
      </c>
      <c r="D457" t="s">
        <v>5102</v>
      </c>
      <c r="E457" t="s">
        <v>5820</v>
      </c>
      <c r="F457" t="s">
        <v>5821</v>
      </c>
      <c r="G457" s="1">
        <v>45131</v>
      </c>
      <c r="H457" s="1"/>
      <c r="I457" t="s">
        <v>1737</v>
      </c>
      <c r="J457" t="s">
        <v>29</v>
      </c>
      <c r="K457" t="s">
        <v>29</v>
      </c>
      <c r="M457">
        <v>100</v>
      </c>
      <c r="N457" s="1">
        <v>45132</v>
      </c>
      <c r="O457" s="12"/>
    </row>
    <row r="458" spans="1:15" x14ac:dyDescent="0.25">
      <c r="A458" t="s">
        <v>5822</v>
      </c>
      <c r="B458" t="s">
        <v>474</v>
      </c>
      <c r="C458" t="s">
        <v>766</v>
      </c>
      <c r="D458" t="s">
        <v>5823</v>
      </c>
      <c r="E458" t="s">
        <v>5824</v>
      </c>
      <c r="F458" t="s">
        <v>14</v>
      </c>
      <c r="G458" s="1">
        <v>45131</v>
      </c>
      <c r="H458" s="1"/>
      <c r="I458" t="s">
        <v>1737</v>
      </c>
      <c r="J458" t="s">
        <v>29</v>
      </c>
      <c r="M458">
        <v>100</v>
      </c>
      <c r="N458" s="1">
        <v>45146</v>
      </c>
      <c r="O458" s="12"/>
    </row>
    <row r="459" spans="1:15" x14ac:dyDescent="0.25">
      <c r="A459" t="s">
        <v>5825</v>
      </c>
      <c r="B459" t="s">
        <v>704</v>
      </c>
      <c r="C459" t="s">
        <v>677</v>
      </c>
      <c r="D459" t="s">
        <v>678</v>
      </c>
      <c r="E459" t="s">
        <v>5826</v>
      </c>
      <c r="F459" t="s">
        <v>555</v>
      </c>
      <c r="G459" s="1">
        <v>45131</v>
      </c>
      <c r="H459" s="1"/>
      <c r="I459" t="s">
        <v>1737</v>
      </c>
      <c r="J459" t="s">
        <v>29</v>
      </c>
      <c r="K459" t="s">
        <v>29</v>
      </c>
      <c r="M459">
        <v>100</v>
      </c>
      <c r="N459" s="1">
        <v>45148</v>
      </c>
      <c r="O459" s="12"/>
    </row>
    <row r="460" spans="1:15" x14ac:dyDescent="0.25">
      <c r="A460" t="s">
        <v>5827</v>
      </c>
      <c r="B460" t="s">
        <v>704</v>
      </c>
      <c r="C460" t="s">
        <v>670</v>
      </c>
      <c r="D460" t="s">
        <v>5102</v>
      </c>
      <c r="E460" t="s">
        <v>5828</v>
      </c>
      <c r="F460" t="s">
        <v>3148</v>
      </c>
      <c r="G460" s="1">
        <v>45131</v>
      </c>
      <c r="H460" s="1"/>
      <c r="I460" t="s">
        <v>1737</v>
      </c>
      <c r="J460" t="s">
        <v>29</v>
      </c>
      <c r="K460" t="s">
        <v>29</v>
      </c>
      <c r="M460">
        <v>100</v>
      </c>
      <c r="N460" s="1">
        <v>45140</v>
      </c>
      <c r="O460" s="12"/>
    </row>
    <row r="461" spans="1:15" x14ac:dyDescent="0.25">
      <c r="A461" t="s">
        <v>5829</v>
      </c>
      <c r="B461" t="s">
        <v>704</v>
      </c>
      <c r="C461" t="s">
        <v>4661</v>
      </c>
      <c r="D461" t="s">
        <v>1563</v>
      </c>
      <c r="E461" t="s">
        <v>5830</v>
      </c>
      <c r="F461" t="s">
        <v>5831</v>
      </c>
      <c r="G461" s="1">
        <v>45131</v>
      </c>
      <c r="H461" s="1"/>
      <c r="I461" t="s">
        <v>1737</v>
      </c>
      <c r="J461" t="s">
        <v>29</v>
      </c>
      <c r="K461" t="s">
        <v>29</v>
      </c>
      <c r="M461">
        <v>100</v>
      </c>
      <c r="N461" s="1">
        <v>45140</v>
      </c>
      <c r="O461" s="12"/>
    </row>
    <row r="462" spans="1:15" x14ac:dyDescent="0.25">
      <c r="A462" t="s">
        <v>5832</v>
      </c>
      <c r="B462" t="s">
        <v>3774</v>
      </c>
      <c r="C462" t="s">
        <v>5833</v>
      </c>
      <c r="D462" t="s">
        <v>2818</v>
      </c>
      <c r="E462" t="s">
        <v>5834</v>
      </c>
      <c r="F462" t="s">
        <v>32</v>
      </c>
      <c r="G462" s="1">
        <v>45132</v>
      </c>
      <c r="H462" s="1"/>
      <c r="I462" t="s">
        <v>1737</v>
      </c>
      <c r="J462" t="s">
        <v>29</v>
      </c>
      <c r="O462" s="12"/>
    </row>
    <row r="463" spans="1:15" x14ac:dyDescent="0.25">
      <c r="A463" t="s">
        <v>5835</v>
      </c>
      <c r="B463" t="s">
        <v>135</v>
      </c>
      <c r="C463" t="s">
        <v>766</v>
      </c>
      <c r="D463" t="s">
        <v>5836</v>
      </c>
      <c r="E463" t="s">
        <v>5837</v>
      </c>
      <c r="F463" t="s">
        <v>14</v>
      </c>
      <c r="G463" s="1">
        <v>45132</v>
      </c>
      <c r="H463" s="1"/>
      <c r="I463" t="s">
        <v>1737</v>
      </c>
      <c r="J463" t="s">
        <v>29</v>
      </c>
      <c r="K463" t="s">
        <v>29</v>
      </c>
      <c r="M463">
        <v>100</v>
      </c>
      <c r="N463" s="1">
        <v>45159</v>
      </c>
      <c r="O463" s="12"/>
    </row>
    <row r="464" spans="1:15" x14ac:dyDescent="0.25">
      <c r="A464" t="s">
        <v>5838</v>
      </c>
      <c r="B464" t="s">
        <v>704</v>
      </c>
      <c r="C464" t="s">
        <v>670</v>
      </c>
      <c r="D464" t="s">
        <v>5214</v>
      </c>
      <c r="E464" t="s">
        <v>5839</v>
      </c>
      <c r="F464" t="s">
        <v>5413</v>
      </c>
      <c r="G464" s="1">
        <v>45133</v>
      </c>
      <c r="H464" s="1"/>
      <c r="I464" t="s">
        <v>1737</v>
      </c>
      <c r="J464" t="s">
        <v>29</v>
      </c>
      <c r="K464" t="s">
        <v>29</v>
      </c>
      <c r="M464">
        <v>100</v>
      </c>
      <c r="N464" s="1">
        <v>45159</v>
      </c>
      <c r="O464" s="12"/>
    </row>
    <row r="465" spans="1:15" x14ac:dyDescent="0.25">
      <c r="A465" t="s">
        <v>5840</v>
      </c>
      <c r="B465" t="s">
        <v>714</v>
      </c>
      <c r="C465" t="s">
        <v>4661</v>
      </c>
      <c r="D465" t="s">
        <v>397</v>
      </c>
      <c r="E465" t="s">
        <v>5841</v>
      </c>
      <c r="F465" t="s">
        <v>14</v>
      </c>
      <c r="G465" s="1">
        <v>45131</v>
      </c>
      <c r="H465" s="1"/>
      <c r="I465" t="s">
        <v>1737</v>
      </c>
      <c r="J465" t="s">
        <v>29</v>
      </c>
      <c r="M465">
        <v>100</v>
      </c>
      <c r="N465" s="1">
        <v>45134</v>
      </c>
      <c r="O465" s="12"/>
    </row>
    <row r="466" spans="1:15" x14ac:dyDescent="0.25">
      <c r="A466" t="s">
        <v>5842</v>
      </c>
      <c r="B466" t="s">
        <v>704</v>
      </c>
      <c r="C466" t="s">
        <v>578</v>
      </c>
      <c r="D466" t="s">
        <v>284</v>
      </c>
      <c r="E466" t="s">
        <v>5843</v>
      </c>
      <c r="F466" t="s">
        <v>5844</v>
      </c>
      <c r="G466" s="1">
        <v>45135</v>
      </c>
      <c r="H466" s="1"/>
      <c r="I466" t="s">
        <v>1737</v>
      </c>
      <c r="J466" t="s">
        <v>29</v>
      </c>
      <c r="K466" t="s">
        <v>29</v>
      </c>
      <c r="M466">
        <v>100</v>
      </c>
      <c r="N466" s="1">
        <v>45138</v>
      </c>
      <c r="O466" s="12"/>
    </row>
    <row r="467" spans="1:15" x14ac:dyDescent="0.25">
      <c r="A467" t="s">
        <v>5845</v>
      </c>
      <c r="B467" t="s">
        <v>474</v>
      </c>
      <c r="C467" t="s">
        <v>177</v>
      </c>
      <c r="D467" t="s">
        <v>511</v>
      </c>
      <c r="E467" t="s">
        <v>5818</v>
      </c>
      <c r="F467" t="s">
        <v>14</v>
      </c>
      <c r="G467" s="1">
        <v>45138</v>
      </c>
      <c r="H467" s="1"/>
      <c r="I467" t="s">
        <v>1737</v>
      </c>
      <c r="J467" t="s">
        <v>29</v>
      </c>
      <c r="M467">
        <v>100</v>
      </c>
      <c r="N467" s="1">
        <v>45159</v>
      </c>
      <c r="O467" s="12"/>
    </row>
    <row r="468" spans="1:15" x14ac:dyDescent="0.25">
      <c r="A468" t="s">
        <v>5846</v>
      </c>
      <c r="B468" t="s">
        <v>135</v>
      </c>
      <c r="C468" t="s">
        <v>5847</v>
      </c>
      <c r="D468" t="s">
        <v>5848</v>
      </c>
      <c r="E468" t="s">
        <v>5849</v>
      </c>
      <c r="F468" t="s">
        <v>14</v>
      </c>
      <c r="G468" s="1">
        <v>45139</v>
      </c>
      <c r="H468" s="1"/>
      <c r="I468" t="s">
        <v>1737</v>
      </c>
      <c r="J468" t="s">
        <v>29</v>
      </c>
      <c r="K468" t="s">
        <v>18</v>
      </c>
      <c r="M468">
        <v>100</v>
      </c>
      <c r="N468" s="1">
        <v>45140</v>
      </c>
      <c r="O468" s="12"/>
    </row>
    <row r="469" spans="1:15" x14ac:dyDescent="0.25">
      <c r="A469" t="s">
        <v>5850</v>
      </c>
      <c r="B469" t="s">
        <v>704</v>
      </c>
      <c r="C469" t="s">
        <v>677</v>
      </c>
      <c r="D469" t="s">
        <v>678</v>
      </c>
      <c r="E469" t="s">
        <v>5851</v>
      </c>
      <c r="F469" t="s">
        <v>555</v>
      </c>
      <c r="G469" s="1">
        <v>45140</v>
      </c>
      <c r="H469" s="1"/>
      <c r="I469" t="s">
        <v>1737</v>
      </c>
      <c r="J469" t="s">
        <v>29</v>
      </c>
      <c r="K469" t="s">
        <v>29</v>
      </c>
      <c r="M469">
        <v>100</v>
      </c>
      <c r="N469" s="1">
        <v>45141</v>
      </c>
      <c r="O469" s="12"/>
    </row>
    <row r="470" spans="1:15" x14ac:dyDescent="0.25">
      <c r="A470" t="s">
        <v>5852</v>
      </c>
      <c r="B470" t="s">
        <v>704</v>
      </c>
      <c r="C470" t="s">
        <v>243</v>
      </c>
      <c r="D470" t="s">
        <v>5166</v>
      </c>
      <c r="E470" t="s">
        <v>5853</v>
      </c>
      <c r="F470" t="s">
        <v>5854</v>
      </c>
      <c r="G470" s="1">
        <v>45141</v>
      </c>
      <c r="H470" s="1"/>
      <c r="I470" t="s">
        <v>1737</v>
      </c>
      <c r="J470" t="s">
        <v>29</v>
      </c>
      <c r="M470">
        <v>100</v>
      </c>
      <c r="N470" s="1">
        <v>45145</v>
      </c>
      <c r="O470" s="12" t="s">
        <v>5855</v>
      </c>
    </row>
    <row r="471" spans="1:15" x14ac:dyDescent="0.25">
      <c r="A471" t="s">
        <v>5856</v>
      </c>
      <c r="B471" t="s">
        <v>704</v>
      </c>
      <c r="C471" t="s">
        <v>243</v>
      </c>
      <c r="D471" t="s">
        <v>5166</v>
      </c>
      <c r="E471" t="s">
        <v>5857</v>
      </c>
      <c r="F471" t="s">
        <v>5854</v>
      </c>
      <c r="G471" s="1">
        <v>45170</v>
      </c>
      <c r="H471" s="1"/>
      <c r="I471" t="s">
        <v>1737</v>
      </c>
      <c r="K471" t="s">
        <v>29</v>
      </c>
      <c r="O471" s="12"/>
    </row>
    <row r="472" spans="1:15" x14ac:dyDescent="0.25">
      <c r="A472" t="s">
        <v>5858</v>
      </c>
      <c r="B472" t="s">
        <v>474</v>
      </c>
      <c r="C472" t="s">
        <v>5817</v>
      </c>
      <c r="D472" t="s">
        <v>511</v>
      </c>
      <c r="E472" t="s">
        <v>5853</v>
      </c>
      <c r="F472" t="s">
        <v>14</v>
      </c>
      <c r="G472" s="1">
        <v>45142</v>
      </c>
      <c r="H472" s="1"/>
      <c r="I472" t="s">
        <v>1737</v>
      </c>
      <c r="J472" t="s">
        <v>29</v>
      </c>
      <c r="M472">
        <v>100</v>
      </c>
      <c r="N472" s="1">
        <v>45159</v>
      </c>
      <c r="O472" s="12"/>
    </row>
    <row r="473" spans="1:15" x14ac:dyDescent="0.25">
      <c r="A473" s="26" t="s">
        <v>5859</v>
      </c>
      <c r="B473" s="27" t="s">
        <v>621</v>
      </c>
      <c r="C473" s="27" t="s">
        <v>766</v>
      </c>
      <c r="D473" s="27" t="s">
        <v>5785</v>
      </c>
      <c r="E473" s="27" t="s">
        <v>5860</v>
      </c>
      <c r="F473" s="27" t="s">
        <v>14</v>
      </c>
      <c r="G473" s="28">
        <v>45145</v>
      </c>
      <c r="H473" s="28"/>
      <c r="I473" s="27" t="s">
        <v>1737</v>
      </c>
      <c r="J473" s="27" t="s">
        <v>29</v>
      </c>
      <c r="K473" s="27"/>
      <c r="L473" s="27"/>
      <c r="M473" s="27">
        <v>100</v>
      </c>
      <c r="N473" s="28">
        <v>45289</v>
      </c>
      <c r="O473" s="32"/>
    </row>
    <row r="474" spans="1:15" x14ac:dyDescent="0.25">
      <c r="A474" t="s">
        <v>5861</v>
      </c>
      <c r="B474" t="s">
        <v>704</v>
      </c>
      <c r="C474" t="s">
        <v>611</v>
      </c>
      <c r="D474" t="s">
        <v>5425</v>
      </c>
      <c r="E474" t="s">
        <v>5862</v>
      </c>
      <c r="F474" t="s">
        <v>5504</v>
      </c>
      <c r="G474" s="1">
        <v>45146</v>
      </c>
      <c r="H474" s="1"/>
      <c r="I474" t="s">
        <v>1737</v>
      </c>
      <c r="J474" t="s">
        <v>29</v>
      </c>
      <c r="K474" t="s">
        <v>29</v>
      </c>
      <c r="M474">
        <v>100</v>
      </c>
      <c r="N474" s="1">
        <v>45167</v>
      </c>
      <c r="O474" s="12"/>
    </row>
    <row r="475" spans="1:15" x14ac:dyDescent="0.25">
      <c r="A475" t="s">
        <v>5863</v>
      </c>
      <c r="B475" t="s">
        <v>474</v>
      </c>
      <c r="C475" t="s">
        <v>5864</v>
      </c>
      <c r="D475" t="s">
        <v>446</v>
      </c>
      <c r="E475" t="s">
        <v>5865</v>
      </c>
      <c r="F475" t="s">
        <v>14</v>
      </c>
      <c r="G475" s="1">
        <v>45146</v>
      </c>
      <c r="H475" s="1"/>
      <c r="I475" t="s">
        <v>1737</v>
      </c>
      <c r="J475" t="s">
        <v>29</v>
      </c>
      <c r="M475">
        <v>100</v>
      </c>
      <c r="N475" s="1">
        <v>45147</v>
      </c>
      <c r="O475" s="12"/>
    </row>
    <row r="476" spans="1:15" x14ac:dyDescent="0.25">
      <c r="A476" t="s">
        <v>5866</v>
      </c>
      <c r="B476" t="s">
        <v>704</v>
      </c>
      <c r="C476" t="s">
        <v>670</v>
      </c>
      <c r="D476" t="s">
        <v>5867</v>
      </c>
      <c r="E476" t="s">
        <v>5868</v>
      </c>
      <c r="F476" t="s">
        <v>5869</v>
      </c>
      <c r="G476" s="1">
        <v>45147</v>
      </c>
      <c r="H476" s="1"/>
      <c r="I476" t="s">
        <v>1737</v>
      </c>
      <c r="J476" t="s">
        <v>29</v>
      </c>
      <c r="K476" t="s">
        <v>29</v>
      </c>
      <c r="M476">
        <v>100</v>
      </c>
      <c r="N476" s="1">
        <v>45148</v>
      </c>
      <c r="O476" s="12"/>
    </row>
    <row r="477" spans="1:15" x14ac:dyDescent="0.25">
      <c r="A477" t="s">
        <v>5870</v>
      </c>
      <c r="B477" t="s">
        <v>704</v>
      </c>
      <c r="C477" t="s">
        <v>611</v>
      </c>
      <c r="D477" t="s">
        <v>111</v>
      </c>
      <c r="E477" t="s">
        <v>5871</v>
      </c>
      <c r="F477" t="s">
        <v>5872</v>
      </c>
      <c r="G477" s="1">
        <v>45147</v>
      </c>
      <c r="H477" s="1"/>
      <c r="I477" t="s">
        <v>1737</v>
      </c>
      <c r="J477" t="s">
        <v>29</v>
      </c>
      <c r="K477" t="s">
        <v>29</v>
      </c>
      <c r="M477">
        <v>100</v>
      </c>
      <c r="N477" s="1">
        <v>45159</v>
      </c>
      <c r="O477" s="12"/>
    </row>
    <row r="478" spans="1:15" x14ac:dyDescent="0.25">
      <c r="A478" t="s">
        <v>5873</v>
      </c>
      <c r="B478" t="s">
        <v>474</v>
      </c>
      <c r="C478" t="s">
        <v>5817</v>
      </c>
      <c r="D478" t="s">
        <v>5874</v>
      </c>
      <c r="E478" t="s">
        <v>5875</v>
      </c>
      <c r="F478" t="s">
        <v>14</v>
      </c>
      <c r="G478" s="1">
        <v>45148</v>
      </c>
      <c r="H478" s="1"/>
      <c r="I478" t="s">
        <v>1737</v>
      </c>
      <c r="J478" t="s">
        <v>29</v>
      </c>
      <c r="M478">
        <v>100</v>
      </c>
      <c r="N478" s="1">
        <v>45148</v>
      </c>
      <c r="O478" s="12"/>
    </row>
    <row r="479" spans="1:15" x14ac:dyDescent="0.25">
      <c r="A479" t="s">
        <v>5876</v>
      </c>
      <c r="B479" t="s">
        <v>704</v>
      </c>
      <c r="C479" t="s">
        <v>670</v>
      </c>
      <c r="D479" t="s">
        <v>671</v>
      </c>
      <c r="E479" t="s">
        <v>5877</v>
      </c>
      <c r="F479" t="s">
        <v>5413</v>
      </c>
      <c r="G479" s="1">
        <v>45148</v>
      </c>
      <c r="H479" s="1"/>
      <c r="I479" t="s">
        <v>1737</v>
      </c>
      <c r="J479" t="s">
        <v>29</v>
      </c>
      <c r="K479" t="s">
        <v>29</v>
      </c>
      <c r="M479">
        <v>100</v>
      </c>
      <c r="N479" s="1">
        <v>45155</v>
      </c>
      <c r="O479" s="12"/>
    </row>
    <row r="480" spans="1:15" x14ac:dyDescent="0.25">
      <c r="A480" t="s">
        <v>5878</v>
      </c>
      <c r="B480" t="s">
        <v>704</v>
      </c>
      <c r="C480" t="s">
        <v>5773</v>
      </c>
      <c r="D480" t="s">
        <v>105</v>
      </c>
      <c r="E480" t="s">
        <v>5879</v>
      </c>
      <c r="F480" t="s">
        <v>14</v>
      </c>
      <c r="G480" s="1">
        <v>45148</v>
      </c>
      <c r="H480" s="1"/>
      <c r="I480" t="s">
        <v>1737</v>
      </c>
      <c r="J480" t="s">
        <v>29</v>
      </c>
      <c r="K480" t="s">
        <v>29</v>
      </c>
      <c r="M480">
        <v>100</v>
      </c>
      <c r="N480" s="1" t="s">
        <v>5880</v>
      </c>
      <c r="O480" s="12"/>
    </row>
    <row r="481" spans="1:15" x14ac:dyDescent="0.25">
      <c r="A481" t="s">
        <v>5881</v>
      </c>
      <c r="B481" t="s">
        <v>325</v>
      </c>
      <c r="C481" t="s">
        <v>5882</v>
      </c>
      <c r="D481" t="s">
        <v>5883</v>
      </c>
      <c r="E481" t="s">
        <v>5884</v>
      </c>
      <c r="F481" t="s">
        <v>5885</v>
      </c>
      <c r="G481" s="1">
        <v>45149</v>
      </c>
      <c r="H481" s="1"/>
      <c r="I481" t="s">
        <v>1737</v>
      </c>
      <c r="J481" t="s">
        <v>29</v>
      </c>
      <c r="M481">
        <v>100</v>
      </c>
      <c r="O481" s="12"/>
    </row>
    <row r="482" spans="1:15" x14ac:dyDescent="0.25">
      <c r="A482" t="s">
        <v>5886</v>
      </c>
      <c r="B482" t="s">
        <v>704</v>
      </c>
      <c r="C482" t="s">
        <v>5887</v>
      </c>
      <c r="D482" s="11" t="s">
        <v>5888</v>
      </c>
      <c r="E482" t="s">
        <v>5727</v>
      </c>
      <c r="F482" t="s">
        <v>5889</v>
      </c>
      <c r="G482" s="1">
        <v>45153</v>
      </c>
      <c r="H482" s="1"/>
      <c r="I482" t="s">
        <v>1737</v>
      </c>
      <c r="J482" t="s">
        <v>29</v>
      </c>
      <c r="K482" t="s">
        <v>29</v>
      </c>
      <c r="M482">
        <v>100</v>
      </c>
      <c r="N482" s="1">
        <v>45155</v>
      </c>
      <c r="O482" s="12"/>
    </row>
    <row r="483" spans="1:15" x14ac:dyDescent="0.25">
      <c r="A483" t="s">
        <v>5890</v>
      </c>
      <c r="B483" t="s">
        <v>704</v>
      </c>
      <c r="C483" t="s">
        <v>4661</v>
      </c>
      <c r="D483" t="s">
        <v>5788</v>
      </c>
      <c r="E483" t="s">
        <v>5891</v>
      </c>
      <c r="F483" t="s">
        <v>5892</v>
      </c>
      <c r="G483" s="1">
        <v>45153</v>
      </c>
      <c r="H483" s="1"/>
      <c r="I483" t="s">
        <v>1737</v>
      </c>
      <c r="J483" t="s">
        <v>29</v>
      </c>
      <c r="K483" t="s">
        <v>29</v>
      </c>
      <c r="M483">
        <v>100</v>
      </c>
      <c r="N483" s="1">
        <v>45155</v>
      </c>
      <c r="O483" s="12"/>
    </row>
    <row r="484" spans="1:15" x14ac:dyDescent="0.25">
      <c r="A484" t="s">
        <v>5893</v>
      </c>
      <c r="B484" t="s">
        <v>704</v>
      </c>
      <c r="C484" t="s">
        <v>243</v>
      </c>
      <c r="D484" t="s">
        <v>244</v>
      </c>
      <c r="E484" t="s">
        <v>5894</v>
      </c>
      <c r="F484" t="s">
        <v>659</v>
      </c>
      <c r="G484" s="1">
        <v>45154</v>
      </c>
      <c r="H484" s="1"/>
      <c r="I484" t="s">
        <v>1737</v>
      </c>
      <c r="J484" t="s">
        <v>29</v>
      </c>
      <c r="K484" t="s">
        <v>29</v>
      </c>
      <c r="M484">
        <v>100</v>
      </c>
      <c r="N484" s="1">
        <v>45204</v>
      </c>
      <c r="O484" s="12"/>
    </row>
    <row r="485" spans="1:15" x14ac:dyDescent="0.25">
      <c r="A485" t="s">
        <v>5895</v>
      </c>
      <c r="B485" t="s">
        <v>24</v>
      </c>
      <c r="C485" t="s">
        <v>43</v>
      </c>
      <c r="D485" t="s">
        <v>582</v>
      </c>
      <c r="E485" t="s">
        <v>5896</v>
      </c>
      <c r="F485" t="s">
        <v>329</v>
      </c>
      <c r="G485" s="1">
        <v>45154</v>
      </c>
      <c r="H485" s="1"/>
      <c r="I485" t="s">
        <v>1737</v>
      </c>
      <c r="J485" t="s">
        <v>29</v>
      </c>
      <c r="M485">
        <v>100</v>
      </c>
      <c r="N485" s="1">
        <v>45201</v>
      </c>
      <c r="O485" s="12"/>
    </row>
    <row r="486" spans="1:15" x14ac:dyDescent="0.25">
      <c r="A486" t="s">
        <v>5897</v>
      </c>
      <c r="B486" t="s">
        <v>704</v>
      </c>
      <c r="C486" t="s">
        <v>4661</v>
      </c>
      <c r="D486" t="s">
        <v>5788</v>
      </c>
      <c r="E486" t="s">
        <v>5898</v>
      </c>
      <c r="F486" t="s">
        <v>3148</v>
      </c>
      <c r="G486" s="1">
        <v>45156</v>
      </c>
      <c r="H486" s="1"/>
      <c r="I486" t="s">
        <v>1737</v>
      </c>
      <c r="J486" t="s">
        <v>29</v>
      </c>
      <c r="K486" t="s">
        <v>29</v>
      </c>
      <c r="M486">
        <v>100</v>
      </c>
      <c r="N486" s="1">
        <v>45167</v>
      </c>
      <c r="O486" s="12"/>
    </row>
    <row r="487" spans="1:15" x14ac:dyDescent="0.25">
      <c r="A487" t="s">
        <v>5899</v>
      </c>
      <c r="B487" t="s">
        <v>13</v>
      </c>
      <c r="C487" t="s">
        <v>177</v>
      </c>
      <c r="D487" t="s">
        <v>5900</v>
      </c>
      <c r="E487" t="s">
        <v>5901</v>
      </c>
      <c r="F487" t="s">
        <v>5885</v>
      </c>
      <c r="G487" s="1">
        <v>45154</v>
      </c>
      <c r="H487" s="1"/>
      <c r="I487" t="s">
        <v>1737</v>
      </c>
      <c r="J487" t="s">
        <v>29</v>
      </c>
      <c r="K487" t="s">
        <v>29</v>
      </c>
      <c r="M487">
        <v>100</v>
      </c>
      <c r="N487" s="1">
        <v>45162</v>
      </c>
      <c r="O487" s="12"/>
    </row>
    <row r="488" spans="1:15" x14ac:dyDescent="0.25">
      <c r="A488" t="s">
        <v>5902</v>
      </c>
      <c r="B488" t="s">
        <v>704</v>
      </c>
      <c r="C488" t="s">
        <v>670</v>
      </c>
      <c r="D488" t="s">
        <v>5102</v>
      </c>
      <c r="E488" t="s">
        <v>5903</v>
      </c>
      <c r="F488" t="s">
        <v>3148</v>
      </c>
      <c r="G488" s="1">
        <v>45159</v>
      </c>
      <c r="H488" s="1"/>
      <c r="I488" t="s">
        <v>1737</v>
      </c>
      <c r="J488" t="s">
        <v>29</v>
      </c>
      <c r="K488" t="s">
        <v>29</v>
      </c>
      <c r="M488">
        <v>100</v>
      </c>
      <c r="N488" s="1">
        <v>45167</v>
      </c>
      <c r="O488" s="12"/>
    </row>
    <row r="489" spans="1:15" x14ac:dyDescent="0.25">
      <c r="A489" t="s">
        <v>5904</v>
      </c>
      <c r="B489" t="s">
        <v>704</v>
      </c>
      <c r="C489" t="s">
        <v>670</v>
      </c>
      <c r="D489" t="s">
        <v>5214</v>
      </c>
      <c r="E489" t="s">
        <v>5905</v>
      </c>
      <c r="F489" t="s">
        <v>5413</v>
      </c>
      <c r="G489" s="1">
        <v>45159</v>
      </c>
      <c r="H489" s="1"/>
      <c r="I489" t="s">
        <v>1737</v>
      </c>
      <c r="J489" t="s">
        <v>29</v>
      </c>
      <c r="K489" t="s">
        <v>29</v>
      </c>
      <c r="M489">
        <v>100</v>
      </c>
      <c r="N489" s="1">
        <v>45201</v>
      </c>
      <c r="O489" s="12"/>
    </row>
    <row r="490" spans="1:15" x14ac:dyDescent="0.25">
      <c r="A490" t="s">
        <v>5906</v>
      </c>
      <c r="B490" t="s">
        <v>704</v>
      </c>
      <c r="C490" t="s">
        <v>393</v>
      </c>
      <c r="D490" t="s">
        <v>5343</v>
      </c>
      <c r="E490" t="s">
        <v>5047</v>
      </c>
      <c r="F490" t="s">
        <v>5413</v>
      </c>
      <c r="G490" s="1">
        <v>45161</v>
      </c>
      <c r="H490" s="1"/>
      <c r="I490" t="s">
        <v>1737</v>
      </c>
      <c r="J490" t="s">
        <v>29</v>
      </c>
      <c r="K490" t="s">
        <v>29</v>
      </c>
      <c r="M490">
        <v>100</v>
      </c>
      <c r="N490" s="1">
        <v>45202</v>
      </c>
      <c r="O490" s="12"/>
    </row>
    <row r="491" spans="1:15" x14ac:dyDescent="0.25">
      <c r="A491" t="s">
        <v>5907</v>
      </c>
      <c r="B491" t="s">
        <v>704</v>
      </c>
      <c r="C491" t="s">
        <v>677</v>
      </c>
      <c r="D491" t="s">
        <v>678</v>
      </c>
      <c r="E491" t="s">
        <v>5908</v>
      </c>
      <c r="F491" t="s">
        <v>555</v>
      </c>
      <c r="G491" s="1">
        <v>45161</v>
      </c>
      <c r="H491" s="1"/>
      <c r="I491" t="s">
        <v>1737</v>
      </c>
      <c r="J491" t="s">
        <v>29</v>
      </c>
      <c r="K491" t="s">
        <v>29</v>
      </c>
      <c r="M491">
        <v>100</v>
      </c>
      <c r="N491" s="1">
        <v>45163</v>
      </c>
      <c r="O491" s="12"/>
    </row>
    <row r="492" spans="1:15" x14ac:dyDescent="0.25">
      <c r="A492" t="s">
        <v>5909</v>
      </c>
      <c r="B492" t="s">
        <v>704</v>
      </c>
      <c r="C492" t="s">
        <v>670</v>
      </c>
      <c r="D492" t="s">
        <v>5214</v>
      </c>
      <c r="E492" t="s">
        <v>5215</v>
      </c>
      <c r="F492" t="s">
        <v>5413</v>
      </c>
      <c r="G492" s="1">
        <v>45162</v>
      </c>
      <c r="H492" s="1"/>
      <c r="I492" t="s">
        <v>1737</v>
      </c>
      <c r="J492" t="s">
        <v>29</v>
      </c>
      <c r="K492" t="s">
        <v>29</v>
      </c>
      <c r="M492">
        <v>100</v>
      </c>
      <c r="N492" s="1">
        <v>45210</v>
      </c>
      <c r="O492" s="12"/>
    </row>
    <row r="493" spans="1:15" x14ac:dyDescent="0.25">
      <c r="A493" t="s">
        <v>5910</v>
      </c>
      <c r="B493" t="s">
        <v>704</v>
      </c>
      <c r="C493" t="s">
        <v>670</v>
      </c>
      <c r="D493" t="s">
        <v>671</v>
      </c>
      <c r="E493" t="s">
        <v>5911</v>
      </c>
      <c r="F493" t="s">
        <v>659</v>
      </c>
      <c r="G493" s="1">
        <v>45162</v>
      </c>
      <c r="H493" s="1"/>
      <c r="I493" t="s">
        <v>1737</v>
      </c>
      <c r="J493" t="s">
        <v>29</v>
      </c>
      <c r="K493" t="s">
        <v>29</v>
      </c>
      <c r="M493">
        <v>100</v>
      </c>
      <c r="N493" s="1">
        <v>45168</v>
      </c>
      <c r="O493" s="12"/>
    </row>
    <row r="494" spans="1:15" x14ac:dyDescent="0.25">
      <c r="A494" t="s">
        <v>5912</v>
      </c>
      <c r="B494" t="s">
        <v>13</v>
      </c>
      <c r="C494" t="s">
        <v>177</v>
      </c>
      <c r="D494" t="s">
        <v>511</v>
      </c>
      <c r="E494" t="s">
        <v>5913</v>
      </c>
      <c r="F494" t="s">
        <v>5885</v>
      </c>
      <c r="G494" s="1">
        <v>45163</v>
      </c>
      <c r="H494" s="1"/>
      <c r="I494" t="s">
        <v>1737</v>
      </c>
      <c r="J494" t="s">
        <v>29</v>
      </c>
      <c r="M494">
        <v>100</v>
      </c>
      <c r="N494" s="1">
        <v>45166</v>
      </c>
      <c r="O494" s="12"/>
    </row>
    <row r="495" spans="1:15" x14ac:dyDescent="0.25">
      <c r="A495" t="s">
        <v>5914</v>
      </c>
      <c r="B495" t="s">
        <v>704</v>
      </c>
      <c r="C495" t="s">
        <v>4661</v>
      </c>
      <c r="D495" t="s">
        <v>5788</v>
      </c>
      <c r="E495" t="s">
        <v>4777</v>
      </c>
      <c r="F495" t="s">
        <v>3148</v>
      </c>
      <c r="G495" s="1">
        <v>45166</v>
      </c>
      <c r="H495" s="1"/>
      <c r="I495" t="s">
        <v>1737</v>
      </c>
      <c r="J495" t="s">
        <v>29</v>
      </c>
      <c r="K495" t="s">
        <v>29</v>
      </c>
      <c r="M495">
        <v>100</v>
      </c>
      <c r="N495" s="1">
        <v>45188</v>
      </c>
      <c r="O495" s="29"/>
    </row>
    <row r="496" spans="1:15" x14ac:dyDescent="0.25">
      <c r="A496" t="s">
        <v>5915</v>
      </c>
      <c r="B496" t="s">
        <v>704</v>
      </c>
      <c r="C496" t="s">
        <v>243</v>
      </c>
      <c r="D496" t="s">
        <v>5166</v>
      </c>
      <c r="E496" t="s">
        <v>5916</v>
      </c>
      <c r="F496" t="s">
        <v>3148</v>
      </c>
      <c r="G496" s="1">
        <v>45167</v>
      </c>
      <c r="H496" s="1"/>
      <c r="I496" t="s">
        <v>1737</v>
      </c>
      <c r="J496" t="s">
        <v>29</v>
      </c>
      <c r="K496" t="s">
        <v>29</v>
      </c>
      <c r="M496">
        <v>100</v>
      </c>
      <c r="N496" s="1">
        <v>45168</v>
      </c>
      <c r="O496" s="12"/>
    </row>
    <row r="497" spans="1:15" x14ac:dyDescent="0.25">
      <c r="A497" t="s">
        <v>5917</v>
      </c>
      <c r="B497" t="s">
        <v>704</v>
      </c>
      <c r="C497" t="s">
        <v>5918</v>
      </c>
      <c r="D497" t="s">
        <v>5919</v>
      </c>
      <c r="E497" t="s">
        <v>5920</v>
      </c>
      <c r="F497" t="s">
        <v>5454</v>
      </c>
      <c r="G497" s="1">
        <v>45167</v>
      </c>
      <c r="H497" s="1"/>
      <c r="I497" t="s">
        <v>1737</v>
      </c>
      <c r="J497" t="s">
        <v>29</v>
      </c>
      <c r="K497" t="s">
        <v>29</v>
      </c>
      <c r="M497">
        <v>100</v>
      </c>
      <c r="N497" s="1">
        <v>45174</v>
      </c>
      <c r="O497" s="12"/>
    </row>
    <row r="498" spans="1:15" x14ac:dyDescent="0.25">
      <c r="A498" t="s">
        <v>5921</v>
      </c>
      <c r="B498" t="s">
        <v>704</v>
      </c>
      <c r="C498" t="s">
        <v>677</v>
      </c>
      <c r="D498" t="s">
        <v>678</v>
      </c>
      <c r="E498" t="s">
        <v>5922</v>
      </c>
      <c r="F498" t="s">
        <v>555</v>
      </c>
      <c r="G498" s="1">
        <v>45170</v>
      </c>
      <c r="H498" s="1"/>
      <c r="I498" t="s">
        <v>1737</v>
      </c>
      <c r="J498" t="s">
        <v>29</v>
      </c>
      <c r="K498" t="s">
        <v>29</v>
      </c>
      <c r="M498">
        <v>100</v>
      </c>
      <c r="N498" s="1">
        <v>45176</v>
      </c>
      <c r="O498" s="12"/>
    </row>
    <row r="499" spans="1:15" x14ac:dyDescent="0.25">
      <c r="A499" t="s">
        <v>5923</v>
      </c>
      <c r="B499" t="s">
        <v>325</v>
      </c>
      <c r="C499" t="s">
        <v>4875</v>
      </c>
      <c r="D499" t="s">
        <v>4304</v>
      </c>
      <c r="E499" t="s">
        <v>5924</v>
      </c>
      <c r="F499" t="s">
        <v>5885</v>
      </c>
      <c r="G499" s="1">
        <v>45174</v>
      </c>
      <c r="H499" s="1"/>
      <c r="I499" t="s">
        <v>1737</v>
      </c>
      <c r="J499" t="s">
        <v>29</v>
      </c>
      <c r="M499">
        <v>100</v>
      </c>
      <c r="N499" s="1">
        <v>45174</v>
      </c>
      <c r="O499" s="12"/>
    </row>
    <row r="500" spans="1:15" x14ac:dyDescent="0.25">
      <c r="A500" t="s">
        <v>5925</v>
      </c>
      <c r="B500" t="s">
        <v>704</v>
      </c>
      <c r="C500" t="s">
        <v>670</v>
      </c>
      <c r="D500" t="s">
        <v>5926</v>
      </c>
      <c r="E500" t="s">
        <v>5927</v>
      </c>
      <c r="F500" t="s">
        <v>5454</v>
      </c>
      <c r="G500" s="1">
        <v>45175</v>
      </c>
      <c r="H500" s="1"/>
      <c r="I500" t="s">
        <v>1737</v>
      </c>
      <c r="J500" t="s">
        <v>29</v>
      </c>
      <c r="K500" t="s">
        <v>29</v>
      </c>
      <c r="M500">
        <v>100</v>
      </c>
      <c r="N500" s="1">
        <v>45183</v>
      </c>
      <c r="O500" s="12"/>
    </row>
    <row r="501" spans="1:15" x14ac:dyDescent="0.25">
      <c r="A501" t="s">
        <v>5928</v>
      </c>
      <c r="B501" t="s">
        <v>135</v>
      </c>
      <c r="C501" t="s">
        <v>611</v>
      </c>
      <c r="D501" t="s">
        <v>612</v>
      </c>
      <c r="E501" s="6" t="s">
        <v>613</v>
      </c>
      <c r="F501" t="s">
        <v>5885</v>
      </c>
      <c r="G501" s="1">
        <v>45175</v>
      </c>
      <c r="H501" s="1"/>
      <c r="I501" t="s">
        <v>1737</v>
      </c>
      <c r="J501" t="s">
        <v>29</v>
      </c>
      <c r="K501" t="s">
        <v>29</v>
      </c>
      <c r="L501" t="s">
        <v>593</v>
      </c>
      <c r="M501">
        <v>100</v>
      </c>
      <c r="N501" s="1">
        <v>45272</v>
      </c>
      <c r="O501" s="12"/>
    </row>
    <row r="502" spans="1:15" x14ac:dyDescent="0.25">
      <c r="A502" t="s">
        <v>5929</v>
      </c>
      <c r="B502" t="s">
        <v>13</v>
      </c>
      <c r="C502" t="s">
        <v>243</v>
      </c>
      <c r="D502" t="s">
        <v>244</v>
      </c>
      <c r="E502" t="s">
        <v>5930</v>
      </c>
      <c r="F502" t="s">
        <v>5885</v>
      </c>
      <c r="G502" s="1">
        <v>45176</v>
      </c>
      <c r="H502" s="1"/>
      <c r="I502" t="s">
        <v>2952</v>
      </c>
      <c r="K502" t="s">
        <v>18</v>
      </c>
      <c r="O502" s="12"/>
    </row>
    <row r="503" spans="1:15" x14ac:dyDescent="0.25">
      <c r="A503" t="s">
        <v>5931</v>
      </c>
      <c r="B503" t="s">
        <v>704</v>
      </c>
      <c r="C503" t="s">
        <v>4737</v>
      </c>
      <c r="D503" t="s">
        <v>5380</v>
      </c>
      <c r="E503" t="s">
        <v>5932</v>
      </c>
      <c r="F503" t="s">
        <v>555</v>
      </c>
      <c r="G503" s="1">
        <v>45177</v>
      </c>
      <c r="H503" s="1"/>
      <c r="I503" t="s">
        <v>1737</v>
      </c>
      <c r="J503" t="s">
        <v>29</v>
      </c>
      <c r="K503" t="s">
        <v>29</v>
      </c>
      <c r="M503">
        <v>100</v>
      </c>
      <c r="N503" s="1">
        <v>45177</v>
      </c>
      <c r="O503" s="12"/>
    </row>
    <row r="504" spans="1:15" x14ac:dyDescent="0.25">
      <c r="A504" t="s">
        <v>5933</v>
      </c>
      <c r="B504" t="s">
        <v>621</v>
      </c>
      <c r="C504" s="85" t="s">
        <v>5284</v>
      </c>
      <c r="D504" s="6" t="s">
        <v>1444</v>
      </c>
      <c r="E504" s="6" t="s">
        <v>5934</v>
      </c>
      <c r="F504" t="s">
        <v>5885</v>
      </c>
      <c r="G504" s="1">
        <v>45175</v>
      </c>
      <c r="H504" s="1"/>
      <c r="I504" t="s">
        <v>1737</v>
      </c>
      <c r="J504" t="s">
        <v>29</v>
      </c>
      <c r="K504" t="s">
        <v>29</v>
      </c>
      <c r="M504">
        <v>100</v>
      </c>
      <c r="N504" s="1">
        <v>45289</v>
      </c>
      <c r="O504" s="12"/>
    </row>
    <row r="505" spans="1:15" x14ac:dyDescent="0.25">
      <c r="A505" t="s">
        <v>5935</v>
      </c>
      <c r="B505" t="s">
        <v>704</v>
      </c>
      <c r="C505" t="s">
        <v>4661</v>
      </c>
      <c r="D505" t="s">
        <v>5788</v>
      </c>
      <c r="E505" t="s">
        <v>5936</v>
      </c>
      <c r="F505" t="s">
        <v>5937</v>
      </c>
      <c r="G505" s="1">
        <v>45180</v>
      </c>
      <c r="H505" s="1"/>
      <c r="I505" t="s">
        <v>1737</v>
      </c>
      <c r="J505" t="s">
        <v>29</v>
      </c>
      <c r="K505" t="s">
        <v>29</v>
      </c>
      <c r="M505">
        <v>100</v>
      </c>
      <c r="N505" s="1">
        <v>45182</v>
      </c>
      <c r="O505" s="12"/>
    </row>
    <row r="506" spans="1:15" x14ac:dyDescent="0.25">
      <c r="A506" t="s">
        <v>5938</v>
      </c>
      <c r="B506" t="s">
        <v>704</v>
      </c>
      <c r="C506" t="s">
        <v>243</v>
      </c>
      <c r="D506" t="s">
        <v>5166</v>
      </c>
      <c r="E506" t="s">
        <v>5939</v>
      </c>
      <c r="F506" t="s">
        <v>3148</v>
      </c>
      <c r="G506" s="1">
        <v>45182</v>
      </c>
      <c r="H506" s="1"/>
      <c r="I506" t="s">
        <v>1737</v>
      </c>
      <c r="J506" t="s">
        <v>29</v>
      </c>
      <c r="K506" t="s">
        <v>29</v>
      </c>
      <c r="M506">
        <v>100</v>
      </c>
      <c r="N506" s="1">
        <v>45184</v>
      </c>
      <c r="O506" s="12"/>
    </row>
    <row r="507" spans="1:15" x14ac:dyDescent="0.25">
      <c r="A507" t="s">
        <v>5940</v>
      </c>
      <c r="B507" t="s">
        <v>3744</v>
      </c>
      <c r="C507" t="s">
        <v>4661</v>
      </c>
      <c r="D507" t="s">
        <v>397</v>
      </c>
      <c r="E507" t="s">
        <v>5941</v>
      </c>
      <c r="F507" t="s">
        <v>5885</v>
      </c>
      <c r="G507" s="1">
        <v>45175</v>
      </c>
      <c r="H507" s="1"/>
      <c r="I507" t="s">
        <v>1737</v>
      </c>
      <c r="J507" t="s">
        <v>29</v>
      </c>
      <c r="M507">
        <v>100</v>
      </c>
      <c r="N507" s="1">
        <v>45180</v>
      </c>
      <c r="O507" s="12"/>
    </row>
    <row r="508" spans="1:15" x14ac:dyDescent="0.25">
      <c r="A508" t="s">
        <v>5942</v>
      </c>
      <c r="B508" t="s">
        <v>704</v>
      </c>
      <c r="C508" t="s">
        <v>243</v>
      </c>
      <c r="D508" t="s">
        <v>5166</v>
      </c>
      <c r="E508" t="s">
        <v>5943</v>
      </c>
      <c r="F508" t="s">
        <v>5944</v>
      </c>
      <c r="G508" s="1">
        <v>45182</v>
      </c>
      <c r="H508" s="1"/>
      <c r="I508" t="s">
        <v>1737</v>
      </c>
      <c r="J508" t="s">
        <v>29</v>
      </c>
      <c r="K508" t="s">
        <v>29</v>
      </c>
      <c r="M508">
        <v>100</v>
      </c>
      <c r="N508" s="1">
        <v>45224</v>
      </c>
      <c r="O508" s="12"/>
    </row>
    <row r="509" spans="1:15" x14ac:dyDescent="0.25">
      <c r="A509" t="s">
        <v>5945</v>
      </c>
      <c r="B509" t="s">
        <v>704</v>
      </c>
      <c r="C509" t="s">
        <v>163</v>
      </c>
      <c r="D509" t="s">
        <v>5946</v>
      </c>
      <c r="E509" t="s">
        <v>5947</v>
      </c>
      <c r="F509" t="s">
        <v>659</v>
      </c>
      <c r="G509" s="1">
        <v>45183</v>
      </c>
      <c r="H509" s="1"/>
      <c r="I509" t="s">
        <v>1737</v>
      </c>
      <c r="J509" t="s">
        <v>29</v>
      </c>
      <c r="K509" t="s">
        <v>29</v>
      </c>
      <c r="M509">
        <v>100</v>
      </c>
      <c r="N509" s="1">
        <v>45201</v>
      </c>
      <c r="O509" s="12"/>
    </row>
    <row r="510" spans="1:15" x14ac:dyDescent="0.25">
      <c r="A510" t="s">
        <v>5948</v>
      </c>
      <c r="B510" t="s">
        <v>135</v>
      </c>
      <c r="C510" t="s">
        <v>539</v>
      </c>
      <c r="D510" t="s">
        <v>540</v>
      </c>
      <c r="E510" t="s">
        <v>5949</v>
      </c>
      <c r="F510" t="s">
        <v>5885</v>
      </c>
      <c r="G510" s="1">
        <v>45181</v>
      </c>
      <c r="H510" s="1"/>
      <c r="I510" t="s">
        <v>1737</v>
      </c>
      <c r="J510" t="s">
        <v>29</v>
      </c>
      <c r="K510" t="s">
        <v>29</v>
      </c>
      <c r="L510" t="s">
        <v>587</v>
      </c>
      <c r="M510">
        <v>100</v>
      </c>
      <c r="N510" s="1">
        <v>45289</v>
      </c>
      <c r="O510" s="12"/>
    </row>
    <row r="511" spans="1:15" x14ac:dyDescent="0.25">
      <c r="A511" t="s">
        <v>5950</v>
      </c>
      <c r="B511" t="s">
        <v>3744</v>
      </c>
      <c r="C511" t="s">
        <v>4661</v>
      </c>
      <c r="D511" t="s">
        <v>5951</v>
      </c>
      <c r="E511" t="s">
        <v>5952</v>
      </c>
      <c r="F511" t="s">
        <v>5953</v>
      </c>
      <c r="G511" s="1">
        <v>45187</v>
      </c>
      <c r="H511" s="1"/>
      <c r="I511" t="s">
        <v>1737</v>
      </c>
      <c r="J511" t="s">
        <v>29</v>
      </c>
      <c r="K511" t="s">
        <v>29</v>
      </c>
      <c r="M511">
        <v>100</v>
      </c>
      <c r="N511" s="1">
        <v>45323</v>
      </c>
      <c r="O511" s="12"/>
    </row>
    <row r="512" spans="1:15" x14ac:dyDescent="0.25">
      <c r="A512" t="s">
        <v>5954</v>
      </c>
      <c r="B512" t="s">
        <v>24</v>
      </c>
      <c r="C512" t="s">
        <v>126</v>
      </c>
      <c r="D512" t="s">
        <v>232</v>
      </c>
      <c r="E512" t="s">
        <v>626</v>
      </c>
      <c r="F512" t="s">
        <v>5610</v>
      </c>
      <c r="G512" s="1">
        <v>45187</v>
      </c>
      <c r="H512" s="1"/>
      <c r="I512" t="s">
        <v>2952</v>
      </c>
      <c r="J512" t="s">
        <v>29</v>
      </c>
      <c r="K512" t="s">
        <v>29</v>
      </c>
      <c r="O512" s="12"/>
    </row>
    <row r="513" spans="1:15" x14ac:dyDescent="0.25">
      <c r="A513" t="s">
        <v>5955</v>
      </c>
      <c r="B513" t="s">
        <v>13</v>
      </c>
      <c r="C513" t="s">
        <v>104</v>
      </c>
      <c r="D513" t="s">
        <v>105</v>
      </c>
      <c r="E513" t="s">
        <v>631</v>
      </c>
      <c r="F513" s="1" t="s">
        <v>5885</v>
      </c>
      <c r="G513" s="1">
        <v>45189</v>
      </c>
      <c r="H513" s="1"/>
      <c r="I513" t="s">
        <v>1737</v>
      </c>
      <c r="J513" t="s">
        <v>29</v>
      </c>
      <c r="K513" t="s">
        <v>29</v>
      </c>
      <c r="L513" t="s">
        <v>616</v>
      </c>
      <c r="M513" t="s">
        <v>5956</v>
      </c>
      <c r="N513" s="1" t="s">
        <v>5957</v>
      </c>
      <c r="O513" s="12"/>
    </row>
    <row r="514" spans="1:15" x14ac:dyDescent="0.25">
      <c r="A514" t="s">
        <v>5958</v>
      </c>
      <c r="B514" t="s">
        <v>13</v>
      </c>
      <c r="C514" t="s">
        <v>310</v>
      </c>
      <c r="D514" t="s">
        <v>311</v>
      </c>
      <c r="E514" t="s">
        <v>5959</v>
      </c>
      <c r="F514" t="s">
        <v>5885</v>
      </c>
      <c r="G514" s="1">
        <v>45190</v>
      </c>
      <c r="H514" s="1"/>
      <c r="I514" t="s">
        <v>2952</v>
      </c>
      <c r="J514" t="s">
        <v>29</v>
      </c>
      <c r="K514" t="s">
        <v>18</v>
      </c>
      <c r="O514" s="12"/>
    </row>
    <row r="515" spans="1:15" x14ac:dyDescent="0.25">
      <c r="A515" t="s">
        <v>5960</v>
      </c>
      <c r="B515" t="s">
        <v>704</v>
      </c>
      <c r="C515" t="s">
        <v>611</v>
      </c>
      <c r="D515" t="s">
        <v>5425</v>
      </c>
      <c r="E515" t="s">
        <v>5961</v>
      </c>
      <c r="F515" t="s">
        <v>5517</v>
      </c>
      <c r="G515" s="1">
        <v>45191</v>
      </c>
      <c r="H515" s="1"/>
      <c r="I515" t="s">
        <v>1737</v>
      </c>
      <c r="J515" t="s">
        <v>29</v>
      </c>
      <c r="K515" t="s">
        <v>29</v>
      </c>
      <c r="M515">
        <v>100</v>
      </c>
      <c r="N515" s="1">
        <v>45211</v>
      </c>
      <c r="O515" s="12"/>
    </row>
    <row r="516" spans="1:15" x14ac:dyDescent="0.25">
      <c r="A516" t="s">
        <v>5962</v>
      </c>
      <c r="B516" t="s">
        <v>704</v>
      </c>
      <c r="C516" t="s">
        <v>4661</v>
      </c>
      <c r="D516" t="s">
        <v>5788</v>
      </c>
      <c r="E516" t="s">
        <v>5963</v>
      </c>
      <c r="F516" t="s">
        <v>5728</v>
      </c>
      <c r="G516" s="1">
        <v>45191</v>
      </c>
      <c r="H516" s="1"/>
      <c r="I516" t="s">
        <v>1737</v>
      </c>
      <c r="J516" t="s">
        <v>29</v>
      </c>
      <c r="K516" t="s">
        <v>29</v>
      </c>
      <c r="M516">
        <v>100</v>
      </c>
      <c r="N516" s="1">
        <v>45208</v>
      </c>
      <c r="O516" s="12"/>
    </row>
    <row r="517" spans="1:15" x14ac:dyDescent="0.25">
      <c r="A517" t="s">
        <v>5964</v>
      </c>
      <c r="B517" t="s">
        <v>704</v>
      </c>
      <c r="C517" t="s">
        <v>163</v>
      </c>
      <c r="D517" t="s">
        <v>266</v>
      </c>
      <c r="E517" t="s">
        <v>5965</v>
      </c>
      <c r="F517" t="s">
        <v>5821</v>
      </c>
      <c r="G517" s="1">
        <v>45191</v>
      </c>
      <c r="H517" s="1"/>
      <c r="I517" t="s">
        <v>1737</v>
      </c>
      <c r="J517" t="s">
        <v>29</v>
      </c>
      <c r="K517" t="s">
        <v>29</v>
      </c>
      <c r="M517">
        <v>100</v>
      </c>
      <c r="N517" s="1">
        <v>45194</v>
      </c>
      <c r="O517" s="12"/>
    </row>
    <row r="518" spans="1:15" x14ac:dyDescent="0.25">
      <c r="A518" t="s">
        <v>5966</v>
      </c>
      <c r="B518" t="s">
        <v>704</v>
      </c>
      <c r="C518" t="s">
        <v>243</v>
      </c>
      <c r="D518" t="s">
        <v>5166</v>
      </c>
      <c r="E518" t="s">
        <v>5967</v>
      </c>
      <c r="F518" t="s">
        <v>5413</v>
      </c>
      <c r="G518" s="1">
        <v>45194</v>
      </c>
      <c r="H518" s="1"/>
      <c r="I518" t="s">
        <v>1737</v>
      </c>
      <c r="J518" t="s">
        <v>29</v>
      </c>
      <c r="K518" t="s">
        <v>29</v>
      </c>
      <c r="M518">
        <v>100</v>
      </c>
      <c r="N518" s="1">
        <v>45198</v>
      </c>
      <c r="O518" s="12"/>
    </row>
    <row r="519" spans="1:15" x14ac:dyDescent="0.25">
      <c r="A519" t="s">
        <v>5968</v>
      </c>
      <c r="B519" t="s">
        <v>704</v>
      </c>
      <c r="C519" t="s">
        <v>243</v>
      </c>
      <c r="D519" t="s">
        <v>5166</v>
      </c>
      <c r="E519" t="s">
        <v>5969</v>
      </c>
      <c r="F519" t="s">
        <v>5970</v>
      </c>
      <c r="G519" s="1">
        <v>45198</v>
      </c>
      <c r="H519" s="1"/>
      <c r="I519" t="s">
        <v>1737</v>
      </c>
      <c r="J519" t="s">
        <v>29</v>
      </c>
      <c r="K519" t="s">
        <v>29</v>
      </c>
      <c r="M519">
        <v>100</v>
      </c>
      <c r="N519" s="1">
        <v>45222</v>
      </c>
      <c r="O519" s="12"/>
    </row>
    <row r="520" spans="1:15" x14ac:dyDescent="0.25">
      <c r="A520" t="s">
        <v>5971</v>
      </c>
      <c r="B520" t="s">
        <v>704</v>
      </c>
      <c r="C520" t="s">
        <v>677</v>
      </c>
      <c r="D520" t="s">
        <v>678</v>
      </c>
      <c r="E520" t="s">
        <v>4761</v>
      </c>
      <c r="F520" t="s">
        <v>555</v>
      </c>
      <c r="G520" s="1">
        <v>45198</v>
      </c>
      <c r="H520" s="1"/>
      <c r="I520" t="s">
        <v>1737</v>
      </c>
      <c r="J520" t="s">
        <v>29</v>
      </c>
      <c r="K520" t="s">
        <v>29</v>
      </c>
      <c r="M520">
        <v>100</v>
      </c>
      <c r="N520" s="1">
        <v>45219</v>
      </c>
      <c r="O520" s="12"/>
    </row>
    <row r="521" spans="1:15" x14ac:dyDescent="0.25">
      <c r="A521" t="s">
        <v>5972</v>
      </c>
      <c r="B521" t="s">
        <v>24</v>
      </c>
      <c r="C521" t="s">
        <v>5973</v>
      </c>
      <c r="D521" t="s">
        <v>5974</v>
      </c>
      <c r="E521" t="s">
        <v>5975</v>
      </c>
      <c r="F521" t="s">
        <v>5885</v>
      </c>
      <c r="G521" s="1">
        <v>45198</v>
      </c>
      <c r="H521" s="1"/>
      <c r="I521" t="s">
        <v>2952</v>
      </c>
      <c r="J521" t="s">
        <v>29</v>
      </c>
      <c r="O521" s="12"/>
    </row>
    <row r="522" spans="1:15" x14ac:dyDescent="0.25">
      <c r="A522" t="s">
        <v>5976</v>
      </c>
      <c r="B522" t="s">
        <v>704</v>
      </c>
      <c r="C522" t="s">
        <v>5817</v>
      </c>
      <c r="D522" t="s">
        <v>5977</v>
      </c>
      <c r="E522" t="s">
        <v>5978</v>
      </c>
      <c r="F522" t="s">
        <v>555</v>
      </c>
      <c r="G522" s="1">
        <v>45198</v>
      </c>
      <c r="H522" s="1"/>
      <c r="I522" t="s">
        <v>1737</v>
      </c>
      <c r="J522" t="s">
        <v>29</v>
      </c>
      <c r="K522" t="s">
        <v>29</v>
      </c>
      <c r="M522">
        <v>100</v>
      </c>
      <c r="N522" s="1">
        <v>45202</v>
      </c>
      <c r="O522" s="12"/>
    </row>
    <row r="523" spans="1:15" x14ac:dyDescent="0.25">
      <c r="A523" t="s">
        <v>5979</v>
      </c>
      <c r="B523" t="s">
        <v>704</v>
      </c>
      <c r="C523" t="s">
        <v>243</v>
      </c>
      <c r="D523" t="s">
        <v>244</v>
      </c>
      <c r="E523" t="s">
        <v>5980</v>
      </c>
      <c r="F523" t="s">
        <v>5981</v>
      </c>
      <c r="G523" s="1">
        <v>45198</v>
      </c>
      <c r="H523" s="1"/>
      <c r="I523" t="s">
        <v>1737</v>
      </c>
      <c r="J523" t="s">
        <v>29</v>
      </c>
      <c r="K523" t="s">
        <v>29</v>
      </c>
      <c r="M523">
        <v>100</v>
      </c>
      <c r="N523" s="1">
        <v>45202</v>
      </c>
      <c r="O523" s="12"/>
    </row>
    <row r="524" spans="1:15" x14ac:dyDescent="0.25">
      <c r="A524" t="s">
        <v>5982</v>
      </c>
      <c r="B524" t="s">
        <v>704</v>
      </c>
      <c r="C524" t="s">
        <v>611</v>
      </c>
      <c r="D524" t="s">
        <v>5425</v>
      </c>
      <c r="E524" t="s">
        <v>5983</v>
      </c>
      <c r="F524" t="s">
        <v>5984</v>
      </c>
      <c r="G524" s="1">
        <v>45202</v>
      </c>
      <c r="H524" s="1"/>
      <c r="I524" t="s">
        <v>1737</v>
      </c>
      <c r="J524" t="s">
        <v>29</v>
      </c>
      <c r="K524" t="s">
        <v>29</v>
      </c>
      <c r="M524">
        <v>100</v>
      </c>
      <c r="N524" s="1">
        <v>45222</v>
      </c>
      <c r="O524" s="12"/>
    </row>
    <row r="525" spans="1:15" x14ac:dyDescent="0.25">
      <c r="A525" t="s">
        <v>5985</v>
      </c>
      <c r="B525" t="s">
        <v>704</v>
      </c>
      <c r="C525" t="s">
        <v>677</v>
      </c>
      <c r="D525" t="s">
        <v>678</v>
      </c>
      <c r="E525" t="s">
        <v>5908</v>
      </c>
      <c r="F525" t="s">
        <v>555</v>
      </c>
      <c r="G525" s="1">
        <v>45202</v>
      </c>
      <c r="H525" s="1"/>
      <c r="I525" t="s">
        <v>1737</v>
      </c>
      <c r="J525" t="s">
        <v>29</v>
      </c>
      <c r="K525" t="s">
        <v>29</v>
      </c>
      <c r="M525">
        <v>100</v>
      </c>
      <c r="N525" s="1">
        <v>45209</v>
      </c>
      <c r="O525" s="12"/>
    </row>
    <row r="526" spans="1:15" x14ac:dyDescent="0.25">
      <c r="A526" t="s">
        <v>5986</v>
      </c>
      <c r="B526" t="s">
        <v>704</v>
      </c>
      <c r="C526" t="s">
        <v>4661</v>
      </c>
      <c r="D526" t="s">
        <v>5788</v>
      </c>
      <c r="E526" t="s">
        <v>5987</v>
      </c>
      <c r="F526" t="s">
        <v>5988</v>
      </c>
      <c r="G526" s="1">
        <v>45202</v>
      </c>
      <c r="H526" s="1"/>
      <c r="I526" t="s">
        <v>1737</v>
      </c>
      <c r="J526" t="s">
        <v>29</v>
      </c>
      <c r="K526" t="s">
        <v>29</v>
      </c>
      <c r="M526">
        <v>100</v>
      </c>
      <c r="N526" s="1">
        <v>45219</v>
      </c>
      <c r="O526" s="12"/>
    </row>
    <row r="527" spans="1:15" x14ac:dyDescent="0.25">
      <c r="A527" t="s">
        <v>5989</v>
      </c>
      <c r="B527" t="s">
        <v>704</v>
      </c>
      <c r="C527" t="s">
        <v>5817</v>
      </c>
      <c r="D527" t="s">
        <v>5977</v>
      </c>
      <c r="E527" t="s">
        <v>5990</v>
      </c>
      <c r="F527" t="s">
        <v>555</v>
      </c>
      <c r="G527" s="1">
        <v>45203</v>
      </c>
      <c r="H527" s="1"/>
      <c r="I527" t="s">
        <v>1737</v>
      </c>
      <c r="J527" t="s">
        <v>29</v>
      </c>
      <c r="K527" t="s">
        <v>29</v>
      </c>
      <c r="M527">
        <v>100</v>
      </c>
      <c r="N527" s="1">
        <v>45380</v>
      </c>
      <c r="O527" s="29">
        <v>45380</v>
      </c>
    </row>
    <row r="528" spans="1:15" x14ac:dyDescent="0.25">
      <c r="A528" t="s">
        <v>5991</v>
      </c>
      <c r="B528" t="s">
        <v>3744</v>
      </c>
      <c r="C528" t="s">
        <v>32</v>
      </c>
      <c r="D528" t="s">
        <v>397</v>
      </c>
      <c r="E528" t="s">
        <v>5992</v>
      </c>
      <c r="F528" t="s">
        <v>5885</v>
      </c>
      <c r="G528" s="1">
        <v>45204</v>
      </c>
      <c r="H528" s="1"/>
      <c r="I528" t="s">
        <v>1737</v>
      </c>
      <c r="J528" t="s">
        <v>29</v>
      </c>
      <c r="K528" t="s">
        <v>29</v>
      </c>
      <c r="M528">
        <v>100</v>
      </c>
      <c r="N528" s="1">
        <v>45295</v>
      </c>
      <c r="O528" s="12"/>
    </row>
    <row r="529" spans="1:15" x14ac:dyDescent="0.25">
      <c r="A529" t="s">
        <v>5993</v>
      </c>
      <c r="B529" t="s">
        <v>704</v>
      </c>
      <c r="C529" t="s">
        <v>5817</v>
      </c>
      <c r="D529" t="s">
        <v>225</v>
      </c>
      <c r="E529" t="s">
        <v>5994</v>
      </c>
      <c r="F529" t="s">
        <v>555</v>
      </c>
      <c r="G529" s="1">
        <v>45208</v>
      </c>
      <c r="H529" s="1"/>
      <c r="I529" t="s">
        <v>1737</v>
      </c>
      <c r="J529" t="s">
        <v>29</v>
      </c>
      <c r="K529" t="s">
        <v>29</v>
      </c>
      <c r="M529">
        <v>100</v>
      </c>
      <c r="N529" s="1">
        <v>45230</v>
      </c>
      <c r="O529" s="12"/>
    </row>
    <row r="530" spans="1:15" x14ac:dyDescent="0.25">
      <c r="A530" t="s">
        <v>5995</v>
      </c>
      <c r="B530" t="s">
        <v>621</v>
      </c>
      <c r="C530" t="s">
        <v>5817</v>
      </c>
      <c r="D530" t="s">
        <v>511</v>
      </c>
      <c r="E530" t="s">
        <v>5996</v>
      </c>
      <c r="F530" t="s">
        <v>5885</v>
      </c>
      <c r="G530" s="1">
        <v>45201</v>
      </c>
      <c r="H530" s="1"/>
      <c r="I530" t="s">
        <v>1737</v>
      </c>
      <c r="J530" t="s">
        <v>29</v>
      </c>
      <c r="K530" t="s">
        <v>29</v>
      </c>
      <c r="M530">
        <v>100</v>
      </c>
      <c r="N530" s="1">
        <v>45209</v>
      </c>
      <c r="O530" s="12"/>
    </row>
    <row r="531" spans="1:15" x14ac:dyDescent="0.25">
      <c r="A531" t="s">
        <v>5997</v>
      </c>
      <c r="B531" t="s">
        <v>704</v>
      </c>
      <c r="C531" t="s">
        <v>393</v>
      </c>
      <c r="D531" t="s">
        <v>5343</v>
      </c>
      <c r="E531" t="s">
        <v>5998</v>
      </c>
      <c r="F531" t="s">
        <v>5413</v>
      </c>
      <c r="G531" s="1">
        <v>45208</v>
      </c>
      <c r="H531" s="1"/>
      <c r="I531" t="s">
        <v>1737</v>
      </c>
      <c r="J531" t="s">
        <v>29</v>
      </c>
      <c r="K531" t="s">
        <v>29</v>
      </c>
      <c r="M531">
        <v>100</v>
      </c>
      <c r="N531" s="1">
        <v>45251</v>
      </c>
      <c r="O531" s="12"/>
    </row>
    <row r="532" spans="1:15" x14ac:dyDescent="0.25">
      <c r="A532" t="s">
        <v>5999</v>
      </c>
      <c r="B532" t="s">
        <v>24</v>
      </c>
      <c r="C532" t="s">
        <v>611</v>
      </c>
      <c r="D532" t="s">
        <v>111</v>
      </c>
      <c r="E532" t="s">
        <v>6000</v>
      </c>
      <c r="F532" t="s">
        <v>5504</v>
      </c>
      <c r="G532" s="1">
        <v>45209</v>
      </c>
      <c r="H532" s="1"/>
      <c r="I532" t="s">
        <v>1737</v>
      </c>
      <c r="J532" t="s">
        <v>29</v>
      </c>
      <c r="M532">
        <v>100</v>
      </c>
      <c r="N532" s="1">
        <v>45218</v>
      </c>
      <c r="O532" s="12"/>
    </row>
    <row r="533" spans="1:15" x14ac:dyDescent="0.25">
      <c r="A533" t="s">
        <v>6001</v>
      </c>
      <c r="B533" t="s">
        <v>621</v>
      </c>
      <c r="C533" t="s">
        <v>411</v>
      </c>
      <c r="D533" t="s">
        <v>817</v>
      </c>
      <c r="E533" t="s">
        <v>6002</v>
      </c>
      <c r="F533" t="s">
        <v>5885</v>
      </c>
      <c r="G533" s="1">
        <v>45209</v>
      </c>
      <c r="H533" s="1"/>
      <c r="I533" t="s">
        <v>1737</v>
      </c>
      <c r="J533" t="s">
        <v>29</v>
      </c>
      <c r="M533">
        <v>100</v>
      </c>
      <c r="N533" s="1">
        <v>45272</v>
      </c>
      <c r="O533" s="12"/>
    </row>
    <row r="534" spans="1:15" x14ac:dyDescent="0.25">
      <c r="A534" t="s">
        <v>6003</v>
      </c>
      <c r="B534" t="s">
        <v>704</v>
      </c>
      <c r="C534" t="s">
        <v>670</v>
      </c>
      <c r="D534" t="s">
        <v>671</v>
      </c>
      <c r="E534" t="s">
        <v>6004</v>
      </c>
      <c r="F534" t="s">
        <v>5413</v>
      </c>
      <c r="G534" s="1">
        <v>45210</v>
      </c>
      <c r="H534" s="1"/>
      <c r="I534" t="s">
        <v>1737</v>
      </c>
      <c r="J534" t="s">
        <v>29</v>
      </c>
      <c r="K534" t="s">
        <v>29</v>
      </c>
      <c r="M534">
        <v>100</v>
      </c>
      <c r="N534" s="1">
        <v>45216</v>
      </c>
      <c r="O534" s="12"/>
    </row>
    <row r="535" spans="1:15" x14ac:dyDescent="0.25">
      <c r="A535" t="s">
        <v>6005</v>
      </c>
      <c r="B535" t="s">
        <v>704</v>
      </c>
      <c r="C535" t="s">
        <v>5539</v>
      </c>
      <c r="D535" t="s">
        <v>5540</v>
      </c>
      <c r="E535" t="s">
        <v>6006</v>
      </c>
      <c r="F535" t="s">
        <v>6007</v>
      </c>
      <c r="G535" s="1">
        <v>45211</v>
      </c>
      <c r="H535" s="1"/>
      <c r="I535" t="s">
        <v>1737</v>
      </c>
      <c r="J535" t="s">
        <v>29</v>
      </c>
      <c r="K535" t="s">
        <v>29</v>
      </c>
      <c r="M535">
        <v>100</v>
      </c>
      <c r="N535" s="1">
        <v>45251</v>
      </c>
      <c r="O535" s="12"/>
    </row>
    <row r="536" spans="1:15" x14ac:dyDescent="0.25">
      <c r="A536" t="s">
        <v>6008</v>
      </c>
      <c r="B536" t="s">
        <v>24</v>
      </c>
      <c r="C536" t="s">
        <v>126</v>
      </c>
      <c r="D536" t="s">
        <v>232</v>
      </c>
      <c r="E536" t="s">
        <v>6009</v>
      </c>
      <c r="F536" t="s">
        <v>5610</v>
      </c>
      <c r="G536" s="1">
        <v>45211</v>
      </c>
      <c r="H536" s="1"/>
      <c r="I536" t="s">
        <v>1737</v>
      </c>
      <c r="J536" t="s">
        <v>29</v>
      </c>
      <c r="K536" t="s">
        <v>29</v>
      </c>
      <c r="L536" t="s">
        <v>6010</v>
      </c>
      <c r="M536" s="5">
        <v>1</v>
      </c>
      <c r="N536" s="1" t="s">
        <v>6011</v>
      </c>
      <c r="O536" s="12"/>
    </row>
    <row r="537" spans="1:15" x14ac:dyDescent="0.25">
      <c r="A537" t="s">
        <v>6012</v>
      </c>
      <c r="B537" t="s">
        <v>621</v>
      </c>
      <c r="C537" t="s">
        <v>78</v>
      </c>
      <c r="D537" t="s">
        <v>5785</v>
      </c>
      <c r="E537" t="s">
        <v>6013</v>
      </c>
      <c r="F537" t="s">
        <v>5885</v>
      </c>
      <c r="G537" s="1">
        <v>45212</v>
      </c>
      <c r="H537" s="1"/>
      <c r="I537" t="s">
        <v>1737</v>
      </c>
      <c r="J537" t="s">
        <v>29</v>
      </c>
      <c r="M537">
        <v>100</v>
      </c>
      <c r="N537" s="1">
        <v>45296</v>
      </c>
      <c r="O537" s="12"/>
    </row>
    <row r="538" spans="1:15" x14ac:dyDescent="0.25">
      <c r="A538" t="s">
        <v>6014</v>
      </c>
      <c r="B538" t="s">
        <v>704</v>
      </c>
      <c r="C538" t="s">
        <v>670</v>
      </c>
      <c r="D538" t="s">
        <v>5102</v>
      </c>
      <c r="E538" t="s">
        <v>6015</v>
      </c>
      <c r="F538" t="s">
        <v>3148</v>
      </c>
      <c r="G538" s="1">
        <v>45215</v>
      </c>
      <c r="H538" s="1"/>
      <c r="I538" t="s">
        <v>1737</v>
      </c>
      <c r="J538" t="s">
        <v>29</v>
      </c>
      <c r="K538" t="s">
        <v>29</v>
      </c>
      <c r="M538">
        <v>100</v>
      </c>
      <c r="N538" s="1">
        <v>45294</v>
      </c>
      <c r="O538" s="12" t="s">
        <v>6016</v>
      </c>
    </row>
    <row r="539" spans="1:15" x14ac:dyDescent="0.25">
      <c r="A539" t="s">
        <v>6017</v>
      </c>
      <c r="B539" t="s">
        <v>704</v>
      </c>
      <c r="C539" t="s">
        <v>243</v>
      </c>
      <c r="D539" t="s">
        <v>5166</v>
      </c>
      <c r="E539" t="s">
        <v>6018</v>
      </c>
      <c r="F539" t="s">
        <v>6019</v>
      </c>
      <c r="G539" s="1">
        <v>45216</v>
      </c>
      <c r="H539" s="1"/>
      <c r="I539" t="s">
        <v>1737</v>
      </c>
      <c r="J539" t="s">
        <v>29</v>
      </c>
      <c r="K539" t="s">
        <v>29</v>
      </c>
      <c r="M539">
        <v>100</v>
      </c>
      <c r="N539" s="1">
        <v>45222</v>
      </c>
      <c r="O539" s="12"/>
    </row>
    <row r="540" spans="1:15" x14ac:dyDescent="0.25">
      <c r="A540" t="s">
        <v>6020</v>
      </c>
      <c r="B540" t="s">
        <v>704</v>
      </c>
      <c r="C540" t="s">
        <v>104</v>
      </c>
      <c r="D540" t="s">
        <v>105</v>
      </c>
      <c r="E540" t="s">
        <v>5939</v>
      </c>
      <c r="F540" t="s">
        <v>3148</v>
      </c>
      <c r="G540" s="1">
        <v>45216</v>
      </c>
      <c r="H540" s="1"/>
      <c r="I540" t="s">
        <v>1737</v>
      </c>
      <c r="J540" t="s">
        <v>29</v>
      </c>
      <c r="K540" t="s">
        <v>29</v>
      </c>
      <c r="M540">
        <v>100</v>
      </c>
      <c r="N540" s="1">
        <v>45230</v>
      </c>
      <c r="O540" s="12"/>
    </row>
    <row r="541" spans="1:15" x14ac:dyDescent="0.25">
      <c r="A541" t="s">
        <v>6021</v>
      </c>
      <c r="B541" t="s">
        <v>325</v>
      </c>
      <c r="C541" t="s">
        <v>6022</v>
      </c>
      <c r="D541" t="s">
        <v>5792</v>
      </c>
      <c r="E541" t="s">
        <v>6023</v>
      </c>
      <c r="F541" t="s">
        <v>5885</v>
      </c>
      <c r="G541" s="1">
        <v>45205</v>
      </c>
      <c r="H541" s="1"/>
      <c r="I541" t="s">
        <v>1737</v>
      </c>
      <c r="J541" t="s">
        <v>29</v>
      </c>
      <c r="K541" t="s">
        <v>29</v>
      </c>
      <c r="M541">
        <v>100</v>
      </c>
      <c r="N541" s="1">
        <v>45219</v>
      </c>
      <c r="O541" s="12"/>
    </row>
    <row r="542" spans="1:15" x14ac:dyDescent="0.25">
      <c r="A542" t="s">
        <v>6024</v>
      </c>
      <c r="B542" t="s">
        <v>167</v>
      </c>
      <c r="C542" t="s">
        <v>5817</v>
      </c>
      <c r="D542" t="s">
        <v>511</v>
      </c>
      <c r="E542" t="s">
        <v>6025</v>
      </c>
      <c r="F542" t="s">
        <v>5885</v>
      </c>
      <c r="G542" s="1">
        <v>45218</v>
      </c>
      <c r="H542" s="1"/>
      <c r="I542" t="s">
        <v>1737</v>
      </c>
      <c r="J542" t="s">
        <v>29</v>
      </c>
      <c r="K542" t="s">
        <v>29</v>
      </c>
      <c r="M542">
        <v>100</v>
      </c>
      <c r="N542" s="1">
        <v>45244</v>
      </c>
      <c r="O542" s="12"/>
    </row>
    <row r="543" spans="1:15" x14ac:dyDescent="0.25">
      <c r="A543" t="s">
        <v>6026</v>
      </c>
      <c r="B543" t="s">
        <v>3744</v>
      </c>
      <c r="C543" t="s">
        <v>6027</v>
      </c>
      <c r="D543" t="s">
        <v>511</v>
      </c>
      <c r="E543" t="s">
        <v>6028</v>
      </c>
      <c r="F543" t="s">
        <v>5885</v>
      </c>
      <c r="G543" s="1">
        <v>45221</v>
      </c>
      <c r="H543" s="1"/>
      <c r="I543" t="s">
        <v>1737</v>
      </c>
      <c r="J543" t="s">
        <v>29</v>
      </c>
      <c r="M543">
        <v>100</v>
      </c>
      <c r="N543" s="1">
        <v>45219</v>
      </c>
      <c r="O543" s="12"/>
    </row>
    <row r="544" spans="1:15" x14ac:dyDescent="0.25">
      <c r="A544" t="s">
        <v>6029</v>
      </c>
      <c r="B544" t="s">
        <v>3744</v>
      </c>
      <c r="C544" t="s">
        <v>32</v>
      </c>
      <c r="D544" t="s">
        <v>475</v>
      </c>
      <c r="E544" t="s">
        <v>6030</v>
      </c>
      <c r="F544" t="s">
        <v>5413</v>
      </c>
      <c r="G544" s="1">
        <v>45223</v>
      </c>
      <c r="H544" s="1"/>
      <c r="I544" t="s">
        <v>1737</v>
      </c>
      <c r="J544" t="s">
        <v>29</v>
      </c>
      <c r="K544" t="s">
        <v>29</v>
      </c>
      <c r="M544" t="s">
        <v>3340</v>
      </c>
      <c r="N544" s="1" t="s">
        <v>6031</v>
      </c>
      <c r="O544" s="12"/>
    </row>
    <row r="545" spans="1:15" x14ac:dyDescent="0.25">
      <c r="A545" t="s">
        <v>6032</v>
      </c>
      <c r="B545" t="s">
        <v>24</v>
      </c>
      <c r="C545" t="s">
        <v>611</v>
      </c>
      <c r="D545" t="s">
        <v>111</v>
      </c>
      <c r="E545" t="s">
        <v>6033</v>
      </c>
      <c r="G545" s="1">
        <v>45223</v>
      </c>
      <c r="H545" s="1"/>
      <c r="I545" t="s">
        <v>1737</v>
      </c>
      <c r="J545" t="s">
        <v>29</v>
      </c>
      <c r="K545" t="s">
        <v>29</v>
      </c>
      <c r="M545">
        <v>100</v>
      </c>
      <c r="N545" s="1">
        <v>45272</v>
      </c>
      <c r="O545" s="12"/>
    </row>
    <row r="546" spans="1:15" x14ac:dyDescent="0.25">
      <c r="A546" t="s">
        <v>6034</v>
      </c>
      <c r="B546" t="s">
        <v>13</v>
      </c>
      <c r="C546" t="s">
        <v>611</v>
      </c>
      <c r="D546" t="s">
        <v>111</v>
      </c>
      <c r="E546" t="s">
        <v>6035</v>
      </c>
      <c r="F546" t="s">
        <v>5885</v>
      </c>
      <c r="G546" s="1">
        <v>45223</v>
      </c>
      <c r="H546" s="1"/>
      <c r="I546" t="s">
        <v>1737</v>
      </c>
      <c r="J546" t="s">
        <v>29</v>
      </c>
      <c r="K546" t="s">
        <v>18</v>
      </c>
      <c r="M546">
        <v>100</v>
      </c>
      <c r="N546" s="1">
        <v>45296</v>
      </c>
      <c r="O546" s="12"/>
    </row>
    <row r="547" spans="1:15" x14ac:dyDescent="0.25">
      <c r="A547" t="s">
        <v>6036</v>
      </c>
      <c r="B547" t="s">
        <v>621</v>
      </c>
      <c r="C547" t="s">
        <v>4875</v>
      </c>
      <c r="D547" t="s">
        <v>6037</v>
      </c>
      <c r="E547" t="s">
        <v>6038</v>
      </c>
      <c r="F547" t="s">
        <v>5885</v>
      </c>
      <c r="G547" s="1">
        <v>45223</v>
      </c>
      <c r="H547" s="1"/>
      <c r="I547" t="s">
        <v>1737</v>
      </c>
      <c r="J547" t="s">
        <v>29</v>
      </c>
      <c r="M547">
        <v>100</v>
      </c>
      <c r="N547" s="1">
        <v>45289</v>
      </c>
      <c r="O547" s="12"/>
    </row>
    <row r="548" spans="1:15" x14ac:dyDescent="0.25">
      <c r="A548" t="s">
        <v>6039</v>
      </c>
      <c r="B548" t="s">
        <v>704</v>
      </c>
      <c r="C548" t="s">
        <v>5188</v>
      </c>
      <c r="D548" t="s">
        <v>5338</v>
      </c>
      <c r="E548" t="s">
        <v>6040</v>
      </c>
      <c r="F548" t="s">
        <v>6041</v>
      </c>
      <c r="G548" s="1">
        <v>45224</v>
      </c>
      <c r="H548" s="1"/>
      <c r="I548" t="s">
        <v>1737</v>
      </c>
      <c r="J548" t="s">
        <v>29</v>
      </c>
      <c r="K548" t="s">
        <v>29</v>
      </c>
      <c r="M548">
        <v>100</v>
      </c>
      <c r="N548" s="1">
        <v>45301</v>
      </c>
      <c r="O548" s="12" t="s">
        <v>6042</v>
      </c>
    </row>
    <row r="549" spans="1:15" x14ac:dyDescent="0.25">
      <c r="A549" t="s">
        <v>6043</v>
      </c>
      <c r="B549" t="s">
        <v>167</v>
      </c>
      <c r="C549" t="s">
        <v>411</v>
      </c>
      <c r="D549" t="s">
        <v>817</v>
      </c>
      <c r="E549" t="s">
        <v>6044</v>
      </c>
      <c r="F549" t="s">
        <v>5885</v>
      </c>
      <c r="G549" s="1">
        <v>45225</v>
      </c>
      <c r="H549" s="1"/>
      <c r="I549" t="s">
        <v>1737</v>
      </c>
      <c r="J549" t="s">
        <v>29</v>
      </c>
      <c r="K549" t="s">
        <v>29</v>
      </c>
      <c r="M549">
        <v>100</v>
      </c>
      <c r="N549" s="1">
        <v>45229</v>
      </c>
      <c r="O549" s="12"/>
    </row>
    <row r="550" spans="1:15" x14ac:dyDescent="0.25">
      <c r="A550" t="s">
        <v>6045</v>
      </c>
      <c r="B550" t="s">
        <v>704</v>
      </c>
      <c r="C550" t="s">
        <v>6046</v>
      </c>
      <c r="D550" t="s">
        <v>6047</v>
      </c>
      <c r="E550" t="s">
        <v>6048</v>
      </c>
      <c r="F550" t="s">
        <v>3148</v>
      </c>
      <c r="G550" s="1">
        <v>45225</v>
      </c>
      <c r="H550" s="1"/>
      <c r="I550" t="s">
        <v>1737</v>
      </c>
      <c r="J550" t="s">
        <v>29</v>
      </c>
      <c r="K550" t="s">
        <v>29</v>
      </c>
      <c r="O550" s="12"/>
    </row>
    <row r="551" spans="1:15" x14ac:dyDescent="0.25">
      <c r="A551" t="s">
        <v>6049</v>
      </c>
      <c r="B551" t="s">
        <v>499</v>
      </c>
      <c r="C551" t="s">
        <v>1922</v>
      </c>
      <c r="D551" t="s">
        <v>3834</v>
      </c>
      <c r="E551" t="s">
        <v>6050</v>
      </c>
      <c r="F551" t="s">
        <v>6051</v>
      </c>
      <c r="G551" s="1">
        <v>45226</v>
      </c>
      <c r="H551" s="1"/>
      <c r="I551" t="s">
        <v>1737</v>
      </c>
      <c r="J551" t="s">
        <v>29</v>
      </c>
      <c r="K551" t="s">
        <v>29</v>
      </c>
      <c r="M551">
        <v>100</v>
      </c>
      <c r="N551" s="1">
        <v>45229</v>
      </c>
      <c r="O551" s="12"/>
    </row>
    <row r="552" spans="1:15" x14ac:dyDescent="0.25">
      <c r="A552" t="s">
        <v>6052</v>
      </c>
      <c r="B552" t="s">
        <v>135</v>
      </c>
      <c r="C552" t="s">
        <v>243</v>
      </c>
      <c r="D552" t="s">
        <v>244</v>
      </c>
      <c r="E552" t="s">
        <v>6053</v>
      </c>
      <c r="F552" t="s">
        <v>6054</v>
      </c>
      <c r="G552" s="1">
        <v>45226</v>
      </c>
      <c r="H552" s="1"/>
      <c r="I552" t="s">
        <v>1737</v>
      </c>
      <c r="J552" t="s">
        <v>29</v>
      </c>
      <c r="K552" t="s">
        <v>29</v>
      </c>
      <c r="L552" t="s">
        <v>6055</v>
      </c>
      <c r="M552">
        <v>100</v>
      </c>
      <c r="N552" s="1">
        <v>45257</v>
      </c>
      <c r="O552" s="12"/>
    </row>
    <row r="553" spans="1:15" x14ac:dyDescent="0.25">
      <c r="A553" t="s">
        <v>6056</v>
      </c>
      <c r="B553" t="s">
        <v>220</v>
      </c>
      <c r="C553" t="s">
        <v>4737</v>
      </c>
      <c r="D553" t="s">
        <v>5077</v>
      </c>
      <c r="E553" t="s">
        <v>5078</v>
      </c>
      <c r="F553" t="s">
        <v>555</v>
      </c>
      <c r="G553" s="1">
        <v>45229</v>
      </c>
      <c r="H553" s="1"/>
      <c r="I553" t="s">
        <v>1737</v>
      </c>
      <c r="J553" t="s">
        <v>29</v>
      </c>
      <c r="K553" t="s">
        <v>29</v>
      </c>
      <c r="M553">
        <v>100</v>
      </c>
      <c r="N553" s="1">
        <v>45229</v>
      </c>
      <c r="O553" s="12"/>
    </row>
    <row r="554" spans="1:15" x14ac:dyDescent="0.25">
      <c r="A554" t="s">
        <v>6057</v>
      </c>
      <c r="B554" t="s">
        <v>220</v>
      </c>
      <c r="C554" t="s">
        <v>677</v>
      </c>
      <c r="D554" t="s">
        <v>678</v>
      </c>
      <c r="E554" t="s">
        <v>679</v>
      </c>
      <c r="F554" t="s">
        <v>555</v>
      </c>
      <c r="G554" s="1">
        <v>45229</v>
      </c>
      <c r="H554" s="1"/>
      <c r="I554" t="s">
        <v>1737</v>
      </c>
      <c r="J554" t="s">
        <v>29</v>
      </c>
      <c r="K554" t="s">
        <v>29</v>
      </c>
      <c r="L554" t="s">
        <v>663</v>
      </c>
      <c r="M554">
        <v>100</v>
      </c>
      <c r="N554" s="1">
        <v>45231</v>
      </c>
      <c r="O554" s="12"/>
    </row>
    <row r="555" spans="1:15" x14ac:dyDescent="0.25">
      <c r="A555" t="s">
        <v>6058</v>
      </c>
      <c r="B555" t="s">
        <v>3744</v>
      </c>
      <c r="C555" t="s">
        <v>32</v>
      </c>
      <c r="D555" t="s">
        <v>397</v>
      </c>
      <c r="E555" t="s">
        <v>6059</v>
      </c>
      <c r="F555" t="s">
        <v>5885</v>
      </c>
      <c r="G555" s="1">
        <v>45229</v>
      </c>
      <c r="H555" s="1"/>
      <c r="I555" t="s">
        <v>1737</v>
      </c>
      <c r="J555" t="s">
        <v>29</v>
      </c>
      <c r="M555">
        <v>100</v>
      </c>
      <c r="N555" s="1">
        <v>45230</v>
      </c>
      <c r="O555" s="12"/>
    </row>
    <row r="556" spans="1:15" x14ac:dyDescent="0.25">
      <c r="A556" t="s">
        <v>6060</v>
      </c>
      <c r="B556" t="s">
        <v>6061</v>
      </c>
      <c r="C556" t="s">
        <v>163</v>
      </c>
      <c r="D556" t="s">
        <v>6062</v>
      </c>
      <c r="E556" t="s">
        <v>6063</v>
      </c>
      <c r="F556" t="s">
        <v>5413</v>
      </c>
      <c r="G556" s="1">
        <v>45229</v>
      </c>
      <c r="H556" s="1"/>
      <c r="I556" t="s">
        <v>1737</v>
      </c>
      <c r="J556" t="s">
        <v>29</v>
      </c>
      <c r="K556" t="s">
        <v>29</v>
      </c>
      <c r="L556" t="s">
        <v>6064</v>
      </c>
      <c r="M556">
        <v>100</v>
      </c>
      <c r="N556" s="1">
        <v>45237</v>
      </c>
      <c r="O556" s="12"/>
    </row>
    <row r="557" spans="1:15" x14ac:dyDescent="0.25">
      <c r="A557" t="s">
        <v>6065</v>
      </c>
      <c r="B557" t="s">
        <v>6061</v>
      </c>
      <c r="C557" t="s">
        <v>243</v>
      </c>
      <c r="D557" t="s">
        <v>244</v>
      </c>
      <c r="E557" t="s">
        <v>6066</v>
      </c>
      <c r="F557" t="s">
        <v>3148</v>
      </c>
      <c r="G557" s="1">
        <v>45230</v>
      </c>
      <c r="H557" s="1"/>
      <c r="I557" t="s">
        <v>1737</v>
      </c>
      <c r="J557" t="s">
        <v>29</v>
      </c>
      <c r="L557" t="s">
        <v>6067</v>
      </c>
      <c r="M557">
        <v>100</v>
      </c>
      <c r="N557" s="1">
        <v>45250</v>
      </c>
      <c r="O557" s="12"/>
    </row>
    <row r="558" spans="1:15" x14ac:dyDescent="0.25">
      <c r="A558" t="s">
        <v>6068</v>
      </c>
      <c r="B558" t="s">
        <v>325</v>
      </c>
      <c r="C558" t="s">
        <v>6069</v>
      </c>
      <c r="D558" t="s">
        <v>6070</v>
      </c>
      <c r="E558" t="s">
        <v>6071</v>
      </c>
      <c r="F558" t="s">
        <v>5885</v>
      </c>
      <c r="G558" s="1">
        <v>45230</v>
      </c>
      <c r="H558" s="1"/>
      <c r="I558" t="s">
        <v>2952</v>
      </c>
      <c r="J558" t="s">
        <v>29</v>
      </c>
      <c r="O558" s="12"/>
    </row>
    <row r="559" spans="1:15" x14ac:dyDescent="0.25">
      <c r="A559" t="s">
        <v>6072</v>
      </c>
      <c r="B559" t="s">
        <v>13</v>
      </c>
      <c r="C559" t="s">
        <v>611</v>
      </c>
      <c r="D559" t="s">
        <v>1398</v>
      </c>
      <c r="E559" t="s">
        <v>6073</v>
      </c>
      <c r="F559" t="s">
        <v>5885</v>
      </c>
      <c r="G559" s="1">
        <v>45230</v>
      </c>
      <c r="H559" s="1"/>
      <c r="I559" t="s">
        <v>1737</v>
      </c>
      <c r="J559" t="s">
        <v>29</v>
      </c>
      <c r="K559" t="s">
        <v>18</v>
      </c>
      <c r="M559">
        <v>100</v>
      </c>
      <c r="N559" s="1">
        <v>45296</v>
      </c>
      <c r="O559" s="12"/>
    </row>
    <row r="560" spans="1:15" x14ac:dyDescent="0.25">
      <c r="A560" t="s">
        <v>6074</v>
      </c>
      <c r="B560" t="s">
        <v>220</v>
      </c>
      <c r="C560" t="s">
        <v>677</v>
      </c>
      <c r="D560" t="s">
        <v>678</v>
      </c>
      <c r="E560" t="s">
        <v>691</v>
      </c>
      <c r="F560" t="s">
        <v>555</v>
      </c>
      <c r="G560" s="1">
        <v>45232</v>
      </c>
      <c r="H560" s="1"/>
      <c r="I560" t="s">
        <v>1737</v>
      </c>
      <c r="J560" t="s">
        <v>29</v>
      </c>
      <c r="K560" t="s">
        <v>29</v>
      </c>
      <c r="M560">
        <v>100</v>
      </c>
      <c r="N560" s="1" t="s">
        <v>6075</v>
      </c>
      <c r="O560" s="12"/>
    </row>
    <row r="561" spans="1:15" x14ac:dyDescent="0.25">
      <c r="A561" t="s">
        <v>6076</v>
      </c>
      <c r="B561" t="s">
        <v>24</v>
      </c>
      <c r="C561" t="s">
        <v>611</v>
      </c>
      <c r="D561" t="s">
        <v>5122</v>
      </c>
      <c r="E561" t="s">
        <v>6077</v>
      </c>
      <c r="F561" t="s">
        <v>5504</v>
      </c>
      <c r="G561" s="1">
        <v>45236</v>
      </c>
      <c r="H561" s="1"/>
      <c r="I561" t="s">
        <v>1737</v>
      </c>
      <c r="J561" t="s">
        <v>29</v>
      </c>
      <c r="M561">
        <v>100</v>
      </c>
      <c r="N561" s="1">
        <v>45257</v>
      </c>
      <c r="O561" s="12"/>
    </row>
    <row r="562" spans="1:15" x14ac:dyDescent="0.25">
      <c r="A562" t="s">
        <v>6078</v>
      </c>
      <c r="B562" t="s">
        <v>621</v>
      </c>
      <c r="C562" t="s">
        <v>3967</v>
      </c>
      <c r="D562" t="s">
        <v>511</v>
      </c>
      <c r="E562" t="s">
        <v>6079</v>
      </c>
      <c r="F562" t="s">
        <v>5885</v>
      </c>
      <c r="G562" s="1">
        <v>45229</v>
      </c>
      <c r="H562" s="1"/>
      <c r="I562" t="s">
        <v>1737</v>
      </c>
      <c r="J562" t="s">
        <v>29</v>
      </c>
      <c r="K562" t="s">
        <v>29</v>
      </c>
      <c r="M562">
        <v>100</v>
      </c>
      <c r="N562" s="1">
        <v>45244</v>
      </c>
      <c r="O562" s="12"/>
    </row>
    <row r="563" spans="1:15" x14ac:dyDescent="0.25">
      <c r="A563" t="s">
        <v>6080</v>
      </c>
      <c r="B563" t="s">
        <v>704</v>
      </c>
      <c r="C563" t="s">
        <v>670</v>
      </c>
      <c r="D563" t="s">
        <v>5102</v>
      </c>
      <c r="E563" t="s">
        <v>6081</v>
      </c>
      <c r="F563" t="s">
        <v>555</v>
      </c>
      <c r="G563" s="1">
        <v>45237</v>
      </c>
      <c r="H563" s="1"/>
      <c r="I563" t="s">
        <v>1737</v>
      </c>
      <c r="J563" t="s">
        <v>29</v>
      </c>
      <c r="K563" t="s">
        <v>29</v>
      </c>
      <c r="M563">
        <v>100</v>
      </c>
      <c r="N563" s="1">
        <v>45250</v>
      </c>
      <c r="O563" s="12"/>
    </row>
    <row r="564" spans="1:15" x14ac:dyDescent="0.25">
      <c r="A564" t="s">
        <v>6082</v>
      </c>
      <c r="B564" t="s">
        <v>704</v>
      </c>
      <c r="C564" t="s">
        <v>5188</v>
      </c>
      <c r="D564" t="s">
        <v>5338</v>
      </c>
      <c r="E564" t="s">
        <v>6083</v>
      </c>
      <c r="F564" t="s">
        <v>6084</v>
      </c>
      <c r="G564" s="1">
        <v>45237</v>
      </c>
      <c r="H564" s="1"/>
      <c r="I564" t="s">
        <v>1737</v>
      </c>
      <c r="J564" t="s">
        <v>29</v>
      </c>
      <c r="M564">
        <v>100</v>
      </c>
      <c r="N564" s="1">
        <v>45334</v>
      </c>
      <c r="O564" s="29">
        <v>45323</v>
      </c>
    </row>
    <row r="565" spans="1:15" x14ac:dyDescent="0.25">
      <c r="A565" t="s">
        <v>6085</v>
      </c>
      <c r="B565" t="s">
        <v>704</v>
      </c>
      <c r="C565" t="s">
        <v>243</v>
      </c>
      <c r="D565" t="s">
        <v>5166</v>
      </c>
      <c r="E565" t="s">
        <v>6086</v>
      </c>
      <c r="F565" t="s">
        <v>6019</v>
      </c>
      <c r="G565" s="1">
        <v>45237</v>
      </c>
      <c r="H565" s="1"/>
      <c r="I565" t="s">
        <v>1737</v>
      </c>
      <c r="J565" t="s">
        <v>29</v>
      </c>
      <c r="K565" t="s">
        <v>29</v>
      </c>
      <c r="M565">
        <v>100</v>
      </c>
      <c r="N565" s="1">
        <v>45243</v>
      </c>
      <c r="O565" s="12"/>
    </row>
    <row r="566" spans="1:15" x14ac:dyDescent="0.25">
      <c r="A566" t="s">
        <v>6087</v>
      </c>
      <c r="B566" t="s">
        <v>704</v>
      </c>
      <c r="C566" t="s">
        <v>670</v>
      </c>
      <c r="D566" t="s">
        <v>671</v>
      </c>
      <c r="E566" t="s">
        <v>6088</v>
      </c>
      <c r="F566" t="s">
        <v>5413</v>
      </c>
      <c r="G566" s="1">
        <v>45237</v>
      </c>
      <c r="H566" s="1"/>
      <c r="I566" t="s">
        <v>1737</v>
      </c>
      <c r="J566" t="s">
        <v>29</v>
      </c>
      <c r="K566" t="s">
        <v>29</v>
      </c>
      <c r="M566">
        <v>100</v>
      </c>
      <c r="N566" s="1">
        <v>45252</v>
      </c>
      <c r="O566" s="12"/>
    </row>
    <row r="567" spans="1:15" x14ac:dyDescent="0.25">
      <c r="A567" t="s">
        <v>6089</v>
      </c>
      <c r="B567" t="s">
        <v>135</v>
      </c>
      <c r="C567" t="s">
        <v>6090</v>
      </c>
      <c r="D567" t="s">
        <v>6091</v>
      </c>
      <c r="E567" t="s">
        <v>6092</v>
      </c>
      <c r="F567" t="s">
        <v>6093</v>
      </c>
      <c r="G567" s="1">
        <v>45238</v>
      </c>
      <c r="H567" s="1"/>
      <c r="I567" t="s">
        <v>1737</v>
      </c>
      <c r="J567" t="s">
        <v>29</v>
      </c>
      <c r="M567">
        <v>100</v>
      </c>
      <c r="N567" s="1">
        <v>45245</v>
      </c>
      <c r="O567" s="12"/>
    </row>
    <row r="568" spans="1:15" x14ac:dyDescent="0.25">
      <c r="A568" t="s">
        <v>6094</v>
      </c>
      <c r="B568" t="s">
        <v>704</v>
      </c>
      <c r="C568" t="s">
        <v>670</v>
      </c>
      <c r="D568" t="s">
        <v>6095</v>
      </c>
      <c r="E568" t="s">
        <v>6096</v>
      </c>
      <c r="F568" t="s">
        <v>3148</v>
      </c>
      <c r="G568" s="1">
        <v>45239</v>
      </c>
      <c r="H568" s="1"/>
      <c r="I568" t="s">
        <v>1737</v>
      </c>
      <c r="J568" t="s">
        <v>29</v>
      </c>
      <c r="K568" t="s">
        <v>29</v>
      </c>
      <c r="M568">
        <v>100</v>
      </c>
      <c r="N568" s="1">
        <v>45243</v>
      </c>
      <c r="O568" s="12"/>
    </row>
    <row r="569" spans="1:15" x14ac:dyDescent="0.25">
      <c r="A569" t="s">
        <v>6097</v>
      </c>
      <c r="B569" t="s">
        <v>704</v>
      </c>
      <c r="C569" t="s">
        <v>6098</v>
      </c>
      <c r="D569" t="s">
        <v>225</v>
      </c>
      <c r="E569" t="s">
        <v>6099</v>
      </c>
      <c r="G569" s="1"/>
      <c r="H569" s="1"/>
      <c r="I569" t="s">
        <v>1737</v>
      </c>
      <c r="J569" t="s">
        <v>29</v>
      </c>
      <c r="M569">
        <v>100</v>
      </c>
      <c r="N569" s="1">
        <v>45271</v>
      </c>
      <c r="O569" s="12"/>
    </row>
    <row r="570" spans="1:15" x14ac:dyDescent="0.25">
      <c r="A570" t="s">
        <v>6100</v>
      </c>
      <c r="B570" t="s">
        <v>704</v>
      </c>
      <c r="C570" t="s">
        <v>32</v>
      </c>
      <c r="D570" t="s">
        <v>5156</v>
      </c>
      <c r="E570" t="s">
        <v>6101</v>
      </c>
      <c r="F570" t="s">
        <v>5504</v>
      </c>
      <c r="G570" s="1">
        <v>45243</v>
      </c>
      <c r="H570" s="1"/>
      <c r="I570" t="s">
        <v>1737</v>
      </c>
      <c r="J570" t="s">
        <v>29</v>
      </c>
      <c r="K570" t="s">
        <v>29</v>
      </c>
      <c r="M570">
        <v>100</v>
      </c>
      <c r="N570" s="1">
        <v>45267</v>
      </c>
      <c r="O570" s="12"/>
    </row>
    <row r="571" spans="1:15" x14ac:dyDescent="0.25">
      <c r="A571" t="s">
        <v>6102</v>
      </c>
      <c r="B571" t="s">
        <v>704</v>
      </c>
      <c r="C571" t="s">
        <v>670</v>
      </c>
      <c r="D571" t="s">
        <v>671</v>
      </c>
      <c r="E571" t="s">
        <v>6103</v>
      </c>
      <c r="F571" t="s">
        <v>5413</v>
      </c>
      <c r="G571" s="1">
        <v>45243</v>
      </c>
      <c r="H571" s="1"/>
      <c r="I571" t="s">
        <v>1737</v>
      </c>
      <c r="J571" t="s">
        <v>29</v>
      </c>
      <c r="K571" t="s">
        <v>29</v>
      </c>
      <c r="M571">
        <v>100</v>
      </c>
      <c r="N571" s="1">
        <v>45294</v>
      </c>
      <c r="O571" s="12"/>
    </row>
    <row r="572" spans="1:15" x14ac:dyDescent="0.25">
      <c r="A572" t="s">
        <v>6104</v>
      </c>
      <c r="B572" t="s">
        <v>474</v>
      </c>
      <c r="C572" t="s">
        <v>6105</v>
      </c>
      <c r="D572" t="s">
        <v>397</v>
      </c>
      <c r="E572" t="s">
        <v>6106</v>
      </c>
      <c r="F572" t="s">
        <v>5885</v>
      </c>
      <c r="G572" s="1">
        <v>45245</v>
      </c>
      <c r="H572" s="1"/>
      <c r="I572" t="s">
        <v>1737</v>
      </c>
      <c r="J572" t="s">
        <v>29</v>
      </c>
      <c r="M572">
        <v>100</v>
      </c>
      <c r="N572" s="1">
        <v>45295</v>
      </c>
      <c r="O572" s="12"/>
    </row>
    <row r="573" spans="1:15" x14ac:dyDescent="0.25">
      <c r="A573" t="s">
        <v>6107</v>
      </c>
      <c r="B573" t="s">
        <v>704</v>
      </c>
      <c r="C573" t="s">
        <v>104</v>
      </c>
      <c r="D573" t="s">
        <v>105</v>
      </c>
      <c r="E573" t="s">
        <v>5453</v>
      </c>
      <c r="F573" t="s">
        <v>3148</v>
      </c>
      <c r="G573" s="1">
        <v>45246</v>
      </c>
      <c r="H573" s="1"/>
      <c r="I573" t="s">
        <v>1737</v>
      </c>
      <c r="J573" t="s">
        <v>29</v>
      </c>
      <c r="K573" t="s">
        <v>29</v>
      </c>
      <c r="M573">
        <v>100</v>
      </c>
      <c r="N573" s="1">
        <v>45274</v>
      </c>
      <c r="O573" s="12"/>
    </row>
    <row r="574" spans="1:15" x14ac:dyDescent="0.25">
      <c r="A574" t="s">
        <v>6108</v>
      </c>
      <c r="B574" t="s">
        <v>704</v>
      </c>
      <c r="C574" t="s">
        <v>32</v>
      </c>
      <c r="D574" t="s">
        <v>6109</v>
      </c>
      <c r="E574" t="s">
        <v>6110</v>
      </c>
      <c r="F574" t="s">
        <v>6109</v>
      </c>
      <c r="G574" s="1">
        <v>45246</v>
      </c>
      <c r="H574" s="1"/>
      <c r="I574" t="s">
        <v>1737</v>
      </c>
      <c r="J574" t="s">
        <v>29</v>
      </c>
      <c r="K574" t="s">
        <v>29</v>
      </c>
      <c r="M574">
        <v>100</v>
      </c>
      <c r="N574" s="1">
        <v>45271</v>
      </c>
      <c r="O574" s="12"/>
    </row>
    <row r="575" spans="1:15" x14ac:dyDescent="0.25">
      <c r="A575" t="s">
        <v>6111</v>
      </c>
      <c r="B575" t="s">
        <v>704</v>
      </c>
      <c r="C575" t="s">
        <v>32</v>
      </c>
      <c r="D575" t="s">
        <v>5413</v>
      </c>
      <c r="E575" t="s">
        <v>4699</v>
      </c>
      <c r="F575" t="s">
        <v>5413</v>
      </c>
      <c r="G575" s="1">
        <v>45246</v>
      </c>
      <c r="H575" s="1"/>
      <c r="I575" t="s">
        <v>1737</v>
      </c>
      <c r="J575" t="s">
        <v>29</v>
      </c>
      <c r="K575" t="s">
        <v>29</v>
      </c>
      <c r="M575">
        <v>100</v>
      </c>
      <c r="N575" s="1">
        <v>45272</v>
      </c>
      <c r="O575" s="12"/>
    </row>
    <row r="576" spans="1:15" x14ac:dyDescent="0.25">
      <c r="A576" t="s">
        <v>6112</v>
      </c>
      <c r="B576" t="s">
        <v>704</v>
      </c>
      <c r="C576" t="s">
        <v>670</v>
      </c>
      <c r="D576" t="s">
        <v>5102</v>
      </c>
      <c r="E576" t="s">
        <v>5453</v>
      </c>
      <c r="F576" t="s">
        <v>3148</v>
      </c>
      <c r="G576" s="1">
        <v>45247</v>
      </c>
      <c r="H576" s="1"/>
      <c r="I576" t="s">
        <v>1737</v>
      </c>
      <c r="J576" t="s">
        <v>29</v>
      </c>
      <c r="K576" t="s">
        <v>29</v>
      </c>
      <c r="M576" t="s">
        <v>3780</v>
      </c>
      <c r="N576" s="1" t="s">
        <v>6113</v>
      </c>
      <c r="O576" s="29">
        <v>45322</v>
      </c>
    </row>
    <row r="577" spans="1:15" x14ac:dyDescent="0.25">
      <c r="A577" t="s">
        <v>6114</v>
      </c>
      <c r="B577" t="s">
        <v>704</v>
      </c>
      <c r="C577" t="s">
        <v>6115</v>
      </c>
      <c r="D577" t="s">
        <v>6116</v>
      </c>
      <c r="E577" t="s">
        <v>6117</v>
      </c>
      <c r="F577" t="s">
        <v>5885</v>
      </c>
      <c r="G577" s="1">
        <v>45247</v>
      </c>
      <c r="H577" s="1"/>
      <c r="I577" t="s">
        <v>1737</v>
      </c>
      <c r="J577" t="s">
        <v>29</v>
      </c>
      <c r="K577" t="s">
        <v>29</v>
      </c>
      <c r="M577">
        <v>100</v>
      </c>
      <c r="N577" s="1">
        <v>45267</v>
      </c>
      <c r="O577" s="12"/>
    </row>
    <row r="578" spans="1:15" x14ac:dyDescent="0.25">
      <c r="A578" t="s">
        <v>6118</v>
      </c>
      <c r="B578" t="s">
        <v>704</v>
      </c>
      <c r="C578" t="s">
        <v>6098</v>
      </c>
      <c r="D578" t="s">
        <v>225</v>
      </c>
      <c r="E578" t="s">
        <v>6119</v>
      </c>
      <c r="F578" t="s">
        <v>6019</v>
      </c>
      <c r="G578" s="1">
        <v>45250</v>
      </c>
      <c r="H578" s="1"/>
      <c r="I578" t="s">
        <v>1737</v>
      </c>
      <c r="J578" t="s">
        <v>29</v>
      </c>
      <c r="K578" t="s">
        <v>29</v>
      </c>
      <c r="M578">
        <v>100</v>
      </c>
      <c r="N578" s="1">
        <v>45251</v>
      </c>
      <c r="O578" s="12"/>
    </row>
    <row r="579" spans="1:15" x14ac:dyDescent="0.25">
      <c r="A579" t="s">
        <v>6120</v>
      </c>
      <c r="B579" t="s">
        <v>6121</v>
      </c>
      <c r="C579" t="s">
        <v>3967</v>
      </c>
      <c r="E579" t="s">
        <v>6122</v>
      </c>
      <c r="F579" t="s">
        <v>5885</v>
      </c>
      <c r="G579" s="1">
        <v>45251</v>
      </c>
      <c r="H579" s="1"/>
      <c r="I579" t="s">
        <v>1737</v>
      </c>
      <c r="J579" t="s">
        <v>29</v>
      </c>
      <c r="M579">
        <v>100</v>
      </c>
      <c r="N579" s="1">
        <v>45272</v>
      </c>
      <c r="O579" s="12"/>
    </row>
    <row r="580" spans="1:15" x14ac:dyDescent="0.25">
      <c r="A580" t="s">
        <v>6123</v>
      </c>
      <c r="B580" t="s">
        <v>704</v>
      </c>
      <c r="C580" t="s">
        <v>6098</v>
      </c>
      <c r="D580" t="s">
        <v>225</v>
      </c>
      <c r="E580" t="s">
        <v>6124</v>
      </c>
      <c r="F580" t="s">
        <v>5844</v>
      </c>
      <c r="G580" s="1">
        <v>45251</v>
      </c>
      <c r="H580" s="1"/>
      <c r="I580" t="s">
        <v>1737</v>
      </c>
      <c r="J580" t="s">
        <v>29</v>
      </c>
      <c r="K580" t="s">
        <v>29</v>
      </c>
      <c r="M580">
        <v>100</v>
      </c>
      <c r="N580" s="1">
        <v>45258</v>
      </c>
      <c r="O580" s="12"/>
    </row>
    <row r="581" spans="1:15" x14ac:dyDescent="0.25">
      <c r="A581" t="s">
        <v>6125</v>
      </c>
      <c r="B581" t="s">
        <v>3744</v>
      </c>
      <c r="C581" t="s">
        <v>43</v>
      </c>
      <c r="D581" t="s">
        <v>6126</v>
      </c>
      <c r="E581" t="s">
        <v>6127</v>
      </c>
      <c r="F581" t="s">
        <v>329</v>
      </c>
      <c r="G581" s="1">
        <v>45252</v>
      </c>
      <c r="H581" s="1"/>
      <c r="I581" t="s">
        <v>1737</v>
      </c>
      <c r="J581" t="s">
        <v>29</v>
      </c>
      <c r="M581">
        <v>100</v>
      </c>
      <c r="N581" s="1">
        <v>45295</v>
      </c>
      <c r="O581" s="12"/>
    </row>
    <row r="582" spans="1:15" x14ac:dyDescent="0.25">
      <c r="A582" t="s">
        <v>6128</v>
      </c>
      <c r="B582" t="s">
        <v>704</v>
      </c>
      <c r="C582" t="s">
        <v>243</v>
      </c>
      <c r="D582" t="s">
        <v>5166</v>
      </c>
      <c r="E582" t="s">
        <v>6129</v>
      </c>
      <c r="F582" t="s">
        <v>5413</v>
      </c>
      <c r="G582" s="1">
        <v>45252</v>
      </c>
      <c r="H582" s="1"/>
      <c r="I582" t="s">
        <v>1737</v>
      </c>
      <c r="J582" t="s">
        <v>29</v>
      </c>
      <c r="K582" t="s">
        <v>29</v>
      </c>
      <c r="M582">
        <v>100</v>
      </c>
      <c r="N582" s="1">
        <v>45294</v>
      </c>
      <c r="O582" s="30" t="s">
        <v>6130</v>
      </c>
    </row>
    <row r="583" spans="1:15" x14ac:dyDescent="0.25">
      <c r="A583" t="s">
        <v>6131</v>
      </c>
      <c r="B583" t="s">
        <v>135</v>
      </c>
      <c r="C583" t="s">
        <v>742</v>
      </c>
      <c r="D583" t="s">
        <v>743</v>
      </c>
      <c r="E583" t="s">
        <v>744</v>
      </c>
      <c r="F583" t="s">
        <v>6132</v>
      </c>
      <c r="G583" s="1">
        <v>45258</v>
      </c>
      <c r="H583" s="1"/>
      <c r="I583" t="s">
        <v>1737</v>
      </c>
      <c r="J583" t="s">
        <v>29</v>
      </c>
      <c r="K583" t="s">
        <v>29</v>
      </c>
      <c r="L583" t="s">
        <v>731</v>
      </c>
      <c r="M583">
        <v>100</v>
      </c>
      <c r="N583" s="1">
        <v>45286</v>
      </c>
      <c r="O583" s="12"/>
    </row>
    <row r="584" spans="1:15" x14ac:dyDescent="0.25">
      <c r="A584" t="s">
        <v>6133</v>
      </c>
      <c r="B584" t="s">
        <v>704</v>
      </c>
      <c r="C584" t="s">
        <v>32</v>
      </c>
      <c r="D584" t="s">
        <v>1563</v>
      </c>
      <c r="E584" t="s">
        <v>5830</v>
      </c>
      <c r="F584" t="s">
        <v>5831</v>
      </c>
      <c r="G584" s="1">
        <v>45258</v>
      </c>
      <c r="H584" s="1"/>
      <c r="I584" t="s">
        <v>1737</v>
      </c>
      <c r="J584" t="s">
        <v>29</v>
      </c>
      <c r="K584" t="s">
        <v>29</v>
      </c>
      <c r="M584">
        <v>100</v>
      </c>
      <c r="N584" s="1">
        <v>45267</v>
      </c>
      <c r="O584" s="12"/>
    </row>
    <row r="585" spans="1:15" x14ac:dyDescent="0.25">
      <c r="A585" t="s">
        <v>6134</v>
      </c>
      <c r="B585" t="s">
        <v>704</v>
      </c>
      <c r="C585" t="s">
        <v>677</v>
      </c>
      <c r="D585" t="s">
        <v>678</v>
      </c>
      <c r="E585" t="s">
        <v>5826</v>
      </c>
      <c r="F585" t="s">
        <v>555</v>
      </c>
      <c r="G585" s="1">
        <v>45258</v>
      </c>
      <c r="H585" s="1"/>
      <c r="I585" t="s">
        <v>1737</v>
      </c>
      <c r="J585" t="s">
        <v>29</v>
      </c>
      <c r="K585" t="s">
        <v>29</v>
      </c>
      <c r="M585">
        <v>100</v>
      </c>
      <c r="N585" s="1">
        <v>45272</v>
      </c>
      <c r="O585" s="12"/>
    </row>
    <row r="586" spans="1:15" x14ac:dyDescent="0.25">
      <c r="A586" t="s">
        <v>6135</v>
      </c>
      <c r="B586" t="s">
        <v>3774</v>
      </c>
      <c r="C586" t="s">
        <v>6136</v>
      </c>
      <c r="D586" t="s">
        <v>6137</v>
      </c>
      <c r="E586" t="s">
        <v>6138</v>
      </c>
      <c r="F586" t="s">
        <v>5885</v>
      </c>
      <c r="G586" s="1">
        <v>45260</v>
      </c>
      <c r="H586" s="1"/>
      <c r="I586" t="s">
        <v>1737</v>
      </c>
      <c r="J586" t="s">
        <v>29</v>
      </c>
      <c r="K586" t="s">
        <v>29</v>
      </c>
      <c r="M586" s="5">
        <v>1</v>
      </c>
      <c r="N586" s="1" t="s">
        <v>6139</v>
      </c>
      <c r="O586" s="12"/>
    </row>
    <row r="587" spans="1:15" x14ac:dyDescent="0.25">
      <c r="A587" t="s">
        <v>6140</v>
      </c>
      <c r="B587" t="s">
        <v>3744</v>
      </c>
      <c r="C587" t="s">
        <v>3967</v>
      </c>
      <c r="D587" t="s">
        <v>6141</v>
      </c>
      <c r="E587" t="s">
        <v>6142</v>
      </c>
      <c r="F587" t="s">
        <v>5885</v>
      </c>
      <c r="G587" s="1">
        <v>45260</v>
      </c>
      <c r="H587" s="1"/>
      <c r="I587" t="s">
        <v>1737</v>
      </c>
      <c r="J587" t="s">
        <v>29</v>
      </c>
      <c r="K587" t="s">
        <v>29</v>
      </c>
      <c r="M587">
        <v>100</v>
      </c>
      <c r="N587" s="1">
        <v>45261</v>
      </c>
      <c r="O587" s="12"/>
    </row>
    <row r="588" spans="1:15" x14ac:dyDescent="0.25">
      <c r="A588" t="s">
        <v>6143</v>
      </c>
      <c r="B588" t="s">
        <v>24</v>
      </c>
      <c r="C588" t="s">
        <v>126</v>
      </c>
      <c r="D588" t="s">
        <v>5800</v>
      </c>
      <c r="E588" t="s">
        <v>6144</v>
      </c>
      <c r="F588" t="s">
        <v>5885</v>
      </c>
      <c r="G588" s="1">
        <v>45261</v>
      </c>
      <c r="H588" s="1"/>
      <c r="I588" t="s">
        <v>1737</v>
      </c>
      <c r="J588" t="s">
        <v>29</v>
      </c>
      <c r="K588" t="s">
        <v>29</v>
      </c>
      <c r="M588">
        <v>100</v>
      </c>
      <c r="N588" s="1">
        <v>45267</v>
      </c>
      <c r="O588" s="12"/>
    </row>
    <row r="589" spans="1:15" x14ac:dyDescent="0.25">
      <c r="A589" t="s">
        <v>6145</v>
      </c>
      <c r="B589" t="s">
        <v>704</v>
      </c>
      <c r="C589" t="s">
        <v>243</v>
      </c>
      <c r="D589" t="s">
        <v>6146</v>
      </c>
      <c r="E589" t="s">
        <v>5182</v>
      </c>
      <c r="F589" t="s">
        <v>3148</v>
      </c>
      <c r="G589" s="1">
        <v>45261</v>
      </c>
      <c r="H589" s="1"/>
      <c r="I589" t="s">
        <v>1737</v>
      </c>
      <c r="J589" t="s">
        <v>29</v>
      </c>
      <c r="K589" t="s">
        <v>29</v>
      </c>
      <c r="M589">
        <v>100</v>
      </c>
      <c r="N589" s="1">
        <v>45293</v>
      </c>
      <c r="O589" s="12" t="s">
        <v>6147</v>
      </c>
    </row>
    <row r="590" spans="1:15" x14ac:dyDescent="0.25">
      <c r="A590" t="s">
        <v>6148</v>
      </c>
      <c r="B590" t="s">
        <v>704</v>
      </c>
      <c r="C590" t="s">
        <v>243</v>
      </c>
      <c r="D590" t="s">
        <v>244</v>
      </c>
      <c r="E590" t="s">
        <v>6149</v>
      </c>
      <c r="F590" t="s">
        <v>3148</v>
      </c>
      <c r="G590" s="1">
        <v>45261</v>
      </c>
      <c r="H590" s="1"/>
      <c r="I590" t="s">
        <v>1737</v>
      </c>
      <c r="J590" t="s">
        <v>29</v>
      </c>
      <c r="K590" t="s">
        <v>29</v>
      </c>
      <c r="M590">
        <v>100</v>
      </c>
      <c r="N590" s="1">
        <v>45293</v>
      </c>
      <c r="O590" s="12" t="s">
        <v>6150</v>
      </c>
    </row>
    <row r="591" spans="1:15" x14ac:dyDescent="0.25">
      <c r="A591" t="s">
        <v>6151</v>
      </c>
      <c r="B591" t="s">
        <v>704</v>
      </c>
      <c r="C591" t="s">
        <v>6152</v>
      </c>
      <c r="D591" t="s">
        <v>6153</v>
      </c>
      <c r="E591" t="s">
        <v>6154</v>
      </c>
      <c r="F591" t="s">
        <v>5892</v>
      </c>
      <c r="G591" s="1">
        <v>45261</v>
      </c>
      <c r="H591" s="1"/>
      <c r="I591" t="s">
        <v>1737</v>
      </c>
      <c r="J591" t="s">
        <v>29</v>
      </c>
      <c r="K591" t="s">
        <v>29</v>
      </c>
      <c r="N591" s="1">
        <v>45264</v>
      </c>
      <c r="O591" s="12"/>
    </row>
    <row r="592" spans="1:15" x14ac:dyDescent="0.25">
      <c r="A592" t="s">
        <v>6155</v>
      </c>
      <c r="B592" t="s">
        <v>704</v>
      </c>
      <c r="C592" t="s">
        <v>677</v>
      </c>
      <c r="D592" t="s">
        <v>678</v>
      </c>
      <c r="E592" t="s">
        <v>6156</v>
      </c>
      <c r="F592" t="s">
        <v>555</v>
      </c>
      <c r="G592" s="1">
        <v>45265</v>
      </c>
      <c r="H592" s="1"/>
      <c r="I592" t="s">
        <v>1737</v>
      </c>
      <c r="J592" t="s">
        <v>29</v>
      </c>
      <c r="K592" t="s">
        <v>29</v>
      </c>
      <c r="M592">
        <v>100</v>
      </c>
      <c r="N592" s="1">
        <v>45275</v>
      </c>
      <c r="O592" s="12"/>
    </row>
    <row r="593" spans="1:15" x14ac:dyDescent="0.25">
      <c r="A593" t="s">
        <v>6157</v>
      </c>
      <c r="B593" t="s">
        <v>704</v>
      </c>
      <c r="C593" t="s">
        <v>611</v>
      </c>
      <c r="D593" t="s">
        <v>5425</v>
      </c>
      <c r="E593" t="s">
        <v>5983</v>
      </c>
      <c r="F593" t="s">
        <v>5984</v>
      </c>
      <c r="G593" s="1">
        <v>45265</v>
      </c>
      <c r="H593" s="1"/>
      <c r="I593" t="s">
        <v>1737</v>
      </c>
      <c r="J593" t="s">
        <v>29</v>
      </c>
      <c r="K593" t="s">
        <v>29</v>
      </c>
      <c r="M593">
        <v>100</v>
      </c>
      <c r="N593" s="1">
        <v>45294</v>
      </c>
      <c r="O593" s="12" t="s">
        <v>6158</v>
      </c>
    </row>
    <row r="594" spans="1:15" x14ac:dyDescent="0.25">
      <c r="A594" t="s">
        <v>6159</v>
      </c>
      <c r="B594" t="s">
        <v>704</v>
      </c>
      <c r="C594" t="s">
        <v>5007</v>
      </c>
      <c r="D594" t="s">
        <v>5071</v>
      </c>
      <c r="E594" t="s">
        <v>6160</v>
      </c>
      <c r="F594" t="s">
        <v>5413</v>
      </c>
      <c r="G594" s="1">
        <v>45267</v>
      </c>
      <c r="H594" s="1"/>
      <c r="I594" t="s">
        <v>1737</v>
      </c>
      <c r="J594" t="s">
        <v>29</v>
      </c>
      <c r="K594" t="s">
        <v>29</v>
      </c>
      <c r="M594">
        <v>100</v>
      </c>
      <c r="N594" s="1">
        <v>45293</v>
      </c>
      <c r="O594" s="29">
        <v>45294</v>
      </c>
    </row>
    <row r="595" spans="1:15" x14ac:dyDescent="0.25">
      <c r="A595" t="s">
        <v>6161</v>
      </c>
      <c r="B595" t="s">
        <v>704</v>
      </c>
      <c r="C595" t="s">
        <v>677</v>
      </c>
      <c r="D595" t="s">
        <v>678</v>
      </c>
      <c r="E595" t="s">
        <v>4738</v>
      </c>
      <c r="F595" t="s">
        <v>555</v>
      </c>
      <c r="G595" s="1">
        <v>45267</v>
      </c>
      <c r="H595" s="1"/>
      <c r="I595" t="s">
        <v>1737</v>
      </c>
      <c r="J595" t="s">
        <v>29</v>
      </c>
      <c r="K595" t="s">
        <v>29</v>
      </c>
      <c r="M595">
        <v>100</v>
      </c>
      <c r="N595" s="1">
        <v>45272</v>
      </c>
      <c r="O595" s="12"/>
    </row>
    <row r="596" spans="1:15" x14ac:dyDescent="0.25">
      <c r="A596" t="s">
        <v>6162</v>
      </c>
      <c r="B596" t="s">
        <v>704</v>
      </c>
      <c r="C596" t="s">
        <v>6152</v>
      </c>
      <c r="D596" t="s">
        <v>6153</v>
      </c>
      <c r="E596" t="s">
        <v>6163</v>
      </c>
      <c r="F596" t="s">
        <v>5646</v>
      </c>
      <c r="G596" s="1">
        <v>45268</v>
      </c>
      <c r="H596" s="1"/>
      <c r="I596" t="s">
        <v>1737</v>
      </c>
      <c r="J596" t="s">
        <v>29</v>
      </c>
      <c r="K596" t="s">
        <v>29</v>
      </c>
      <c r="M596">
        <v>100</v>
      </c>
      <c r="N596" s="1">
        <v>45271</v>
      </c>
      <c r="O596" s="12"/>
    </row>
    <row r="597" spans="1:15" x14ac:dyDescent="0.25">
      <c r="A597" t="s">
        <v>6164</v>
      </c>
      <c r="B597" t="s">
        <v>704</v>
      </c>
      <c r="C597" t="s">
        <v>4737</v>
      </c>
      <c r="D597" t="s">
        <v>5077</v>
      </c>
      <c r="E597" t="s">
        <v>6165</v>
      </c>
      <c r="F597" t="s">
        <v>555</v>
      </c>
      <c r="G597" s="1">
        <v>45271</v>
      </c>
      <c r="H597" s="1"/>
      <c r="I597" t="s">
        <v>1737</v>
      </c>
      <c r="J597" t="s">
        <v>29</v>
      </c>
      <c r="K597" t="s">
        <v>29</v>
      </c>
      <c r="M597">
        <v>100</v>
      </c>
      <c r="N597" s="1">
        <v>45271</v>
      </c>
      <c r="O597" s="12"/>
    </row>
    <row r="598" spans="1:15" x14ac:dyDescent="0.25">
      <c r="A598" t="s">
        <v>6166</v>
      </c>
      <c r="B598" t="s">
        <v>704</v>
      </c>
      <c r="C598" t="s">
        <v>4737</v>
      </c>
      <c r="D598" t="s">
        <v>5077</v>
      </c>
      <c r="E598" t="s">
        <v>4738</v>
      </c>
      <c r="F598" t="s">
        <v>555</v>
      </c>
      <c r="G598" s="1">
        <v>45271</v>
      </c>
      <c r="H598" s="1"/>
      <c r="I598" t="s">
        <v>1737</v>
      </c>
      <c r="J598" t="s">
        <v>29</v>
      </c>
      <c r="K598" t="s">
        <v>29</v>
      </c>
      <c r="M598">
        <v>100</v>
      </c>
      <c r="N598" s="1">
        <v>45271</v>
      </c>
      <c r="O598" s="12"/>
    </row>
    <row r="599" spans="1:15" x14ac:dyDescent="0.25">
      <c r="A599" t="s">
        <v>6167</v>
      </c>
      <c r="B599" t="s">
        <v>3744</v>
      </c>
      <c r="C599" t="s">
        <v>43</v>
      </c>
      <c r="D599" t="s">
        <v>3380</v>
      </c>
      <c r="E599" t="s">
        <v>6168</v>
      </c>
      <c r="F599" t="s">
        <v>5885</v>
      </c>
      <c r="G599" s="1">
        <v>45264</v>
      </c>
      <c r="H599" s="1"/>
      <c r="I599" t="s">
        <v>1737</v>
      </c>
      <c r="J599" t="s">
        <v>29</v>
      </c>
      <c r="M599">
        <v>100</v>
      </c>
      <c r="N599" s="1">
        <v>45295</v>
      </c>
      <c r="O599" s="12"/>
    </row>
    <row r="600" spans="1:15" x14ac:dyDescent="0.25">
      <c r="A600" t="s">
        <v>6169</v>
      </c>
      <c r="B600" t="s">
        <v>704</v>
      </c>
      <c r="C600" t="s">
        <v>5817</v>
      </c>
      <c r="D600" t="s">
        <v>225</v>
      </c>
      <c r="E600" t="s">
        <v>6170</v>
      </c>
      <c r="F600" t="s">
        <v>6019</v>
      </c>
      <c r="G600" s="1">
        <v>45273</v>
      </c>
      <c r="H600" s="1"/>
      <c r="I600" t="s">
        <v>1737</v>
      </c>
      <c r="J600" t="s">
        <v>29</v>
      </c>
      <c r="K600" t="s">
        <v>29</v>
      </c>
      <c r="M600">
        <v>100</v>
      </c>
      <c r="N600" s="1">
        <v>45288</v>
      </c>
      <c r="O600" s="12"/>
    </row>
    <row r="601" spans="1:15" x14ac:dyDescent="0.25">
      <c r="A601" t="s">
        <v>6171</v>
      </c>
      <c r="B601" t="s">
        <v>325</v>
      </c>
      <c r="C601" t="s">
        <v>848</v>
      </c>
      <c r="D601" t="s">
        <v>6172</v>
      </c>
      <c r="E601" t="s">
        <v>6173</v>
      </c>
      <c r="F601" t="s">
        <v>5885</v>
      </c>
      <c r="G601" s="1">
        <v>45273</v>
      </c>
      <c r="H601" s="1"/>
      <c r="I601" t="s">
        <v>1737</v>
      </c>
      <c r="J601" t="s">
        <v>29</v>
      </c>
      <c r="M601">
        <v>100</v>
      </c>
      <c r="N601" s="1">
        <v>45273</v>
      </c>
      <c r="O601" s="12"/>
    </row>
    <row r="602" spans="1:15" x14ac:dyDescent="0.25">
      <c r="A602" t="s">
        <v>6174</v>
      </c>
      <c r="B602" t="s">
        <v>6175</v>
      </c>
      <c r="C602" t="s">
        <v>6176</v>
      </c>
      <c r="D602" t="s">
        <v>6177</v>
      </c>
      <c r="E602" t="s">
        <v>6178</v>
      </c>
      <c r="F602" t="s">
        <v>5885</v>
      </c>
      <c r="G602" s="1">
        <v>45273</v>
      </c>
      <c r="H602" s="1"/>
      <c r="I602" t="s">
        <v>1737</v>
      </c>
      <c r="J602" t="s">
        <v>29</v>
      </c>
      <c r="K602" t="s">
        <v>29</v>
      </c>
      <c r="M602">
        <v>100</v>
      </c>
      <c r="N602" s="1">
        <v>45273</v>
      </c>
      <c r="O602" s="12"/>
    </row>
    <row r="603" spans="1:15" x14ac:dyDescent="0.25">
      <c r="A603" t="s">
        <v>6179</v>
      </c>
      <c r="B603" t="s">
        <v>704</v>
      </c>
      <c r="C603" t="s">
        <v>32</v>
      </c>
      <c r="D603" t="s">
        <v>5156</v>
      </c>
      <c r="E603" t="s">
        <v>5110</v>
      </c>
      <c r="F603" t="s">
        <v>5988</v>
      </c>
      <c r="G603" s="1">
        <v>45274</v>
      </c>
      <c r="H603" s="1"/>
      <c r="I603" t="s">
        <v>1737</v>
      </c>
      <c r="J603" t="s">
        <v>29</v>
      </c>
      <c r="K603" t="s">
        <v>29</v>
      </c>
      <c r="M603">
        <v>100</v>
      </c>
      <c r="N603" s="1">
        <v>45279</v>
      </c>
      <c r="O603" s="12"/>
    </row>
    <row r="604" spans="1:15" x14ac:dyDescent="0.25">
      <c r="A604" t="s">
        <v>6180</v>
      </c>
      <c r="B604" t="s">
        <v>704</v>
      </c>
      <c r="C604" t="s">
        <v>5007</v>
      </c>
      <c r="D604" t="s">
        <v>5071</v>
      </c>
      <c r="E604" t="s">
        <v>6181</v>
      </c>
      <c r="F604" t="s">
        <v>5413</v>
      </c>
      <c r="G604" s="1">
        <v>45275</v>
      </c>
      <c r="H604" s="1"/>
      <c r="I604" t="s">
        <v>1737</v>
      </c>
      <c r="J604" t="s">
        <v>29</v>
      </c>
      <c r="K604" t="s">
        <v>29</v>
      </c>
      <c r="M604">
        <v>100</v>
      </c>
      <c r="N604" s="1">
        <v>45324</v>
      </c>
      <c r="O604" s="29">
        <v>45331</v>
      </c>
    </row>
    <row r="605" spans="1:15" x14ac:dyDescent="0.25">
      <c r="A605" t="s">
        <v>6182</v>
      </c>
      <c r="B605" t="s">
        <v>704</v>
      </c>
      <c r="C605" t="s">
        <v>243</v>
      </c>
      <c r="D605" t="s">
        <v>244</v>
      </c>
      <c r="E605" t="s">
        <v>6183</v>
      </c>
      <c r="F605" t="s">
        <v>6184</v>
      </c>
      <c r="G605" s="1">
        <v>45275</v>
      </c>
      <c r="H605" s="1"/>
      <c r="I605" t="s">
        <v>1737</v>
      </c>
      <c r="J605" t="s">
        <v>29</v>
      </c>
      <c r="K605" t="s">
        <v>29</v>
      </c>
      <c r="M605">
        <v>100</v>
      </c>
      <c r="N605" s="1">
        <v>45322</v>
      </c>
      <c r="O605" s="12" t="s">
        <v>6185</v>
      </c>
    </row>
    <row r="606" spans="1:15" x14ac:dyDescent="0.25">
      <c r="A606" t="s">
        <v>6186</v>
      </c>
      <c r="B606" t="s">
        <v>325</v>
      </c>
      <c r="C606" t="s">
        <v>6187</v>
      </c>
      <c r="D606" t="s">
        <v>6188</v>
      </c>
      <c r="E606" t="s">
        <v>6189</v>
      </c>
      <c r="G606" s="1">
        <v>45275</v>
      </c>
      <c r="H606" s="1"/>
      <c r="I606" t="s">
        <v>1737</v>
      </c>
      <c r="J606" t="s">
        <v>29</v>
      </c>
      <c r="M606">
        <v>100</v>
      </c>
      <c r="N606" s="1">
        <v>44930</v>
      </c>
      <c r="O606" s="12"/>
    </row>
    <row r="607" spans="1:15" x14ac:dyDescent="0.25">
      <c r="A607" t="s">
        <v>6190</v>
      </c>
      <c r="B607" t="s">
        <v>704</v>
      </c>
      <c r="C607" t="s">
        <v>32</v>
      </c>
      <c r="D607" t="s">
        <v>5221</v>
      </c>
      <c r="E607" t="s">
        <v>6191</v>
      </c>
      <c r="F607" t="s">
        <v>6192</v>
      </c>
      <c r="G607" s="1">
        <v>45278</v>
      </c>
      <c r="H607" s="1"/>
      <c r="I607" t="s">
        <v>1737</v>
      </c>
      <c r="J607" t="s">
        <v>29</v>
      </c>
      <c r="K607" t="s">
        <v>29</v>
      </c>
      <c r="M607">
        <v>100</v>
      </c>
      <c r="N607" s="1">
        <v>45280</v>
      </c>
      <c r="O607" s="12"/>
    </row>
    <row r="608" spans="1:15" x14ac:dyDescent="0.25">
      <c r="A608" t="s">
        <v>6193</v>
      </c>
      <c r="B608" t="s">
        <v>704</v>
      </c>
      <c r="C608" t="s">
        <v>5817</v>
      </c>
      <c r="D608" t="s">
        <v>225</v>
      </c>
      <c r="E608" t="s">
        <v>6194</v>
      </c>
      <c r="F608" t="s">
        <v>555</v>
      </c>
      <c r="G608" s="1">
        <v>45279</v>
      </c>
      <c r="H608" s="1"/>
      <c r="I608" t="s">
        <v>1737</v>
      </c>
      <c r="J608" t="s">
        <v>29</v>
      </c>
      <c r="K608" t="s">
        <v>29</v>
      </c>
      <c r="M608">
        <v>100</v>
      </c>
      <c r="N608" s="1">
        <v>45294</v>
      </c>
      <c r="O608" s="29">
        <v>45654</v>
      </c>
    </row>
    <row r="609" spans="1:15" x14ac:dyDescent="0.25">
      <c r="A609" t="s">
        <v>6195</v>
      </c>
      <c r="B609" t="s">
        <v>704</v>
      </c>
      <c r="C609" t="s">
        <v>32</v>
      </c>
      <c r="D609" t="s">
        <v>475</v>
      </c>
      <c r="E609" t="s">
        <v>6196</v>
      </c>
      <c r="F609" t="s">
        <v>5504</v>
      </c>
      <c r="G609" s="1">
        <v>45279</v>
      </c>
      <c r="H609" s="1"/>
      <c r="I609" t="s">
        <v>1737</v>
      </c>
      <c r="J609" t="s">
        <v>29</v>
      </c>
      <c r="K609" t="s">
        <v>29</v>
      </c>
      <c r="M609">
        <v>100</v>
      </c>
      <c r="N609" s="1">
        <v>45288</v>
      </c>
      <c r="O609" s="12" t="s">
        <v>6197</v>
      </c>
    </row>
    <row r="610" spans="1:15" x14ac:dyDescent="0.25">
      <c r="A610" t="s">
        <v>6198</v>
      </c>
      <c r="B610" t="s">
        <v>704</v>
      </c>
      <c r="C610" t="s">
        <v>670</v>
      </c>
      <c r="D610" t="s">
        <v>671</v>
      </c>
      <c r="E610" t="s">
        <v>6199</v>
      </c>
      <c r="F610" t="s">
        <v>5454</v>
      </c>
      <c r="G610" s="1">
        <v>45280</v>
      </c>
      <c r="H610" s="1"/>
      <c r="I610" t="s">
        <v>1737</v>
      </c>
      <c r="J610" t="s">
        <v>29</v>
      </c>
      <c r="K610" t="s">
        <v>29</v>
      </c>
      <c r="M610">
        <v>100</v>
      </c>
      <c r="N610" s="1">
        <v>45288</v>
      </c>
      <c r="O610" s="12" t="s">
        <v>6200</v>
      </c>
    </row>
    <row r="611" spans="1:15" x14ac:dyDescent="0.25">
      <c r="A611" t="s">
        <v>6201</v>
      </c>
      <c r="B611" t="s">
        <v>24</v>
      </c>
      <c r="C611" t="s">
        <v>43</v>
      </c>
      <c r="D611" t="s">
        <v>5089</v>
      </c>
      <c r="E611" t="s">
        <v>6202</v>
      </c>
      <c r="F611" t="s">
        <v>6203</v>
      </c>
      <c r="G611" s="1">
        <v>45280</v>
      </c>
      <c r="H611" s="1"/>
      <c r="I611" t="s">
        <v>1737</v>
      </c>
      <c r="J611" t="s">
        <v>29</v>
      </c>
      <c r="M611">
        <v>100</v>
      </c>
      <c r="N611" s="1">
        <v>45286</v>
      </c>
      <c r="O611" s="12"/>
    </row>
    <row r="612" spans="1:15" x14ac:dyDescent="0.25">
      <c r="A612" t="s">
        <v>6204</v>
      </c>
      <c r="B612" t="s">
        <v>13</v>
      </c>
      <c r="C612" t="s">
        <v>159</v>
      </c>
      <c r="D612" t="s">
        <v>6205</v>
      </c>
      <c r="E612" t="s">
        <v>6206</v>
      </c>
      <c r="F612" t="s">
        <v>5885</v>
      </c>
      <c r="G612" s="1">
        <v>45275</v>
      </c>
      <c r="H612" s="1"/>
      <c r="I612" t="s">
        <v>1737</v>
      </c>
      <c r="J612" t="s">
        <v>29</v>
      </c>
      <c r="K612" t="s">
        <v>29</v>
      </c>
      <c r="M612">
        <v>100</v>
      </c>
      <c r="N612" s="1">
        <v>45295</v>
      </c>
      <c r="O612" s="12"/>
    </row>
    <row r="613" spans="1:15" x14ac:dyDescent="0.25">
      <c r="A613" t="s">
        <v>6207</v>
      </c>
      <c r="B613" t="s">
        <v>704</v>
      </c>
      <c r="C613" t="s">
        <v>32</v>
      </c>
      <c r="D613" t="s">
        <v>5221</v>
      </c>
      <c r="E613" t="s">
        <v>6208</v>
      </c>
      <c r="F613" t="s">
        <v>6192</v>
      </c>
      <c r="G613" s="1">
        <v>45280</v>
      </c>
      <c r="H613" s="1"/>
      <c r="I613" t="s">
        <v>1737</v>
      </c>
      <c r="J613" t="s">
        <v>29</v>
      </c>
      <c r="K613" t="s">
        <v>29</v>
      </c>
      <c r="M613">
        <v>100</v>
      </c>
      <c r="N613" s="1">
        <v>45288</v>
      </c>
      <c r="O613" s="30" t="s">
        <v>6209</v>
      </c>
    </row>
    <row r="614" spans="1:15" x14ac:dyDescent="0.25">
      <c r="A614" t="s">
        <v>6210</v>
      </c>
      <c r="B614" t="s">
        <v>704</v>
      </c>
      <c r="C614" t="s">
        <v>5817</v>
      </c>
      <c r="D614" t="s">
        <v>225</v>
      </c>
      <c r="E614" t="s">
        <v>6211</v>
      </c>
      <c r="F614" t="s">
        <v>555</v>
      </c>
      <c r="G614" s="1">
        <v>45280</v>
      </c>
      <c r="H614" s="1"/>
      <c r="I614" t="s">
        <v>1737</v>
      </c>
      <c r="J614" t="s">
        <v>29</v>
      </c>
      <c r="K614" t="s">
        <v>29</v>
      </c>
      <c r="M614">
        <v>100</v>
      </c>
      <c r="N614" s="1">
        <v>45317</v>
      </c>
      <c r="O614" s="12" t="s">
        <v>6212</v>
      </c>
    </row>
    <row r="615" spans="1:15" x14ac:dyDescent="0.25">
      <c r="A615" t="s">
        <v>6213</v>
      </c>
      <c r="B615" t="s">
        <v>704</v>
      </c>
      <c r="C615" t="s">
        <v>6214</v>
      </c>
      <c r="D615" t="s">
        <v>6215</v>
      </c>
      <c r="E615" t="s">
        <v>5567</v>
      </c>
      <c r="F615" t="s">
        <v>5413</v>
      </c>
      <c r="G615" s="1">
        <v>45280</v>
      </c>
      <c r="H615" s="1"/>
      <c r="I615" t="s">
        <v>1737</v>
      </c>
      <c r="J615" t="s">
        <v>29</v>
      </c>
      <c r="K615" t="s">
        <v>29</v>
      </c>
      <c r="M615">
        <v>100</v>
      </c>
      <c r="N615" s="1">
        <v>45317</v>
      </c>
      <c r="O615" s="29">
        <v>45327</v>
      </c>
    </row>
    <row r="616" spans="1:15" x14ac:dyDescent="0.25">
      <c r="A616" t="s">
        <v>6216</v>
      </c>
      <c r="B616" t="s">
        <v>704</v>
      </c>
      <c r="C616" t="s">
        <v>5791</v>
      </c>
      <c r="D616" t="s">
        <v>5792</v>
      </c>
      <c r="E616" t="s">
        <v>6217</v>
      </c>
      <c r="F616" t="s">
        <v>6218</v>
      </c>
      <c r="G616" s="1">
        <v>45280</v>
      </c>
      <c r="H616" s="1"/>
      <c r="I616" t="s">
        <v>1737</v>
      </c>
      <c r="J616" t="s">
        <v>29</v>
      </c>
      <c r="K616" t="s">
        <v>29</v>
      </c>
      <c r="M616">
        <v>100</v>
      </c>
      <c r="N616" s="1">
        <v>45287</v>
      </c>
      <c r="O616" s="12" t="s">
        <v>6219</v>
      </c>
    </row>
    <row r="617" spans="1:15" x14ac:dyDescent="0.25">
      <c r="A617" t="s">
        <v>6220</v>
      </c>
      <c r="B617" t="s">
        <v>325</v>
      </c>
      <c r="C617" t="s">
        <v>6221</v>
      </c>
      <c r="E617" t="s">
        <v>6222</v>
      </c>
      <c r="F617" t="s">
        <v>6223</v>
      </c>
      <c r="G617" s="1">
        <v>45286</v>
      </c>
      <c r="H617" s="1"/>
      <c r="I617" t="s">
        <v>2762</v>
      </c>
      <c r="J617" t="s">
        <v>29</v>
      </c>
      <c r="M617" t="s">
        <v>6224</v>
      </c>
      <c r="O617" s="12"/>
    </row>
    <row r="618" spans="1:15" x14ac:dyDescent="0.25">
      <c r="A618" t="s">
        <v>6225</v>
      </c>
      <c r="B618" t="s">
        <v>704</v>
      </c>
      <c r="C618" t="s">
        <v>670</v>
      </c>
      <c r="D618" t="s">
        <v>671</v>
      </c>
      <c r="E618" t="s">
        <v>6181</v>
      </c>
      <c r="F618" t="s">
        <v>5413</v>
      </c>
      <c r="G618" s="1">
        <v>45287</v>
      </c>
      <c r="H618" s="1"/>
      <c r="I618" t="s">
        <v>1737</v>
      </c>
      <c r="J618" t="s">
        <v>29</v>
      </c>
      <c r="K618" t="s">
        <v>29</v>
      </c>
      <c r="M618">
        <v>100</v>
      </c>
      <c r="N618" s="1">
        <v>45322</v>
      </c>
      <c r="O618" s="12"/>
    </row>
    <row r="619" spans="1:15" x14ac:dyDescent="0.25">
      <c r="A619" t="s">
        <v>6226</v>
      </c>
      <c r="B619" t="s">
        <v>704</v>
      </c>
      <c r="C619" t="s">
        <v>32</v>
      </c>
      <c r="D619" t="s">
        <v>5156</v>
      </c>
      <c r="E619" t="s">
        <v>6227</v>
      </c>
      <c r="F619" t="s">
        <v>5504</v>
      </c>
      <c r="G619" s="1">
        <v>45289</v>
      </c>
      <c r="H619" s="1"/>
      <c r="I619" t="s">
        <v>1737</v>
      </c>
      <c r="J619" t="s">
        <v>29</v>
      </c>
      <c r="K619" t="s">
        <v>29</v>
      </c>
      <c r="M619">
        <v>100</v>
      </c>
      <c r="N619" s="1">
        <v>45322</v>
      </c>
      <c r="O619" s="29">
        <v>45310</v>
      </c>
    </row>
    <row r="620" spans="1:15" x14ac:dyDescent="0.25">
      <c r="A620" t="s">
        <v>6228</v>
      </c>
      <c r="B620" t="s">
        <v>704</v>
      </c>
      <c r="C620" t="s">
        <v>32</v>
      </c>
      <c r="D620" t="s">
        <v>5156</v>
      </c>
      <c r="E620" t="s">
        <v>6229</v>
      </c>
      <c r="F620" t="s">
        <v>6230</v>
      </c>
      <c r="G620" s="1">
        <v>45301</v>
      </c>
      <c r="H620" s="1"/>
      <c r="I620" t="s">
        <v>1737</v>
      </c>
      <c r="J620" t="s">
        <v>29</v>
      </c>
      <c r="K620" t="s">
        <v>29</v>
      </c>
      <c r="M620">
        <v>100</v>
      </c>
      <c r="N620" s="1">
        <v>45394</v>
      </c>
      <c r="O620" s="29">
        <v>45394</v>
      </c>
    </row>
    <row r="621" spans="1:15" x14ac:dyDescent="0.25">
      <c r="A621" t="s">
        <v>6231</v>
      </c>
      <c r="B621" t="s">
        <v>6232</v>
      </c>
      <c r="C621" t="s">
        <v>3967</v>
      </c>
      <c r="D621" t="s">
        <v>511</v>
      </c>
      <c r="E621" t="s">
        <v>6233</v>
      </c>
      <c r="F621" t="s">
        <v>5885</v>
      </c>
      <c r="G621" s="1">
        <v>45287</v>
      </c>
      <c r="H621" s="1"/>
      <c r="I621" t="s">
        <v>1737</v>
      </c>
      <c r="J621" t="s">
        <v>29</v>
      </c>
      <c r="M621">
        <v>100</v>
      </c>
      <c r="N621" s="1">
        <v>44937</v>
      </c>
      <c r="O621" s="12"/>
    </row>
    <row r="622" spans="1:15" x14ac:dyDescent="0.25">
      <c r="A622" t="s">
        <v>6234</v>
      </c>
      <c r="B622" t="s">
        <v>621</v>
      </c>
      <c r="C622" t="s">
        <v>3967</v>
      </c>
      <c r="D622" t="s">
        <v>511</v>
      </c>
      <c r="E622" t="s">
        <v>6235</v>
      </c>
      <c r="F622" t="s">
        <v>5885</v>
      </c>
      <c r="G622" s="1">
        <v>45293</v>
      </c>
      <c r="H622" s="1"/>
      <c r="I622" t="s">
        <v>1737</v>
      </c>
      <c r="J622" t="s">
        <v>29</v>
      </c>
      <c r="M622">
        <v>100</v>
      </c>
      <c r="N622" s="1">
        <v>45302</v>
      </c>
      <c r="O622" s="12"/>
    </row>
    <row r="623" spans="1:15" x14ac:dyDescent="0.25">
      <c r="A623" t="s">
        <v>6236</v>
      </c>
      <c r="B623" t="s">
        <v>704</v>
      </c>
      <c r="C623" t="s">
        <v>4698</v>
      </c>
      <c r="D623" t="s">
        <v>5478</v>
      </c>
      <c r="E623" t="s">
        <v>6237</v>
      </c>
      <c r="F623" t="s">
        <v>5413</v>
      </c>
      <c r="G623" s="1">
        <v>45300</v>
      </c>
      <c r="H623" s="1"/>
      <c r="I623" t="s">
        <v>1737</v>
      </c>
      <c r="J623" t="s">
        <v>29</v>
      </c>
      <c r="K623" t="s">
        <v>29</v>
      </c>
      <c r="M623">
        <v>100</v>
      </c>
      <c r="N623" s="1">
        <v>45302</v>
      </c>
      <c r="O623" s="12"/>
    </row>
    <row r="624" spans="1:15" x14ac:dyDescent="0.25">
      <c r="A624" t="s">
        <v>6238</v>
      </c>
      <c r="B624" t="s">
        <v>325</v>
      </c>
      <c r="C624" t="s">
        <v>32</v>
      </c>
      <c r="D624" t="s">
        <v>5156</v>
      </c>
      <c r="E624" t="s">
        <v>6239</v>
      </c>
      <c r="F624" t="s">
        <v>6240</v>
      </c>
      <c r="G624" s="1">
        <v>44930</v>
      </c>
      <c r="H624" s="1"/>
      <c r="I624" t="s">
        <v>1737</v>
      </c>
      <c r="J624" t="s">
        <v>29</v>
      </c>
      <c r="K624" t="s">
        <v>29</v>
      </c>
      <c r="M624">
        <v>100</v>
      </c>
      <c r="N624" s="1">
        <v>45296</v>
      </c>
      <c r="O624" s="12"/>
    </row>
    <row r="625" spans="1:15" x14ac:dyDescent="0.25">
      <c r="A625" t="s">
        <v>6241</v>
      </c>
      <c r="B625" t="s">
        <v>704</v>
      </c>
      <c r="C625" t="s">
        <v>32</v>
      </c>
      <c r="D625" t="s">
        <v>5156</v>
      </c>
      <c r="E625" t="s">
        <v>6239</v>
      </c>
      <c r="F625" t="s">
        <v>6240</v>
      </c>
      <c r="G625" s="1">
        <v>44937</v>
      </c>
      <c r="H625" s="1"/>
      <c r="I625" t="s">
        <v>1737</v>
      </c>
      <c r="J625" t="s">
        <v>29</v>
      </c>
      <c r="K625" t="s">
        <v>29</v>
      </c>
      <c r="M625">
        <v>100</v>
      </c>
      <c r="N625" s="1">
        <v>45306</v>
      </c>
      <c r="O625" s="12"/>
    </row>
    <row r="626" spans="1:15" x14ac:dyDescent="0.25">
      <c r="A626" t="s">
        <v>6242</v>
      </c>
      <c r="B626" t="s">
        <v>704</v>
      </c>
      <c r="C626" t="s">
        <v>6243</v>
      </c>
      <c r="D626" t="s">
        <v>6244</v>
      </c>
      <c r="E626" t="s">
        <v>6245</v>
      </c>
      <c r="F626" t="s">
        <v>5885</v>
      </c>
      <c r="G626" s="1">
        <v>44930</v>
      </c>
      <c r="H626" s="1"/>
      <c r="I626" t="s">
        <v>1737</v>
      </c>
      <c r="J626" t="s">
        <v>29</v>
      </c>
      <c r="M626">
        <v>100</v>
      </c>
      <c r="N626" s="1">
        <v>45296</v>
      </c>
      <c r="O626" s="12"/>
    </row>
    <row r="627" spans="1:15" x14ac:dyDescent="0.25">
      <c r="A627" t="s">
        <v>6246</v>
      </c>
      <c r="B627" t="s">
        <v>704</v>
      </c>
      <c r="C627" t="s">
        <v>243</v>
      </c>
      <c r="D627" t="s">
        <v>6247</v>
      </c>
      <c r="E627" t="s">
        <v>6248</v>
      </c>
      <c r="F627" t="s">
        <v>5744</v>
      </c>
      <c r="G627" s="1">
        <v>45300</v>
      </c>
      <c r="H627" s="1"/>
      <c r="I627" t="s">
        <v>1737</v>
      </c>
      <c r="J627" t="s">
        <v>29</v>
      </c>
      <c r="K627" t="s">
        <v>29</v>
      </c>
      <c r="M627">
        <v>100</v>
      </c>
      <c r="N627" s="1">
        <v>45320</v>
      </c>
      <c r="O627" s="12"/>
    </row>
    <row r="628" spans="1:15" x14ac:dyDescent="0.25">
      <c r="A628" t="s">
        <v>6249</v>
      </c>
      <c r="B628" t="s">
        <v>704</v>
      </c>
      <c r="C628" t="s">
        <v>32</v>
      </c>
      <c r="D628" t="s">
        <v>5156</v>
      </c>
      <c r="E628" t="s">
        <v>6250</v>
      </c>
      <c r="F628" t="s">
        <v>5413</v>
      </c>
      <c r="G628" s="1">
        <v>45300</v>
      </c>
      <c r="H628" s="1"/>
      <c r="I628" t="s">
        <v>1737</v>
      </c>
      <c r="J628" t="s">
        <v>29</v>
      </c>
      <c r="K628" t="s">
        <v>29</v>
      </c>
      <c r="M628">
        <v>100</v>
      </c>
      <c r="N628" s="1">
        <v>45310</v>
      </c>
      <c r="O628" s="12"/>
    </row>
    <row r="629" spans="1:15" x14ac:dyDescent="0.25">
      <c r="A629" t="s">
        <v>6251</v>
      </c>
      <c r="B629" t="s">
        <v>704</v>
      </c>
      <c r="C629" t="s">
        <v>677</v>
      </c>
      <c r="D629" t="s">
        <v>678</v>
      </c>
      <c r="E629" t="s">
        <v>5908</v>
      </c>
      <c r="F629" t="s">
        <v>555</v>
      </c>
      <c r="G629" s="1">
        <v>45300</v>
      </c>
      <c r="H629" s="1"/>
      <c r="I629" t="s">
        <v>1737</v>
      </c>
      <c r="J629" t="s">
        <v>29</v>
      </c>
      <c r="K629" t="s">
        <v>29</v>
      </c>
      <c r="M629">
        <v>100</v>
      </c>
      <c r="N629" s="1">
        <v>45328</v>
      </c>
      <c r="O629" s="29">
        <v>45306</v>
      </c>
    </row>
    <row r="630" spans="1:15" x14ac:dyDescent="0.25">
      <c r="A630" t="s">
        <v>6252</v>
      </c>
      <c r="B630" t="s">
        <v>3744</v>
      </c>
      <c r="C630" t="s">
        <v>578</v>
      </c>
      <c r="D630" t="s">
        <v>284</v>
      </c>
      <c r="E630" t="s">
        <v>6253</v>
      </c>
      <c r="F630" t="s">
        <v>5885</v>
      </c>
      <c r="G630" s="1">
        <v>45300</v>
      </c>
      <c r="H630" s="1"/>
      <c r="I630" t="s">
        <v>1737</v>
      </c>
      <c r="J630" t="s">
        <v>29</v>
      </c>
      <c r="K630" t="s">
        <v>29</v>
      </c>
      <c r="M630">
        <v>100</v>
      </c>
      <c r="N630" s="1">
        <v>45324</v>
      </c>
      <c r="O630" s="12"/>
    </row>
    <row r="631" spans="1:15" x14ac:dyDescent="0.25">
      <c r="A631" t="s">
        <v>6254</v>
      </c>
      <c r="B631" t="s">
        <v>704</v>
      </c>
      <c r="C631" t="s">
        <v>670</v>
      </c>
      <c r="D631" t="s">
        <v>5102</v>
      </c>
      <c r="E631" t="s">
        <v>5908</v>
      </c>
      <c r="F631" t="s">
        <v>555</v>
      </c>
      <c r="G631" s="1">
        <v>45302</v>
      </c>
      <c r="H631" s="1"/>
      <c r="I631" t="s">
        <v>1737</v>
      </c>
      <c r="J631" t="s">
        <v>29</v>
      </c>
      <c r="K631" t="s">
        <v>29</v>
      </c>
      <c r="M631">
        <v>100</v>
      </c>
      <c r="N631" s="1">
        <v>45308</v>
      </c>
      <c r="O631" s="12"/>
    </row>
    <row r="632" spans="1:15" x14ac:dyDescent="0.25">
      <c r="A632" t="s">
        <v>6255</v>
      </c>
      <c r="B632" t="s">
        <v>704</v>
      </c>
      <c r="C632" t="s">
        <v>611</v>
      </c>
      <c r="D632" t="s">
        <v>5425</v>
      </c>
      <c r="E632" t="s">
        <v>6256</v>
      </c>
      <c r="F632" t="s">
        <v>6230</v>
      </c>
      <c r="G632" s="1">
        <v>45303</v>
      </c>
      <c r="H632" s="1"/>
      <c r="I632" t="s">
        <v>1737</v>
      </c>
      <c r="J632" t="s">
        <v>29</v>
      </c>
      <c r="K632" t="s">
        <v>29</v>
      </c>
      <c r="M632">
        <v>100</v>
      </c>
      <c r="N632" s="1">
        <v>45449</v>
      </c>
      <c r="O632" s="29" t="s">
        <v>6257</v>
      </c>
    </row>
    <row r="633" spans="1:15" x14ac:dyDescent="0.25">
      <c r="A633" t="s">
        <v>6258</v>
      </c>
      <c r="B633" t="s">
        <v>704</v>
      </c>
      <c r="C633" t="s">
        <v>670</v>
      </c>
      <c r="D633" t="s">
        <v>671</v>
      </c>
      <c r="E633" t="s">
        <v>6259</v>
      </c>
      <c r="F633" t="s">
        <v>5413</v>
      </c>
      <c r="G633" s="1">
        <v>45307</v>
      </c>
      <c r="H633" s="1"/>
      <c r="I633" t="s">
        <v>1737</v>
      </c>
      <c r="J633" t="s">
        <v>29</v>
      </c>
      <c r="K633" t="s">
        <v>29</v>
      </c>
      <c r="M633">
        <v>100</v>
      </c>
      <c r="N633" s="1">
        <v>45316</v>
      </c>
      <c r="O633" s="12"/>
    </row>
    <row r="634" spans="1:15" x14ac:dyDescent="0.25">
      <c r="A634" t="s">
        <v>6260</v>
      </c>
      <c r="B634" t="s">
        <v>704</v>
      </c>
      <c r="C634" t="s">
        <v>32</v>
      </c>
      <c r="D634" t="s">
        <v>5156</v>
      </c>
      <c r="E634" t="s">
        <v>6261</v>
      </c>
      <c r="F634" t="s">
        <v>6109</v>
      </c>
      <c r="G634" s="1">
        <v>45307</v>
      </c>
      <c r="H634" s="1"/>
      <c r="I634" t="s">
        <v>1737</v>
      </c>
      <c r="J634" t="s">
        <v>29</v>
      </c>
      <c r="K634" t="s">
        <v>29</v>
      </c>
      <c r="M634">
        <v>100</v>
      </c>
      <c r="N634" s="1">
        <v>45316</v>
      </c>
      <c r="O634" s="12"/>
    </row>
    <row r="635" spans="1:15" x14ac:dyDescent="0.25">
      <c r="A635" t="s">
        <v>6262</v>
      </c>
      <c r="B635" t="s">
        <v>704</v>
      </c>
      <c r="C635" t="s">
        <v>4698</v>
      </c>
      <c r="D635" t="s">
        <v>5478</v>
      </c>
      <c r="E635" t="s">
        <v>6263</v>
      </c>
      <c r="F635" t="s">
        <v>5413</v>
      </c>
      <c r="G635" s="1">
        <v>45308</v>
      </c>
      <c r="H635" s="1"/>
      <c r="I635" t="s">
        <v>1737</v>
      </c>
      <c r="J635" t="s">
        <v>29</v>
      </c>
      <c r="K635" t="s">
        <v>29</v>
      </c>
      <c r="M635">
        <v>100</v>
      </c>
      <c r="N635" s="1">
        <v>45314</v>
      </c>
      <c r="O635" s="12"/>
    </row>
    <row r="636" spans="1:15" x14ac:dyDescent="0.25">
      <c r="A636" t="s">
        <v>6264</v>
      </c>
      <c r="B636" t="s">
        <v>704</v>
      </c>
      <c r="C636" t="s">
        <v>5517</v>
      </c>
      <c r="D636" t="s">
        <v>6047</v>
      </c>
      <c r="E636" t="s">
        <v>6265</v>
      </c>
      <c r="F636" t="s">
        <v>3148</v>
      </c>
      <c r="G636" s="1">
        <v>45308</v>
      </c>
      <c r="H636" s="1"/>
      <c r="I636" t="s">
        <v>1737</v>
      </c>
      <c r="J636" t="s">
        <v>29</v>
      </c>
      <c r="K636" t="s">
        <v>29</v>
      </c>
      <c r="M636">
        <v>100</v>
      </c>
      <c r="N636" s="1">
        <v>45372</v>
      </c>
      <c r="O636" s="29">
        <v>45345</v>
      </c>
    </row>
    <row r="637" spans="1:15" x14ac:dyDescent="0.25">
      <c r="A637" t="s">
        <v>6266</v>
      </c>
      <c r="B637" t="s">
        <v>704</v>
      </c>
      <c r="C637" t="s">
        <v>5817</v>
      </c>
      <c r="D637" t="s">
        <v>225</v>
      </c>
      <c r="E637" t="s">
        <v>6267</v>
      </c>
      <c r="F637" t="s">
        <v>555</v>
      </c>
      <c r="G637" s="1">
        <v>45308</v>
      </c>
      <c r="H637" s="1"/>
      <c r="I637" t="s">
        <v>1737</v>
      </c>
      <c r="J637" t="s">
        <v>29</v>
      </c>
      <c r="K637" t="s">
        <v>29</v>
      </c>
      <c r="M637">
        <v>100</v>
      </c>
      <c r="N637" s="1">
        <v>45329</v>
      </c>
      <c r="O637" s="29">
        <v>45330</v>
      </c>
    </row>
    <row r="638" spans="1:15" x14ac:dyDescent="0.25">
      <c r="A638" t="s">
        <v>6268</v>
      </c>
      <c r="B638" t="s">
        <v>704</v>
      </c>
      <c r="C638" t="s">
        <v>2352</v>
      </c>
      <c r="D638" t="s">
        <v>582</v>
      </c>
      <c r="E638" t="s">
        <v>6269</v>
      </c>
      <c r="F638" t="s">
        <v>6218</v>
      </c>
      <c r="G638" s="1">
        <v>45309</v>
      </c>
      <c r="H638" s="1"/>
      <c r="I638" t="s">
        <v>1737</v>
      </c>
      <c r="J638" t="s">
        <v>29</v>
      </c>
      <c r="K638" t="s">
        <v>29</v>
      </c>
      <c r="M638">
        <v>100</v>
      </c>
      <c r="N638" s="1">
        <v>45316</v>
      </c>
      <c r="O638" s="12"/>
    </row>
    <row r="639" spans="1:15" x14ac:dyDescent="0.25">
      <c r="A639" t="s">
        <v>6270</v>
      </c>
      <c r="B639" t="s">
        <v>704</v>
      </c>
      <c r="C639" t="s">
        <v>4737</v>
      </c>
      <c r="D639" t="s">
        <v>5380</v>
      </c>
      <c r="E639" t="s">
        <v>6271</v>
      </c>
      <c r="F639" t="s">
        <v>555</v>
      </c>
      <c r="G639" s="1">
        <v>45310</v>
      </c>
      <c r="H639" s="1"/>
      <c r="I639" t="s">
        <v>1737</v>
      </c>
      <c r="J639" t="s">
        <v>29</v>
      </c>
      <c r="K639" t="s">
        <v>29</v>
      </c>
      <c r="M639">
        <v>100</v>
      </c>
      <c r="N639" s="1">
        <v>45310</v>
      </c>
      <c r="O639" s="12"/>
    </row>
    <row r="640" spans="1:15" x14ac:dyDescent="0.25">
      <c r="A640" t="s">
        <v>6272</v>
      </c>
      <c r="B640" t="s">
        <v>704</v>
      </c>
      <c r="C640" t="s">
        <v>243</v>
      </c>
      <c r="D640" t="s">
        <v>244</v>
      </c>
      <c r="E640" t="s">
        <v>6273</v>
      </c>
      <c r="F640" t="s">
        <v>6019</v>
      </c>
      <c r="G640" s="1">
        <v>45313</v>
      </c>
      <c r="H640" s="1"/>
      <c r="I640" t="s">
        <v>1737</v>
      </c>
      <c r="J640" t="s">
        <v>29</v>
      </c>
      <c r="K640" t="s">
        <v>29</v>
      </c>
      <c r="M640">
        <v>100</v>
      </c>
      <c r="N640" s="1">
        <v>45314</v>
      </c>
      <c r="O640" s="12"/>
    </row>
    <row r="641" spans="1:15" x14ac:dyDescent="0.25">
      <c r="A641" t="s">
        <v>6274</v>
      </c>
      <c r="B641" t="s">
        <v>704</v>
      </c>
      <c r="C641" t="s">
        <v>243</v>
      </c>
      <c r="D641" t="s">
        <v>244</v>
      </c>
      <c r="E641" t="s">
        <v>6275</v>
      </c>
      <c r="F641" t="s">
        <v>659</v>
      </c>
      <c r="G641" s="1">
        <v>45314</v>
      </c>
      <c r="H641" s="1"/>
      <c r="I641" t="s">
        <v>1737</v>
      </c>
      <c r="J641" t="s">
        <v>29</v>
      </c>
      <c r="K641" t="s">
        <v>29</v>
      </c>
      <c r="M641">
        <v>100</v>
      </c>
      <c r="N641" s="1">
        <v>45385</v>
      </c>
      <c r="O641" s="12" t="s">
        <v>6276</v>
      </c>
    </row>
    <row r="642" spans="1:15" x14ac:dyDescent="0.25">
      <c r="A642" t="s">
        <v>6277</v>
      </c>
      <c r="B642" t="s">
        <v>704</v>
      </c>
      <c r="C642" t="s">
        <v>2352</v>
      </c>
      <c r="D642" t="s">
        <v>582</v>
      </c>
      <c r="E642" t="s">
        <v>6278</v>
      </c>
      <c r="F642" t="s">
        <v>6218</v>
      </c>
      <c r="G642" s="1">
        <v>45320</v>
      </c>
      <c r="H642" s="1"/>
      <c r="I642" t="s">
        <v>1737</v>
      </c>
      <c r="J642" t="s">
        <v>29</v>
      </c>
      <c r="K642" t="s">
        <v>29</v>
      </c>
      <c r="M642">
        <v>100</v>
      </c>
      <c r="N642" s="1">
        <v>45334</v>
      </c>
      <c r="O642" s="12"/>
    </row>
    <row r="643" spans="1:15" x14ac:dyDescent="0.25">
      <c r="A643" t="s">
        <v>6279</v>
      </c>
      <c r="B643" t="s">
        <v>704</v>
      </c>
      <c r="C643" t="s">
        <v>243</v>
      </c>
      <c r="D643" t="s">
        <v>6247</v>
      </c>
      <c r="E643" t="s">
        <v>6280</v>
      </c>
      <c r="F643" t="s">
        <v>3148</v>
      </c>
      <c r="G643" s="1">
        <v>45320</v>
      </c>
      <c r="H643" s="1"/>
      <c r="I643" t="s">
        <v>1737</v>
      </c>
      <c r="J643" t="s">
        <v>29</v>
      </c>
      <c r="K643" t="s">
        <v>29</v>
      </c>
      <c r="M643">
        <v>100</v>
      </c>
      <c r="N643" s="1">
        <v>45330</v>
      </c>
      <c r="O643" s="29">
        <v>45327</v>
      </c>
    </row>
    <row r="644" spans="1:15" x14ac:dyDescent="0.25">
      <c r="A644" t="s">
        <v>6281</v>
      </c>
      <c r="B644" t="s">
        <v>325</v>
      </c>
      <c r="C644" t="s">
        <v>6282</v>
      </c>
      <c r="D644" t="s">
        <v>6283</v>
      </c>
      <c r="E644" t="s">
        <v>6284</v>
      </c>
      <c r="F644" t="s">
        <v>5885</v>
      </c>
      <c r="G644" s="1">
        <v>45320</v>
      </c>
      <c r="H644" s="1"/>
      <c r="I644" t="s">
        <v>1737</v>
      </c>
      <c r="J644" t="s">
        <v>29</v>
      </c>
      <c r="K644" t="s">
        <v>18</v>
      </c>
      <c r="M644">
        <v>100</v>
      </c>
      <c r="N644" s="1">
        <v>45320</v>
      </c>
      <c r="O644" s="12"/>
    </row>
    <row r="645" spans="1:15" x14ac:dyDescent="0.25">
      <c r="A645" t="s">
        <v>6285</v>
      </c>
      <c r="B645" t="s">
        <v>325</v>
      </c>
      <c r="C645" t="s">
        <v>6286</v>
      </c>
      <c r="D645" t="s">
        <v>6283</v>
      </c>
      <c r="E645" t="s">
        <v>6287</v>
      </c>
      <c r="F645" t="s">
        <v>5885</v>
      </c>
      <c r="G645" s="1">
        <v>45320</v>
      </c>
      <c r="H645" s="1"/>
      <c r="I645" t="s">
        <v>1737</v>
      </c>
      <c r="J645" t="s">
        <v>29</v>
      </c>
      <c r="K645" t="s">
        <v>18</v>
      </c>
      <c r="M645">
        <v>100</v>
      </c>
      <c r="N645" s="1">
        <v>45322</v>
      </c>
      <c r="O645" s="12"/>
    </row>
    <row r="646" spans="1:15" x14ac:dyDescent="0.25">
      <c r="A646" t="s">
        <v>6288</v>
      </c>
      <c r="B646" t="s">
        <v>6289</v>
      </c>
      <c r="C646" t="s">
        <v>6290</v>
      </c>
      <c r="D646" t="s">
        <v>6291</v>
      </c>
      <c r="E646" t="s">
        <v>6292</v>
      </c>
      <c r="F646" t="s">
        <v>5885</v>
      </c>
      <c r="G646" s="1">
        <v>45316</v>
      </c>
      <c r="H646" s="1"/>
      <c r="I646" t="s">
        <v>1737</v>
      </c>
      <c r="J646" t="s">
        <v>29</v>
      </c>
      <c r="M646">
        <v>100</v>
      </c>
      <c r="N646" s="1">
        <v>45419</v>
      </c>
      <c r="O646" s="12"/>
    </row>
    <row r="647" spans="1:15" x14ac:dyDescent="0.25">
      <c r="A647" t="s">
        <v>6293</v>
      </c>
      <c r="B647" t="s">
        <v>6294</v>
      </c>
      <c r="C647" t="s">
        <v>43</v>
      </c>
      <c r="D647" t="s">
        <v>3380</v>
      </c>
      <c r="E647" t="s">
        <v>6295</v>
      </c>
      <c r="F647" t="s">
        <v>5885</v>
      </c>
      <c r="G647" s="1">
        <v>45320</v>
      </c>
      <c r="H647" s="1"/>
      <c r="I647" t="s">
        <v>2952</v>
      </c>
      <c r="J647" t="s">
        <v>29</v>
      </c>
      <c r="O647" s="12"/>
    </row>
    <row r="648" spans="1:15" x14ac:dyDescent="0.25">
      <c r="A648" t="s">
        <v>6296</v>
      </c>
      <c r="B648" t="s">
        <v>704</v>
      </c>
      <c r="C648" t="s">
        <v>670</v>
      </c>
      <c r="D648" t="s">
        <v>671</v>
      </c>
      <c r="E648" t="s">
        <v>6297</v>
      </c>
      <c r="F648" t="s">
        <v>5413</v>
      </c>
      <c r="G648" s="1">
        <v>45324</v>
      </c>
      <c r="H648" s="1"/>
      <c r="I648" t="s">
        <v>1737</v>
      </c>
      <c r="J648" t="s">
        <v>29</v>
      </c>
      <c r="K648" t="s">
        <v>29</v>
      </c>
      <c r="M648">
        <v>100</v>
      </c>
      <c r="N648" s="1">
        <v>45372</v>
      </c>
      <c r="O648" s="12" t="s">
        <v>6298</v>
      </c>
    </row>
    <row r="649" spans="1:15" x14ac:dyDescent="0.25">
      <c r="A649" t="s">
        <v>6299</v>
      </c>
      <c r="B649" t="s">
        <v>704</v>
      </c>
      <c r="C649" t="s">
        <v>670</v>
      </c>
      <c r="D649" t="s">
        <v>5214</v>
      </c>
      <c r="E649" t="s">
        <v>5567</v>
      </c>
      <c r="F649" t="s">
        <v>5413</v>
      </c>
      <c r="G649" s="1">
        <v>45329</v>
      </c>
      <c r="H649" s="1"/>
      <c r="I649" t="s">
        <v>1737</v>
      </c>
      <c r="J649" t="s">
        <v>29</v>
      </c>
      <c r="K649" t="s">
        <v>29</v>
      </c>
      <c r="M649">
        <v>100</v>
      </c>
      <c r="N649" s="1">
        <v>45349</v>
      </c>
      <c r="O649" s="12"/>
    </row>
    <row r="650" spans="1:15" x14ac:dyDescent="0.25">
      <c r="A650" t="s">
        <v>6300</v>
      </c>
      <c r="B650" t="s">
        <v>704</v>
      </c>
      <c r="C650" t="s">
        <v>670</v>
      </c>
      <c r="D650" t="s">
        <v>671</v>
      </c>
      <c r="E650" t="s">
        <v>6297</v>
      </c>
      <c r="F650" t="s">
        <v>5413</v>
      </c>
      <c r="G650" s="1">
        <v>45330</v>
      </c>
      <c r="H650" s="1"/>
      <c r="I650" t="s">
        <v>1737</v>
      </c>
      <c r="J650" t="s">
        <v>29</v>
      </c>
      <c r="K650" t="s">
        <v>29</v>
      </c>
      <c r="M650">
        <v>100</v>
      </c>
      <c r="N650" s="1">
        <v>45358</v>
      </c>
      <c r="O650" s="29">
        <v>45366</v>
      </c>
    </row>
    <row r="651" spans="1:15" x14ac:dyDescent="0.25">
      <c r="A651" t="s">
        <v>6301</v>
      </c>
      <c r="B651" t="s">
        <v>704</v>
      </c>
      <c r="C651" t="s">
        <v>243</v>
      </c>
      <c r="D651" t="s">
        <v>244</v>
      </c>
      <c r="E651" t="s">
        <v>6302</v>
      </c>
      <c r="F651" t="s">
        <v>555</v>
      </c>
      <c r="G651" s="1">
        <v>45331</v>
      </c>
      <c r="H651" s="1"/>
      <c r="I651" t="s">
        <v>1737</v>
      </c>
      <c r="J651" t="s">
        <v>29</v>
      </c>
      <c r="K651" t="s">
        <v>29</v>
      </c>
      <c r="M651">
        <v>100</v>
      </c>
      <c r="N651" s="1">
        <v>45334</v>
      </c>
      <c r="O651" s="12"/>
    </row>
    <row r="652" spans="1:15" x14ac:dyDescent="0.25">
      <c r="A652" t="s">
        <v>6303</v>
      </c>
      <c r="B652" t="s">
        <v>704</v>
      </c>
      <c r="C652" t="s">
        <v>670</v>
      </c>
      <c r="D652" t="s">
        <v>5102</v>
      </c>
      <c r="E652" t="s">
        <v>6304</v>
      </c>
      <c r="F652" t="s">
        <v>555</v>
      </c>
      <c r="G652" s="1">
        <v>45331</v>
      </c>
      <c r="H652" s="1"/>
      <c r="I652" t="s">
        <v>1737</v>
      </c>
      <c r="J652" t="s">
        <v>29</v>
      </c>
      <c r="K652" t="s">
        <v>29</v>
      </c>
      <c r="M652">
        <v>100</v>
      </c>
      <c r="N652" s="1">
        <v>45344</v>
      </c>
      <c r="O652" s="29">
        <v>45342</v>
      </c>
    </row>
    <row r="653" spans="1:15" x14ac:dyDescent="0.25">
      <c r="A653" t="s">
        <v>6305</v>
      </c>
      <c r="B653" t="s">
        <v>704</v>
      </c>
      <c r="C653" t="s">
        <v>5188</v>
      </c>
      <c r="D653" t="s">
        <v>5338</v>
      </c>
      <c r="E653" t="s">
        <v>6306</v>
      </c>
      <c r="F653" t="s">
        <v>6084</v>
      </c>
      <c r="G653" s="1">
        <v>45334</v>
      </c>
      <c r="H653" s="1"/>
      <c r="I653" t="s">
        <v>1737</v>
      </c>
      <c r="J653" t="s">
        <v>29</v>
      </c>
      <c r="K653" t="s">
        <v>29</v>
      </c>
      <c r="M653">
        <v>100</v>
      </c>
      <c r="N653" s="1">
        <v>45372</v>
      </c>
      <c r="O653" s="12"/>
    </row>
    <row r="654" spans="1:15" x14ac:dyDescent="0.25">
      <c r="A654" t="s">
        <v>6307</v>
      </c>
      <c r="B654" t="s">
        <v>13</v>
      </c>
      <c r="C654" t="s">
        <v>310</v>
      </c>
      <c r="D654" t="s">
        <v>6308</v>
      </c>
      <c r="E654" t="s">
        <v>6309</v>
      </c>
      <c r="F654" t="s">
        <v>6310</v>
      </c>
      <c r="G654" s="1">
        <v>45335</v>
      </c>
      <c r="H654" s="1"/>
      <c r="I654" t="s">
        <v>1737</v>
      </c>
      <c r="J654" t="s">
        <v>29</v>
      </c>
      <c r="K654" t="s">
        <v>29</v>
      </c>
      <c r="M654">
        <v>100</v>
      </c>
      <c r="N654" s="1">
        <v>45351</v>
      </c>
      <c r="O654" s="12"/>
    </row>
    <row r="655" spans="1:15" x14ac:dyDescent="0.25">
      <c r="A655" t="s">
        <v>6311</v>
      </c>
      <c r="B655" t="s">
        <v>704</v>
      </c>
      <c r="C655" t="s">
        <v>677</v>
      </c>
      <c r="D655" t="s">
        <v>678</v>
      </c>
      <c r="E655" t="s">
        <v>6312</v>
      </c>
      <c r="F655" t="s">
        <v>555</v>
      </c>
      <c r="G655" s="1">
        <v>45336</v>
      </c>
      <c r="H655" s="1"/>
      <c r="I655" t="s">
        <v>1737</v>
      </c>
      <c r="J655" t="s">
        <v>29</v>
      </c>
      <c r="K655" t="s">
        <v>29</v>
      </c>
      <c r="M655">
        <v>100</v>
      </c>
      <c r="N655" s="1">
        <v>45343</v>
      </c>
      <c r="O655" s="12"/>
    </row>
    <row r="656" spans="1:15" x14ac:dyDescent="0.25">
      <c r="A656" t="s">
        <v>6313</v>
      </c>
      <c r="B656" t="s">
        <v>704</v>
      </c>
      <c r="C656" t="s">
        <v>5918</v>
      </c>
      <c r="D656" t="s">
        <v>6314</v>
      </c>
      <c r="E656" t="s">
        <v>6315</v>
      </c>
      <c r="F656" t="s">
        <v>3386</v>
      </c>
      <c r="G656" s="1">
        <v>45336</v>
      </c>
      <c r="H656" s="1"/>
      <c r="I656" t="s">
        <v>1737</v>
      </c>
      <c r="J656" t="s">
        <v>29</v>
      </c>
      <c r="K656" t="s">
        <v>29</v>
      </c>
      <c r="M656">
        <v>100</v>
      </c>
      <c r="N656" s="1">
        <v>45348</v>
      </c>
      <c r="O656" s="12"/>
    </row>
    <row r="657" spans="1:15" x14ac:dyDescent="0.25">
      <c r="A657" t="s">
        <v>6316</v>
      </c>
      <c r="B657" t="s">
        <v>704</v>
      </c>
      <c r="C657" t="s">
        <v>32</v>
      </c>
      <c r="D657" t="s">
        <v>5221</v>
      </c>
      <c r="E657" t="s">
        <v>6317</v>
      </c>
      <c r="F657" t="s">
        <v>555</v>
      </c>
      <c r="G657" s="1">
        <v>45336</v>
      </c>
      <c r="H657" s="1"/>
      <c r="I657" t="s">
        <v>1737</v>
      </c>
      <c r="J657" t="s">
        <v>29</v>
      </c>
      <c r="K657" t="s">
        <v>29</v>
      </c>
      <c r="M657">
        <v>100</v>
      </c>
      <c r="N657" s="1">
        <v>45365</v>
      </c>
      <c r="O657" s="12"/>
    </row>
    <row r="658" spans="1:15" x14ac:dyDescent="0.25">
      <c r="A658" t="s">
        <v>6318</v>
      </c>
      <c r="B658" t="s">
        <v>704</v>
      </c>
      <c r="C658" t="s">
        <v>243</v>
      </c>
      <c r="D658" t="s">
        <v>6247</v>
      </c>
      <c r="E658" t="s">
        <v>6319</v>
      </c>
      <c r="F658" t="s">
        <v>6218</v>
      </c>
      <c r="G658" s="1">
        <v>45337</v>
      </c>
      <c r="H658" s="1"/>
      <c r="I658" t="s">
        <v>1737</v>
      </c>
      <c r="J658" t="s">
        <v>29</v>
      </c>
      <c r="K658" t="s">
        <v>29</v>
      </c>
      <c r="M658">
        <v>100</v>
      </c>
      <c r="N658" s="1">
        <v>45343</v>
      </c>
      <c r="O658" s="12"/>
    </row>
    <row r="659" spans="1:15" x14ac:dyDescent="0.25">
      <c r="A659" t="s">
        <v>6320</v>
      </c>
      <c r="B659" t="s">
        <v>704</v>
      </c>
      <c r="C659" t="s">
        <v>4698</v>
      </c>
      <c r="D659" t="s">
        <v>5478</v>
      </c>
      <c r="E659" t="s">
        <v>6321</v>
      </c>
      <c r="F659" t="s">
        <v>5728</v>
      </c>
      <c r="G659" s="1">
        <v>45338</v>
      </c>
      <c r="H659" s="1"/>
      <c r="I659" t="s">
        <v>1737</v>
      </c>
      <c r="J659" t="s">
        <v>29</v>
      </c>
      <c r="K659" t="s">
        <v>29</v>
      </c>
      <c r="M659">
        <v>100</v>
      </c>
      <c r="N659" s="1">
        <v>45343</v>
      </c>
      <c r="O659" s="12"/>
    </row>
    <row r="660" spans="1:15" x14ac:dyDescent="0.25">
      <c r="A660" t="s">
        <v>6322</v>
      </c>
      <c r="B660" t="s">
        <v>704</v>
      </c>
      <c r="C660" t="s">
        <v>670</v>
      </c>
      <c r="D660" t="s">
        <v>6323</v>
      </c>
      <c r="E660" t="s">
        <v>6324</v>
      </c>
      <c r="F660" t="s">
        <v>3148</v>
      </c>
      <c r="G660" s="1">
        <v>45338</v>
      </c>
      <c r="H660" s="1"/>
      <c r="I660" t="s">
        <v>1737</v>
      </c>
      <c r="J660" t="s">
        <v>29</v>
      </c>
      <c r="K660" t="s">
        <v>29</v>
      </c>
      <c r="M660">
        <v>100</v>
      </c>
      <c r="N660" s="1">
        <v>45372</v>
      </c>
      <c r="O660" s="12"/>
    </row>
    <row r="661" spans="1:15" x14ac:dyDescent="0.25">
      <c r="A661" t="s">
        <v>6325</v>
      </c>
      <c r="B661" t="s">
        <v>704</v>
      </c>
      <c r="C661" t="s">
        <v>670</v>
      </c>
      <c r="D661" t="s">
        <v>6323</v>
      </c>
      <c r="E661" t="s">
        <v>6326</v>
      </c>
      <c r="F661" t="s">
        <v>3148</v>
      </c>
      <c r="G661" s="1">
        <v>45343</v>
      </c>
      <c r="H661" s="1"/>
      <c r="I661" t="s">
        <v>1737</v>
      </c>
      <c r="J661" t="s">
        <v>29</v>
      </c>
      <c r="K661" t="s">
        <v>29</v>
      </c>
      <c r="M661">
        <v>100</v>
      </c>
      <c r="N661" s="1">
        <v>45348</v>
      </c>
      <c r="O661" s="12"/>
    </row>
    <row r="662" spans="1:15" x14ac:dyDescent="0.25">
      <c r="A662" t="s">
        <v>6327</v>
      </c>
      <c r="B662" t="s">
        <v>474</v>
      </c>
      <c r="C662" t="s">
        <v>43</v>
      </c>
      <c r="D662" t="s">
        <v>6328</v>
      </c>
      <c r="E662" t="s">
        <v>6329</v>
      </c>
      <c r="F662" t="s">
        <v>5885</v>
      </c>
      <c r="G662" s="1">
        <v>45343</v>
      </c>
      <c r="H662" s="1"/>
      <c r="J662" t="s">
        <v>29</v>
      </c>
      <c r="O662" s="12"/>
    </row>
    <row r="663" spans="1:15" x14ac:dyDescent="0.25">
      <c r="A663" t="s">
        <v>6330</v>
      </c>
      <c r="B663" t="s">
        <v>704</v>
      </c>
      <c r="C663" t="s">
        <v>5007</v>
      </c>
      <c r="D663" t="s">
        <v>6331</v>
      </c>
      <c r="E663" t="s">
        <v>6250</v>
      </c>
      <c r="F663" t="s">
        <v>5413</v>
      </c>
      <c r="G663" s="1">
        <v>45343</v>
      </c>
      <c r="H663" s="1"/>
      <c r="I663" t="s">
        <v>1737</v>
      </c>
      <c r="J663" t="s">
        <v>29</v>
      </c>
      <c r="K663" t="s">
        <v>29</v>
      </c>
      <c r="M663">
        <v>100</v>
      </c>
      <c r="N663" s="1">
        <v>45351</v>
      </c>
      <c r="O663" s="12"/>
    </row>
    <row r="664" spans="1:15" x14ac:dyDescent="0.25">
      <c r="A664" t="s">
        <v>6332</v>
      </c>
      <c r="B664" t="s">
        <v>704</v>
      </c>
      <c r="C664" t="s">
        <v>5188</v>
      </c>
      <c r="D664" t="s">
        <v>5189</v>
      </c>
      <c r="E664" t="s">
        <v>6333</v>
      </c>
      <c r="F664" t="s">
        <v>6334</v>
      </c>
      <c r="G664" s="1">
        <v>45343</v>
      </c>
      <c r="H664" s="1"/>
      <c r="I664" t="s">
        <v>1737</v>
      </c>
      <c r="J664" t="s">
        <v>29</v>
      </c>
      <c r="K664" t="s">
        <v>29</v>
      </c>
      <c r="M664">
        <v>100</v>
      </c>
      <c r="N664" s="1">
        <v>45363</v>
      </c>
      <c r="O664" s="12"/>
    </row>
    <row r="665" spans="1:15" x14ac:dyDescent="0.25">
      <c r="A665" t="s">
        <v>6335</v>
      </c>
      <c r="B665" t="s">
        <v>704</v>
      </c>
      <c r="C665" t="s">
        <v>670</v>
      </c>
      <c r="D665" t="s">
        <v>671</v>
      </c>
      <c r="E665" t="s">
        <v>6336</v>
      </c>
      <c r="F665" t="s">
        <v>3148</v>
      </c>
      <c r="G665" s="1">
        <v>45343</v>
      </c>
      <c r="H665" s="1"/>
      <c r="I665" t="s">
        <v>1737</v>
      </c>
      <c r="J665" t="s">
        <v>29</v>
      </c>
      <c r="K665" t="s">
        <v>29</v>
      </c>
      <c r="M665">
        <v>100</v>
      </c>
      <c r="N665" s="1">
        <v>45348</v>
      </c>
      <c r="O665" s="12"/>
    </row>
    <row r="666" spans="1:15" x14ac:dyDescent="0.25">
      <c r="A666" t="s">
        <v>6337</v>
      </c>
      <c r="B666" t="s">
        <v>704</v>
      </c>
      <c r="C666" t="s">
        <v>5188</v>
      </c>
      <c r="D666" t="s">
        <v>5338</v>
      </c>
      <c r="E666" t="s">
        <v>6338</v>
      </c>
      <c r="F666" t="s">
        <v>6084</v>
      </c>
      <c r="G666" s="1">
        <v>45344</v>
      </c>
      <c r="H666" s="1"/>
      <c r="I666" t="s">
        <v>1737</v>
      </c>
      <c r="J666" t="s">
        <v>29</v>
      </c>
      <c r="K666" t="s">
        <v>29</v>
      </c>
      <c r="M666">
        <v>100</v>
      </c>
      <c r="N666" s="1">
        <v>45427</v>
      </c>
      <c r="O666" s="29">
        <v>45406</v>
      </c>
    </row>
    <row r="667" spans="1:15" x14ac:dyDescent="0.25">
      <c r="A667" t="s">
        <v>6339</v>
      </c>
      <c r="B667" t="s">
        <v>704</v>
      </c>
      <c r="C667" t="s">
        <v>32</v>
      </c>
      <c r="D667" t="s">
        <v>5749</v>
      </c>
      <c r="E667" t="s">
        <v>6340</v>
      </c>
      <c r="F667" t="s">
        <v>5707</v>
      </c>
      <c r="G667" s="1">
        <v>45345</v>
      </c>
      <c r="H667" s="1"/>
      <c r="I667" t="s">
        <v>1737</v>
      </c>
      <c r="J667" t="s">
        <v>29</v>
      </c>
      <c r="K667" t="s">
        <v>29</v>
      </c>
      <c r="M667" t="s">
        <v>6341</v>
      </c>
      <c r="N667" s="1" t="s">
        <v>6342</v>
      </c>
      <c r="O667" s="12"/>
    </row>
    <row r="668" spans="1:15" x14ac:dyDescent="0.25">
      <c r="A668" t="s">
        <v>6343</v>
      </c>
      <c r="B668" t="s">
        <v>704</v>
      </c>
      <c r="C668" t="s">
        <v>670</v>
      </c>
      <c r="D668" t="s">
        <v>5214</v>
      </c>
      <c r="E668" t="s">
        <v>6344</v>
      </c>
      <c r="F668" t="s">
        <v>5413</v>
      </c>
      <c r="G668" s="1">
        <v>45345</v>
      </c>
      <c r="H668" s="1"/>
      <c r="I668" t="s">
        <v>1737</v>
      </c>
      <c r="J668" t="s">
        <v>29</v>
      </c>
      <c r="K668" t="s">
        <v>29</v>
      </c>
      <c r="M668">
        <v>100</v>
      </c>
      <c r="N668" s="1">
        <v>45365</v>
      </c>
      <c r="O668" s="12"/>
    </row>
    <row r="669" spans="1:15" x14ac:dyDescent="0.25">
      <c r="A669" t="s">
        <v>6345</v>
      </c>
      <c r="B669" t="s">
        <v>704</v>
      </c>
      <c r="C669" t="s">
        <v>32</v>
      </c>
      <c r="D669" t="s">
        <v>5221</v>
      </c>
      <c r="E669" t="s">
        <v>6346</v>
      </c>
      <c r="F669" t="s">
        <v>5403</v>
      </c>
      <c r="G669" s="1">
        <v>45348</v>
      </c>
      <c r="H669" s="1"/>
      <c r="I669" t="s">
        <v>1737</v>
      </c>
      <c r="J669" t="s">
        <v>29</v>
      </c>
      <c r="K669" t="s">
        <v>29</v>
      </c>
      <c r="M669">
        <v>100</v>
      </c>
      <c r="N669" s="1">
        <v>45355</v>
      </c>
      <c r="O669" s="12"/>
    </row>
    <row r="670" spans="1:15" x14ac:dyDescent="0.25">
      <c r="A670" t="s">
        <v>6347</v>
      </c>
      <c r="B670" t="s">
        <v>704</v>
      </c>
      <c r="C670" t="s">
        <v>677</v>
      </c>
      <c r="D670" t="s">
        <v>678</v>
      </c>
      <c r="E670" t="s">
        <v>6348</v>
      </c>
      <c r="F670" t="s">
        <v>555</v>
      </c>
      <c r="G670" s="1">
        <v>45350</v>
      </c>
      <c r="H670" s="1"/>
      <c r="I670" t="s">
        <v>1737</v>
      </c>
      <c r="J670" t="s">
        <v>29</v>
      </c>
      <c r="K670" t="s">
        <v>29</v>
      </c>
      <c r="M670">
        <v>100</v>
      </c>
      <c r="N670" s="1">
        <v>45356</v>
      </c>
      <c r="O670" s="12"/>
    </row>
    <row r="671" spans="1:15" x14ac:dyDescent="0.25">
      <c r="A671" t="s">
        <v>6349</v>
      </c>
      <c r="B671" t="s">
        <v>704</v>
      </c>
      <c r="C671" t="s">
        <v>5817</v>
      </c>
      <c r="D671" t="s">
        <v>225</v>
      </c>
      <c r="E671" t="s">
        <v>4715</v>
      </c>
      <c r="F671" t="s">
        <v>555</v>
      </c>
      <c r="G671" s="1">
        <v>45350</v>
      </c>
      <c r="H671" s="1"/>
      <c r="I671" t="s">
        <v>1737</v>
      </c>
      <c r="J671" t="s">
        <v>29</v>
      </c>
      <c r="K671" t="s">
        <v>29</v>
      </c>
      <c r="M671">
        <v>100</v>
      </c>
      <c r="N671" s="1">
        <v>45352</v>
      </c>
      <c r="O671" s="12"/>
    </row>
    <row r="672" spans="1:15" x14ac:dyDescent="0.25">
      <c r="A672" t="s">
        <v>6350</v>
      </c>
      <c r="B672" t="s">
        <v>621</v>
      </c>
      <c r="C672" t="s">
        <v>159</v>
      </c>
      <c r="D672" t="s">
        <v>6351</v>
      </c>
      <c r="E672" t="s">
        <v>6352</v>
      </c>
      <c r="F672" t="s">
        <v>14</v>
      </c>
      <c r="G672" s="1">
        <v>45350</v>
      </c>
      <c r="H672" s="1"/>
      <c r="I672" t="s">
        <v>1737</v>
      </c>
      <c r="J672" t="s">
        <v>29</v>
      </c>
      <c r="M672">
        <v>100</v>
      </c>
      <c r="N672" s="1">
        <v>45372</v>
      </c>
      <c r="O672" s="12"/>
    </row>
    <row r="673" spans="1:15" x14ac:dyDescent="0.25">
      <c r="A673" t="s">
        <v>6353</v>
      </c>
      <c r="B673" t="s">
        <v>704</v>
      </c>
      <c r="C673" t="s">
        <v>32</v>
      </c>
      <c r="D673" t="s">
        <v>5221</v>
      </c>
      <c r="E673" t="s">
        <v>6354</v>
      </c>
      <c r="F673" t="s">
        <v>6109</v>
      </c>
      <c r="G673" s="1">
        <v>45355</v>
      </c>
      <c r="H673" s="1"/>
      <c r="I673" t="s">
        <v>1737</v>
      </c>
      <c r="J673" t="s">
        <v>29</v>
      </c>
      <c r="K673" t="s">
        <v>29</v>
      </c>
      <c r="M673">
        <v>100</v>
      </c>
      <c r="N673" s="1">
        <v>45365</v>
      </c>
      <c r="O673" s="12"/>
    </row>
    <row r="674" spans="1:15" x14ac:dyDescent="0.25">
      <c r="A674" t="s">
        <v>6355</v>
      </c>
      <c r="B674" t="s">
        <v>704</v>
      </c>
      <c r="C674" t="s">
        <v>4698</v>
      </c>
      <c r="D674" t="s">
        <v>5478</v>
      </c>
      <c r="E674" t="s">
        <v>6356</v>
      </c>
      <c r="F674" t="s">
        <v>5413</v>
      </c>
      <c r="G674" s="1">
        <v>45355</v>
      </c>
      <c r="H674" s="1"/>
      <c r="I674" t="s">
        <v>1737</v>
      </c>
      <c r="J674" t="s">
        <v>29</v>
      </c>
      <c r="K674" t="s">
        <v>29</v>
      </c>
      <c r="M674">
        <v>100</v>
      </c>
      <c r="N674" s="1">
        <v>45378</v>
      </c>
      <c r="O674" s="12"/>
    </row>
    <row r="675" spans="1:15" x14ac:dyDescent="0.25">
      <c r="A675" t="s">
        <v>6357</v>
      </c>
      <c r="B675" t="s">
        <v>704</v>
      </c>
      <c r="C675" t="s">
        <v>677</v>
      </c>
      <c r="D675" t="s">
        <v>678</v>
      </c>
      <c r="E675" t="s">
        <v>6358</v>
      </c>
      <c r="F675" t="s">
        <v>6019</v>
      </c>
      <c r="G675" s="1">
        <v>45356</v>
      </c>
      <c r="H675" s="1"/>
      <c r="I675" t="s">
        <v>1737</v>
      </c>
      <c r="J675" t="s">
        <v>29</v>
      </c>
      <c r="K675" t="s">
        <v>29</v>
      </c>
      <c r="M675">
        <v>100</v>
      </c>
      <c r="N675" s="1">
        <v>45365</v>
      </c>
      <c r="O675" s="12"/>
    </row>
    <row r="676" spans="1:15" x14ac:dyDescent="0.25">
      <c r="A676" t="s">
        <v>6359</v>
      </c>
      <c r="B676" t="s">
        <v>704</v>
      </c>
      <c r="C676" t="s">
        <v>5817</v>
      </c>
      <c r="D676" t="s">
        <v>225</v>
      </c>
      <c r="E676" t="s">
        <v>6360</v>
      </c>
      <c r="F676" t="s">
        <v>5454</v>
      </c>
      <c r="G676" s="1">
        <v>45356</v>
      </c>
      <c r="H676" s="1"/>
      <c r="I676" t="s">
        <v>1737</v>
      </c>
      <c r="J676" t="s">
        <v>29</v>
      </c>
      <c r="K676" t="s">
        <v>29</v>
      </c>
      <c r="M676">
        <v>100</v>
      </c>
      <c r="N676" s="1">
        <v>45365</v>
      </c>
      <c r="O676" s="12"/>
    </row>
    <row r="677" spans="1:15" x14ac:dyDescent="0.25">
      <c r="A677" t="s">
        <v>6361</v>
      </c>
      <c r="B677" t="s">
        <v>704</v>
      </c>
      <c r="C677" t="s">
        <v>539</v>
      </c>
      <c r="D677" t="s">
        <v>540</v>
      </c>
      <c r="E677" t="s">
        <v>6362</v>
      </c>
      <c r="F677" t="s">
        <v>6363</v>
      </c>
      <c r="G677" s="1">
        <v>45356</v>
      </c>
      <c r="H677" s="1"/>
      <c r="I677" t="s">
        <v>1737</v>
      </c>
      <c r="J677" t="s">
        <v>29</v>
      </c>
      <c r="K677" t="s">
        <v>29</v>
      </c>
      <c r="M677">
        <v>100</v>
      </c>
      <c r="N677" s="1">
        <v>45387</v>
      </c>
      <c r="O677" s="12" t="s">
        <v>6364</v>
      </c>
    </row>
    <row r="678" spans="1:15" x14ac:dyDescent="0.25">
      <c r="A678" t="s">
        <v>6365</v>
      </c>
      <c r="B678" t="s">
        <v>704</v>
      </c>
      <c r="C678" t="s">
        <v>163</v>
      </c>
      <c r="D678" t="s">
        <v>6366</v>
      </c>
      <c r="E678" t="s">
        <v>5680</v>
      </c>
      <c r="F678" t="s">
        <v>659</v>
      </c>
      <c r="G678" s="1">
        <v>45356</v>
      </c>
      <c r="H678" s="1"/>
      <c r="I678" t="s">
        <v>1737</v>
      </c>
      <c r="J678" t="s">
        <v>29</v>
      </c>
      <c r="K678" t="s">
        <v>29</v>
      </c>
      <c r="M678">
        <v>100</v>
      </c>
      <c r="N678" s="1">
        <v>45379</v>
      </c>
      <c r="O678" s="12"/>
    </row>
    <row r="679" spans="1:15" x14ac:dyDescent="0.25">
      <c r="A679" t="s">
        <v>6367</v>
      </c>
      <c r="B679" t="s">
        <v>704</v>
      </c>
      <c r="C679" t="s">
        <v>243</v>
      </c>
      <c r="D679" t="s">
        <v>244</v>
      </c>
      <c r="E679" t="s">
        <v>6368</v>
      </c>
      <c r="F679" t="s">
        <v>14</v>
      </c>
      <c r="G679" s="1">
        <v>45356</v>
      </c>
      <c r="H679" s="1"/>
      <c r="I679" t="s">
        <v>1737</v>
      </c>
      <c r="J679" t="s">
        <v>29</v>
      </c>
      <c r="K679" t="s">
        <v>29</v>
      </c>
      <c r="M679">
        <v>100</v>
      </c>
      <c r="N679" s="1">
        <v>45373</v>
      </c>
      <c r="O679" s="12"/>
    </row>
    <row r="680" spans="1:15" x14ac:dyDescent="0.25">
      <c r="A680" t="s">
        <v>6369</v>
      </c>
      <c r="B680" t="s">
        <v>24</v>
      </c>
      <c r="C680" t="s">
        <v>43</v>
      </c>
      <c r="D680" t="s">
        <v>315</v>
      </c>
      <c r="E680" t="s">
        <v>6370</v>
      </c>
      <c r="F680" t="s">
        <v>6371</v>
      </c>
      <c r="G680" s="1">
        <v>45357</v>
      </c>
      <c r="H680" s="1"/>
      <c r="I680" t="s">
        <v>1737</v>
      </c>
      <c r="J680" t="s">
        <v>29</v>
      </c>
      <c r="K680" t="s">
        <v>29</v>
      </c>
      <c r="M680">
        <v>100</v>
      </c>
      <c r="N680" s="1">
        <v>45408</v>
      </c>
      <c r="O680" s="12"/>
    </row>
    <row r="681" spans="1:15" x14ac:dyDescent="0.25">
      <c r="A681" t="s">
        <v>6372</v>
      </c>
      <c r="B681" t="s">
        <v>704</v>
      </c>
      <c r="C681" t="s">
        <v>670</v>
      </c>
      <c r="D681" t="s">
        <v>5102</v>
      </c>
      <c r="E681" t="s">
        <v>6373</v>
      </c>
      <c r="F681" t="s">
        <v>3148</v>
      </c>
      <c r="G681" s="1">
        <v>45357</v>
      </c>
      <c r="H681" s="1"/>
      <c r="I681" t="s">
        <v>1737</v>
      </c>
      <c r="J681" t="s">
        <v>29</v>
      </c>
      <c r="K681" t="s">
        <v>29</v>
      </c>
      <c r="M681">
        <v>100</v>
      </c>
      <c r="N681" s="1">
        <v>45366</v>
      </c>
      <c r="O681" s="12"/>
    </row>
    <row r="682" spans="1:15" x14ac:dyDescent="0.25">
      <c r="A682" t="s">
        <v>6374</v>
      </c>
      <c r="B682" t="s">
        <v>704</v>
      </c>
      <c r="C682" t="s">
        <v>677</v>
      </c>
      <c r="D682" t="s">
        <v>678</v>
      </c>
      <c r="E682" t="s">
        <v>6375</v>
      </c>
      <c r="F682" t="s">
        <v>6376</v>
      </c>
      <c r="G682" s="1">
        <v>45357</v>
      </c>
      <c r="H682" s="1"/>
      <c r="I682" t="s">
        <v>1737</v>
      </c>
      <c r="J682" t="s">
        <v>29</v>
      </c>
      <c r="K682" t="s">
        <v>29</v>
      </c>
      <c r="M682">
        <v>100</v>
      </c>
      <c r="N682" s="1">
        <v>45400</v>
      </c>
      <c r="O682" s="12" t="s">
        <v>6377</v>
      </c>
    </row>
    <row r="683" spans="1:15" x14ac:dyDescent="0.25">
      <c r="A683" t="s">
        <v>6378</v>
      </c>
      <c r="B683" t="s">
        <v>704</v>
      </c>
      <c r="C683" t="s">
        <v>6379</v>
      </c>
      <c r="D683" t="s">
        <v>6380</v>
      </c>
      <c r="E683" t="s">
        <v>4912</v>
      </c>
      <c r="F683" t="s">
        <v>6019</v>
      </c>
      <c r="G683" s="1">
        <v>45358</v>
      </c>
      <c r="H683" s="1"/>
      <c r="I683" t="s">
        <v>1737</v>
      </c>
      <c r="J683" t="s">
        <v>29</v>
      </c>
      <c r="K683" t="s">
        <v>29</v>
      </c>
      <c r="M683">
        <v>100</v>
      </c>
      <c r="N683" s="1">
        <v>45411</v>
      </c>
      <c r="O683" s="12" t="s">
        <v>6377</v>
      </c>
    </row>
    <row r="684" spans="1:15" x14ac:dyDescent="0.25">
      <c r="A684" t="s">
        <v>6381</v>
      </c>
      <c r="B684" t="s">
        <v>704</v>
      </c>
      <c r="C684" t="s">
        <v>243</v>
      </c>
      <c r="D684" t="s">
        <v>6247</v>
      </c>
      <c r="E684" t="s">
        <v>6382</v>
      </c>
      <c r="F684" t="s">
        <v>555</v>
      </c>
      <c r="G684" s="1">
        <v>45358</v>
      </c>
      <c r="H684" s="1"/>
      <c r="I684" t="s">
        <v>1737</v>
      </c>
      <c r="J684" t="s">
        <v>29</v>
      </c>
      <c r="K684" t="s">
        <v>29</v>
      </c>
      <c r="M684" s="5">
        <v>1</v>
      </c>
      <c r="N684" s="1">
        <v>45364</v>
      </c>
      <c r="O684" s="12"/>
    </row>
    <row r="685" spans="1:15" x14ac:dyDescent="0.25">
      <c r="A685" t="s">
        <v>6383</v>
      </c>
      <c r="B685" t="s">
        <v>13</v>
      </c>
      <c r="C685" t="s">
        <v>539</v>
      </c>
      <c r="D685" t="s">
        <v>540</v>
      </c>
      <c r="E685" t="s">
        <v>6384</v>
      </c>
      <c r="F685" t="s">
        <v>6385</v>
      </c>
      <c r="G685" s="1">
        <v>45358</v>
      </c>
      <c r="H685" s="1"/>
      <c r="I685" t="s">
        <v>1737</v>
      </c>
      <c r="J685" t="s">
        <v>29</v>
      </c>
      <c r="K685" t="s">
        <v>18</v>
      </c>
      <c r="M685" s="86">
        <v>1</v>
      </c>
      <c r="N685" s="1">
        <v>45358</v>
      </c>
      <c r="O685" s="12"/>
    </row>
    <row r="686" spans="1:15" x14ac:dyDescent="0.25">
      <c r="A686" t="s">
        <v>6386</v>
      </c>
      <c r="B686" t="s">
        <v>704</v>
      </c>
      <c r="C686" t="s">
        <v>243</v>
      </c>
      <c r="D686" t="s">
        <v>6247</v>
      </c>
      <c r="E686" t="s">
        <v>6387</v>
      </c>
      <c r="F686" t="s">
        <v>6388</v>
      </c>
      <c r="G686" s="1">
        <v>45358</v>
      </c>
      <c r="H686" s="1"/>
      <c r="I686" t="s">
        <v>1737</v>
      </c>
      <c r="J686" t="s">
        <v>29</v>
      </c>
      <c r="K686" t="s">
        <v>29</v>
      </c>
      <c r="M686">
        <v>100</v>
      </c>
      <c r="N686" s="1">
        <v>45379</v>
      </c>
      <c r="O686" s="12"/>
    </row>
    <row r="687" spans="1:15" x14ac:dyDescent="0.25">
      <c r="A687" t="s">
        <v>6389</v>
      </c>
      <c r="B687" t="s">
        <v>704</v>
      </c>
      <c r="C687" t="s">
        <v>5817</v>
      </c>
      <c r="D687" t="s">
        <v>225</v>
      </c>
      <c r="E687" t="s">
        <v>6390</v>
      </c>
      <c r="F687" t="s">
        <v>5454</v>
      </c>
      <c r="G687" s="1">
        <v>45359</v>
      </c>
      <c r="H687" s="1"/>
      <c r="I687" t="s">
        <v>1737</v>
      </c>
      <c r="J687" t="s">
        <v>29</v>
      </c>
      <c r="K687" t="s">
        <v>29</v>
      </c>
      <c r="M687" s="86">
        <v>1</v>
      </c>
      <c r="N687" s="1">
        <v>45365</v>
      </c>
      <c r="O687" s="12"/>
    </row>
    <row r="688" spans="1:15" x14ac:dyDescent="0.25">
      <c r="A688" t="s">
        <v>6391</v>
      </c>
      <c r="B688" t="s">
        <v>474</v>
      </c>
      <c r="C688" t="s">
        <v>243</v>
      </c>
      <c r="D688" t="s">
        <v>244</v>
      </c>
      <c r="E688" t="s">
        <v>6392</v>
      </c>
      <c r="F688" t="s">
        <v>14</v>
      </c>
      <c r="G688" s="1">
        <v>45359</v>
      </c>
      <c r="H688" s="1"/>
      <c r="I688" t="s">
        <v>1737</v>
      </c>
      <c r="J688" t="s">
        <v>29</v>
      </c>
      <c r="M688">
        <v>100</v>
      </c>
      <c r="N688" s="1">
        <v>45385</v>
      </c>
      <c r="O688" s="12"/>
    </row>
    <row r="689" spans="1:15" x14ac:dyDescent="0.25">
      <c r="A689" t="s">
        <v>6393</v>
      </c>
      <c r="B689" t="s">
        <v>621</v>
      </c>
      <c r="C689" t="s">
        <v>3967</v>
      </c>
      <c r="D689" t="s">
        <v>511</v>
      </c>
      <c r="E689" t="s">
        <v>6394</v>
      </c>
      <c r="F689" t="s">
        <v>14</v>
      </c>
      <c r="G689" s="1">
        <v>45356</v>
      </c>
      <c r="H689" s="1"/>
      <c r="I689" t="s">
        <v>1737</v>
      </c>
      <c r="J689" t="s">
        <v>29</v>
      </c>
      <c r="M689">
        <v>100</v>
      </c>
      <c r="N689" s="1">
        <v>45421</v>
      </c>
      <c r="O689" s="12"/>
    </row>
    <row r="690" spans="1:15" x14ac:dyDescent="0.25">
      <c r="A690" t="s">
        <v>6395</v>
      </c>
      <c r="B690" t="s">
        <v>704</v>
      </c>
      <c r="C690" t="s">
        <v>5817</v>
      </c>
      <c r="D690" t="s">
        <v>628</v>
      </c>
      <c r="E690" t="s">
        <v>6396</v>
      </c>
      <c r="F690" t="s">
        <v>5454</v>
      </c>
      <c r="G690" s="1">
        <v>45362</v>
      </c>
      <c r="H690" s="1"/>
      <c r="I690" t="s">
        <v>1737</v>
      </c>
      <c r="J690" t="s">
        <v>29</v>
      </c>
      <c r="K690" t="s">
        <v>29</v>
      </c>
      <c r="M690" t="s">
        <v>3340</v>
      </c>
      <c r="N690" s="1" t="s">
        <v>6397</v>
      </c>
      <c r="O690" s="12" t="s">
        <v>6377</v>
      </c>
    </row>
    <row r="691" spans="1:15" x14ac:dyDescent="0.25">
      <c r="A691" t="s">
        <v>6398</v>
      </c>
      <c r="B691" t="s">
        <v>704</v>
      </c>
      <c r="C691" t="s">
        <v>6399</v>
      </c>
      <c r="D691" t="s">
        <v>5641</v>
      </c>
      <c r="E691" t="s">
        <v>6400</v>
      </c>
      <c r="F691" t="s">
        <v>6401</v>
      </c>
      <c r="G691" s="1">
        <v>45362</v>
      </c>
      <c r="H691" s="1"/>
      <c r="I691" t="s">
        <v>1737</v>
      </c>
      <c r="J691" t="s">
        <v>29</v>
      </c>
      <c r="K691" t="s">
        <v>29</v>
      </c>
      <c r="M691">
        <v>100</v>
      </c>
      <c r="N691" s="1">
        <v>45464</v>
      </c>
      <c r="O691" s="29">
        <v>45434</v>
      </c>
    </row>
    <row r="692" spans="1:15" x14ac:dyDescent="0.25">
      <c r="A692" t="s">
        <v>6402</v>
      </c>
      <c r="B692" t="s">
        <v>704</v>
      </c>
      <c r="C692" t="s">
        <v>4698</v>
      </c>
      <c r="D692" t="s">
        <v>5478</v>
      </c>
      <c r="E692" t="s">
        <v>6403</v>
      </c>
      <c r="F692" t="s">
        <v>5413</v>
      </c>
      <c r="G692" s="1">
        <v>45363</v>
      </c>
      <c r="H692" s="1"/>
      <c r="I692" t="s">
        <v>1737</v>
      </c>
      <c r="J692" t="s">
        <v>29</v>
      </c>
      <c r="K692" t="s">
        <v>29</v>
      </c>
      <c r="M692" s="86">
        <v>1</v>
      </c>
      <c r="N692" s="1">
        <v>45370</v>
      </c>
      <c r="O692" s="12"/>
    </row>
    <row r="693" spans="1:15" x14ac:dyDescent="0.25">
      <c r="A693" t="s">
        <v>6404</v>
      </c>
      <c r="B693" t="s">
        <v>135</v>
      </c>
      <c r="C693" t="s">
        <v>539</v>
      </c>
      <c r="E693" t="s">
        <v>6405</v>
      </c>
      <c r="F693" t="s">
        <v>14</v>
      </c>
      <c r="G693" s="1">
        <v>45364</v>
      </c>
      <c r="H693" s="1"/>
      <c r="I693" t="s">
        <v>1737</v>
      </c>
      <c r="J693" t="s">
        <v>29</v>
      </c>
      <c r="M693" s="86">
        <v>1</v>
      </c>
      <c r="N693" s="1">
        <v>45369</v>
      </c>
      <c r="O693" s="12"/>
    </row>
    <row r="694" spans="1:15" x14ac:dyDescent="0.25">
      <c r="A694" t="s">
        <v>6406</v>
      </c>
      <c r="B694" t="s">
        <v>704</v>
      </c>
      <c r="C694" t="s">
        <v>5007</v>
      </c>
      <c r="D694" t="s">
        <v>6331</v>
      </c>
      <c r="E694" t="s">
        <v>4699</v>
      </c>
      <c r="F694" t="s">
        <v>5413</v>
      </c>
      <c r="G694" s="1">
        <v>45364</v>
      </c>
      <c r="H694" s="1"/>
      <c r="I694" t="s">
        <v>1737</v>
      </c>
      <c r="J694" t="s">
        <v>29</v>
      </c>
      <c r="K694" t="s">
        <v>29</v>
      </c>
      <c r="M694">
        <v>100</v>
      </c>
      <c r="N694" s="1">
        <v>45387</v>
      </c>
      <c r="O694" s="29">
        <v>45393</v>
      </c>
    </row>
    <row r="695" spans="1:15" x14ac:dyDescent="0.25">
      <c r="A695" t="s">
        <v>6407</v>
      </c>
      <c r="B695" t="s">
        <v>704</v>
      </c>
      <c r="C695" t="s">
        <v>5817</v>
      </c>
      <c r="D695" t="s">
        <v>628</v>
      </c>
      <c r="E695" t="s">
        <v>6408</v>
      </c>
      <c r="F695" t="s">
        <v>3148</v>
      </c>
      <c r="G695" s="1">
        <v>45364</v>
      </c>
      <c r="H695" s="1"/>
      <c r="I695" t="s">
        <v>1737</v>
      </c>
      <c r="J695" t="s">
        <v>29</v>
      </c>
      <c r="K695" t="s">
        <v>29</v>
      </c>
      <c r="M695" t="s">
        <v>6409</v>
      </c>
      <c r="N695" s="1" t="s">
        <v>6410</v>
      </c>
      <c r="O695" s="12" t="s">
        <v>6377</v>
      </c>
    </row>
    <row r="696" spans="1:15" x14ac:dyDescent="0.25">
      <c r="A696" t="s">
        <v>6411</v>
      </c>
      <c r="B696" t="s">
        <v>621</v>
      </c>
      <c r="C696" t="s">
        <v>539</v>
      </c>
      <c r="D696" t="s">
        <v>540</v>
      </c>
      <c r="E696" t="s">
        <v>6412</v>
      </c>
      <c r="F696" t="s">
        <v>14</v>
      </c>
      <c r="G696" s="1">
        <v>45364</v>
      </c>
      <c r="H696" s="1"/>
      <c r="I696" t="s">
        <v>1737</v>
      </c>
      <c r="J696" t="s">
        <v>29</v>
      </c>
      <c r="K696" t="s">
        <v>29</v>
      </c>
      <c r="M696">
        <v>100</v>
      </c>
      <c r="N696" s="1">
        <v>45596</v>
      </c>
      <c r="O696" s="12"/>
    </row>
    <row r="697" spans="1:15" x14ac:dyDescent="0.25">
      <c r="A697" t="s">
        <v>6413</v>
      </c>
      <c r="B697" t="s">
        <v>704</v>
      </c>
      <c r="C697" t="s">
        <v>677</v>
      </c>
      <c r="D697" t="s">
        <v>678</v>
      </c>
      <c r="E697" t="s">
        <v>6414</v>
      </c>
      <c r="F697" t="s">
        <v>670</v>
      </c>
      <c r="G697" s="1">
        <v>45365</v>
      </c>
      <c r="H697" s="1"/>
      <c r="I697" t="s">
        <v>1737</v>
      </c>
      <c r="J697" t="s">
        <v>29</v>
      </c>
      <c r="K697" t="s">
        <v>29</v>
      </c>
      <c r="M697">
        <v>100</v>
      </c>
      <c r="N697" s="1">
        <v>45372</v>
      </c>
      <c r="O697" s="12"/>
    </row>
    <row r="698" spans="1:15" x14ac:dyDescent="0.25">
      <c r="A698" t="s">
        <v>6415</v>
      </c>
      <c r="B698" t="s">
        <v>704</v>
      </c>
      <c r="C698" t="s">
        <v>6416</v>
      </c>
      <c r="D698" t="s">
        <v>6417</v>
      </c>
      <c r="E698" t="s">
        <v>6418</v>
      </c>
      <c r="F698" t="s">
        <v>5413</v>
      </c>
      <c r="G698" s="1">
        <v>45366</v>
      </c>
      <c r="H698" s="1"/>
      <c r="I698" t="s">
        <v>1737</v>
      </c>
      <c r="J698" t="s">
        <v>29</v>
      </c>
      <c r="K698" t="s">
        <v>29</v>
      </c>
      <c r="M698">
        <v>100</v>
      </c>
      <c r="N698" s="1">
        <v>45387</v>
      </c>
      <c r="O698" s="12" t="s">
        <v>6419</v>
      </c>
    </row>
    <row r="699" spans="1:15" x14ac:dyDescent="0.25">
      <c r="A699" t="s">
        <v>6420</v>
      </c>
      <c r="B699" t="s">
        <v>704</v>
      </c>
      <c r="C699" t="s">
        <v>5817</v>
      </c>
      <c r="D699" t="s">
        <v>225</v>
      </c>
      <c r="E699" t="s">
        <v>6421</v>
      </c>
      <c r="F699" t="s">
        <v>3148</v>
      </c>
      <c r="G699" s="1">
        <v>45366</v>
      </c>
      <c r="H699" s="1"/>
      <c r="I699" t="s">
        <v>1737</v>
      </c>
      <c r="J699" t="s">
        <v>29</v>
      </c>
      <c r="K699" t="s">
        <v>29</v>
      </c>
      <c r="M699">
        <v>100</v>
      </c>
      <c r="N699" s="1" t="s">
        <v>6422</v>
      </c>
      <c r="O699" s="12" t="s">
        <v>6377</v>
      </c>
    </row>
    <row r="700" spans="1:15" x14ac:dyDescent="0.25">
      <c r="A700" t="s">
        <v>6423</v>
      </c>
      <c r="B700" t="s">
        <v>704</v>
      </c>
      <c r="C700" t="s">
        <v>6424</v>
      </c>
      <c r="D700" t="s">
        <v>6425</v>
      </c>
      <c r="E700" t="s">
        <v>6426</v>
      </c>
      <c r="F700" t="s">
        <v>14</v>
      </c>
      <c r="G700" s="1">
        <v>45366</v>
      </c>
      <c r="H700" s="1"/>
      <c r="I700" t="s">
        <v>2762</v>
      </c>
      <c r="J700" t="s">
        <v>29</v>
      </c>
      <c r="K700" t="s">
        <v>29</v>
      </c>
      <c r="M700">
        <v>100</v>
      </c>
      <c r="N700" s="1">
        <v>45366</v>
      </c>
      <c r="O700" s="12"/>
    </row>
    <row r="701" spans="1:15" x14ac:dyDescent="0.25">
      <c r="A701" t="s">
        <v>6427</v>
      </c>
      <c r="B701" t="s">
        <v>704</v>
      </c>
      <c r="C701" t="s">
        <v>32</v>
      </c>
      <c r="D701" t="s">
        <v>5106</v>
      </c>
      <c r="E701" t="s">
        <v>1169</v>
      </c>
      <c r="F701" t="s">
        <v>5728</v>
      </c>
      <c r="G701" s="1">
        <v>45370</v>
      </c>
      <c r="H701" s="1"/>
      <c r="I701" t="s">
        <v>1737</v>
      </c>
      <c r="J701" t="s">
        <v>29</v>
      </c>
      <c r="K701" t="s">
        <v>29</v>
      </c>
      <c r="M701">
        <v>100</v>
      </c>
      <c r="N701" s="1">
        <v>45387</v>
      </c>
      <c r="O701" s="12" t="s">
        <v>6428</v>
      </c>
    </row>
    <row r="702" spans="1:15" x14ac:dyDescent="0.25">
      <c r="A702" t="s">
        <v>6429</v>
      </c>
      <c r="B702" t="s">
        <v>704</v>
      </c>
      <c r="C702" t="s">
        <v>5817</v>
      </c>
      <c r="D702" t="s">
        <v>225</v>
      </c>
      <c r="E702" t="s">
        <v>6421</v>
      </c>
      <c r="F702" t="s">
        <v>5937</v>
      </c>
      <c r="G702" s="1">
        <v>45371</v>
      </c>
      <c r="H702" s="1"/>
      <c r="I702" t="s">
        <v>1737</v>
      </c>
      <c r="J702" t="s">
        <v>29</v>
      </c>
      <c r="K702" t="s">
        <v>29</v>
      </c>
      <c r="M702">
        <v>100</v>
      </c>
      <c r="N702" s="1" t="s">
        <v>6430</v>
      </c>
      <c r="O702" s="12"/>
    </row>
    <row r="703" spans="1:15" x14ac:dyDescent="0.25">
      <c r="A703" t="s">
        <v>6431</v>
      </c>
      <c r="B703" t="s">
        <v>704</v>
      </c>
      <c r="C703" t="s">
        <v>677</v>
      </c>
      <c r="D703" t="s">
        <v>678</v>
      </c>
      <c r="E703" t="s">
        <v>5651</v>
      </c>
      <c r="F703" t="s">
        <v>5937</v>
      </c>
      <c r="G703" s="1">
        <v>45371</v>
      </c>
      <c r="H703" s="1"/>
      <c r="I703" t="s">
        <v>1737</v>
      </c>
      <c r="J703" t="s">
        <v>29</v>
      </c>
      <c r="K703" t="s">
        <v>29</v>
      </c>
      <c r="M703">
        <v>100</v>
      </c>
      <c r="N703" s="1">
        <v>45384</v>
      </c>
      <c r="O703" s="12"/>
    </row>
    <row r="704" spans="1:15" x14ac:dyDescent="0.25">
      <c r="A704" t="s">
        <v>6432</v>
      </c>
      <c r="B704" t="s">
        <v>704</v>
      </c>
      <c r="C704" t="s">
        <v>32</v>
      </c>
      <c r="D704" t="s">
        <v>5156</v>
      </c>
      <c r="E704" t="s">
        <v>6433</v>
      </c>
      <c r="F704" t="s">
        <v>5413</v>
      </c>
      <c r="G704" s="1">
        <v>45371</v>
      </c>
      <c r="H704" s="1"/>
      <c r="I704" t="s">
        <v>1737</v>
      </c>
      <c r="J704" t="s">
        <v>29</v>
      </c>
      <c r="K704" t="s">
        <v>29</v>
      </c>
      <c r="M704">
        <v>100</v>
      </c>
      <c r="N704" s="1">
        <v>45380</v>
      </c>
      <c r="O704" s="12"/>
    </row>
    <row r="705" spans="1:15" x14ac:dyDescent="0.25">
      <c r="A705" t="s">
        <v>6434</v>
      </c>
      <c r="B705" t="s">
        <v>13</v>
      </c>
      <c r="C705" t="s">
        <v>5817</v>
      </c>
      <c r="D705" t="s">
        <v>628</v>
      </c>
      <c r="E705" t="s">
        <v>6435</v>
      </c>
      <c r="F705" t="s">
        <v>14</v>
      </c>
      <c r="G705" s="1">
        <v>45372</v>
      </c>
      <c r="H705" s="1"/>
      <c r="I705" t="s">
        <v>1737</v>
      </c>
      <c r="J705" t="s">
        <v>29</v>
      </c>
      <c r="K705" t="s">
        <v>18</v>
      </c>
      <c r="M705">
        <v>100</v>
      </c>
      <c r="N705" s="1">
        <v>45531</v>
      </c>
      <c r="O705" s="12"/>
    </row>
    <row r="706" spans="1:15" x14ac:dyDescent="0.25">
      <c r="A706" t="s">
        <v>6436</v>
      </c>
      <c r="B706" t="s">
        <v>704</v>
      </c>
      <c r="C706" t="s">
        <v>677</v>
      </c>
      <c r="D706" t="s">
        <v>6437</v>
      </c>
      <c r="E706" t="s">
        <v>6438</v>
      </c>
      <c r="F706" t="s">
        <v>555</v>
      </c>
      <c r="G706" s="1">
        <v>45373</v>
      </c>
      <c r="H706" s="1"/>
      <c r="I706" t="s">
        <v>1737</v>
      </c>
      <c r="J706" t="s">
        <v>29</v>
      </c>
      <c r="K706" t="s">
        <v>29</v>
      </c>
      <c r="M706">
        <v>100</v>
      </c>
      <c r="N706" s="1">
        <v>45407</v>
      </c>
      <c r="O706" s="29">
        <v>45414</v>
      </c>
    </row>
    <row r="707" spans="1:15" x14ac:dyDescent="0.25">
      <c r="A707" t="s">
        <v>6439</v>
      </c>
      <c r="B707" t="s">
        <v>474</v>
      </c>
      <c r="C707" t="s">
        <v>578</v>
      </c>
      <c r="D707" t="s">
        <v>284</v>
      </c>
      <c r="E707" t="s">
        <v>6440</v>
      </c>
      <c r="F707" t="s">
        <v>14</v>
      </c>
      <c r="G707" s="1">
        <v>45376</v>
      </c>
      <c r="H707" s="1"/>
      <c r="I707" t="s">
        <v>1737</v>
      </c>
      <c r="J707" t="s">
        <v>29</v>
      </c>
      <c r="M707">
        <v>100</v>
      </c>
      <c r="N707" s="1">
        <v>45413</v>
      </c>
      <c r="O707" s="12"/>
    </row>
    <row r="708" spans="1:15" x14ac:dyDescent="0.25">
      <c r="A708" t="s">
        <v>6441</v>
      </c>
      <c r="B708" t="s">
        <v>13</v>
      </c>
      <c r="C708" t="s">
        <v>32</v>
      </c>
      <c r="E708" t="s">
        <v>6442</v>
      </c>
      <c r="F708" t="s">
        <v>5532</v>
      </c>
      <c r="G708" s="1">
        <v>45376</v>
      </c>
      <c r="H708" s="1"/>
      <c r="I708" t="s">
        <v>1737</v>
      </c>
      <c r="J708" t="s">
        <v>29</v>
      </c>
      <c r="M708">
        <v>100</v>
      </c>
      <c r="N708" s="1">
        <v>45399</v>
      </c>
      <c r="O708" s="12"/>
    </row>
    <row r="709" spans="1:15" x14ac:dyDescent="0.25">
      <c r="A709" t="s">
        <v>6443</v>
      </c>
      <c r="B709" t="s">
        <v>704</v>
      </c>
      <c r="C709" t="s">
        <v>677</v>
      </c>
      <c r="D709" t="s">
        <v>6444</v>
      </c>
      <c r="E709" t="s">
        <v>6445</v>
      </c>
      <c r="F709" t="s">
        <v>555</v>
      </c>
      <c r="G709" s="1">
        <v>45377</v>
      </c>
      <c r="H709" s="1"/>
      <c r="I709" t="s">
        <v>1737</v>
      </c>
      <c r="J709" t="s">
        <v>29</v>
      </c>
      <c r="K709" t="s">
        <v>29</v>
      </c>
      <c r="M709">
        <v>100</v>
      </c>
      <c r="N709" s="1">
        <v>45478</v>
      </c>
      <c r="O709" s="12" t="s">
        <v>6446</v>
      </c>
    </row>
    <row r="710" spans="1:15" x14ac:dyDescent="0.25">
      <c r="A710" t="s">
        <v>6447</v>
      </c>
      <c r="B710" t="s">
        <v>704</v>
      </c>
      <c r="C710" t="s">
        <v>6424</v>
      </c>
      <c r="D710" t="s">
        <v>6425</v>
      </c>
      <c r="E710" t="s">
        <v>6448</v>
      </c>
      <c r="F710" t="s">
        <v>5616</v>
      </c>
      <c r="G710" s="1">
        <v>45378</v>
      </c>
      <c r="H710" s="1"/>
      <c r="I710" t="s">
        <v>1737</v>
      </c>
      <c r="J710" t="s">
        <v>29</v>
      </c>
      <c r="K710" t="s">
        <v>29</v>
      </c>
      <c r="M710">
        <v>100</v>
      </c>
      <c r="N710" s="1">
        <v>45392</v>
      </c>
      <c r="O710" s="12"/>
    </row>
    <row r="711" spans="1:15" x14ac:dyDescent="0.25">
      <c r="A711" t="s">
        <v>6449</v>
      </c>
      <c r="B711" t="s">
        <v>704</v>
      </c>
      <c r="C711" t="s">
        <v>5517</v>
      </c>
      <c r="D711" t="s">
        <v>5518</v>
      </c>
      <c r="E711" t="s">
        <v>6450</v>
      </c>
      <c r="F711" t="s">
        <v>3148</v>
      </c>
      <c r="G711" s="1">
        <v>45379</v>
      </c>
      <c r="H711" s="1"/>
      <c r="I711" t="s">
        <v>1737</v>
      </c>
      <c r="J711" t="s">
        <v>29</v>
      </c>
      <c r="K711" t="s">
        <v>29</v>
      </c>
      <c r="M711">
        <v>100</v>
      </c>
      <c r="N711" s="1">
        <v>45429</v>
      </c>
      <c r="O711" s="29" t="s">
        <v>6451</v>
      </c>
    </row>
    <row r="712" spans="1:15" x14ac:dyDescent="0.25">
      <c r="A712" t="s">
        <v>6452</v>
      </c>
      <c r="B712" t="s">
        <v>704</v>
      </c>
      <c r="C712" t="s">
        <v>5007</v>
      </c>
      <c r="D712" t="s">
        <v>5071</v>
      </c>
      <c r="E712" t="s">
        <v>6453</v>
      </c>
      <c r="F712" t="s">
        <v>5413</v>
      </c>
      <c r="G712" s="1">
        <v>45379</v>
      </c>
      <c r="H712" s="1"/>
      <c r="I712" t="s">
        <v>1737</v>
      </c>
      <c r="J712" t="s">
        <v>29</v>
      </c>
      <c r="K712" t="s">
        <v>29</v>
      </c>
      <c r="M712">
        <v>100</v>
      </c>
      <c r="N712" s="1">
        <v>45400</v>
      </c>
      <c r="O712" s="29">
        <v>45414</v>
      </c>
    </row>
    <row r="713" spans="1:15" x14ac:dyDescent="0.25">
      <c r="A713" t="s">
        <v>6454</v>
      </c>
      <c r="B713" t="s">
        <v>621</v>
      </c>
      <c r="C713" t="s">
        <v>5817</v>
      </c>
      <c r="D713" t="s">
        <v>628</v>
      </c>
      <c r="E713" t="s">
        <v>6455</v>
      </c>
      <c r="F713" t="s">
        <v>14</v>
      </c>
      <c r="G713" s="1">
        <v>45379</v>
      </c>
      <c r="H713" s="1"/>
      <c r="I713" t="s">
        <v>1737</v>
      </c>
      <c r="J713" t="s">
        <v>29</v>
      </c>
      <c r="M713">
        <v>100</v>
      </c>
      <c r="N713" s="1">
        <v>45531</v>
      </c>
      <c r="O713" s="12"/>
    </row>
    <row r="714" spans="1:15" x14ac:dyDescent="0.25">
      <c r="A714" t="s">
        <v>6456</v>
      </c>
      <c r="B714" t="s">
        <v>704</v>
      </c>
      <c r="C714" t="s">
        <v>43</v>
      </c>
      <c r="D714" t="s">
        <v>582</v>
      </c>
      <c r="E714" t="s">
        <v>6269</v>
      </c>
      <c r="F714" t="s">
        <v>6218</v>
      </c>
      <c r="G714" s="1">
        <v>45379</v>
      </c>
      <c r="H714" s="1"/>
      <c r="I714" t="s">
        <v>1737</v>
      </c>
      <c r="J714" t="s">
        <v>29</v>
      </c>
      <c r="K714" t="s">
        <v>29</v>
      </c>
      <c r="M714">
        <v>100</v>
      </c>
      <c r="N714" s="1">
        <v>45384</v>
      </c>
      <c r="O714" s="12"/>
    </row>
    <row r="715" spans="1:15" x14ac:dyDescent="0.25">
      <c r="A715" t="s">
        <v>6457</v>
      </c>
      <c r="B715" t="s">
        <v>325</v>
      </c>
      <c r="C715" t="s">
        <v>6458</v>
      </c>
      <c r="D715" t="s">
        <v>6459</v>
      </c>
      <c r="E715" t="s">
        <v>6460</v>
      </c>
      <c r="F715" t="s">
        <v>14</v>
      </c>
      <c r="G715" s="1">
        <v>45379</v>
      </c>
      <c r="H715" s="1"/>
      <c r="I715" t="s">
        <v>1737</v>
      </c>
      <c r="J715" t="s">
        <v>29</v>
      </c>
      <c r="M715">
        <v>100</v>
      </c>
      <c r="N715" s="1">
        <v>45422</v>
      </c>
      <c r="O715" s="12"/>
    </row>
    <row r="716" spans="1:15" x14ac:dyDescent="0.25">
      <c r="A716" t="s">
        <v>6461</v>
      </c>
      <c r="B716" t="s">
        <v>325</v>
      </c>
      <c r="C716" t="s">
        <v>32</v>
      </c>
      <c r="D716" t="s">
        <v>751</v>
      </c>
      <c r="E716" t="s">
        <v>6462</v>
      </c>
      <c r="F716" t="s">
        <v>659</v>
      </c>
      <c r="G716" s="1">
        <v>45379</v>
      </c>
      <c r="H716" s="1"/>
      <c r="I716" t="s">
        <v>2952</v>
      </c>
      <c r="J716" t="s">
        <v>29</v>
      </c>
      <c r="M716" t="s">
        <v>6463</v>
      </c>
      <c r="O716" s="12"/>
    </row>
    <row r="717" spans="1:15" x14ac:dyDescent="0.25">
      <c r="A717" t="s">
        <v>6464</v>
      </c>
      <c r="B717" t="s">
        <v>704</v>
      </c>
      <c r="C717" t="s">
        <v>611</v>
      </c>
      <c r="D717" t="s">
        <v>5425</v>
      </c>
      <c r="E717" t="s">
        <v>5983</v>
      </c>
      <c r="F717" t="s">
        <v>5984</v>
      </c>
      <c r="G717" s="1">
        <v>45380</v>
      </c>
      <c r="H717" s="1"/>
      <c r="I717" t="s">
        <v>1737</v>
      </c>
      <c r="J717" t="s">
        <v>29</v>
      </c>
      <c r="K717" t="s">
        <v>29</v>
      </c>
      <c r="M717">
        <v>100</v>
      </c>
      <c r="N717" s="1">
        <v>45411</v>
      </c>
      <c r="O717" s="29" t="s">
        <v>6465</v>
      </c>
    </row>
    <row r="718" spans="1:15" x14ac:dyDescent="0.25">
      <c r="A718" t="s">
        <v>6466</v>
      </c>
      <c r="B718" t="s">
        <v>704</v>
      </c>
      <c r="C718" t="s">
        <v>670</v>
      </c>
      <c r="D718" t="s">
        <v>5926</v>
      </c>
      <c r="E718" t="s">
        <v>6467</v>
      </c>
      <c r="F718" t="s">
        <v>3148</v>
      </c>
      <c r="G718" s="1">
        <v>45380</v>
      </c>
      <c r="H718" s="1"/>
      <c r="I718" t="s">
        <v>1737</v>
      </c>
      <c r="J718" t="s">
        <v>29</v>
      </c>
      <c r="K718" t="s">
        <v>29</v>
      </c>
      <c r="M718">
        <v>100</v>
      </c>
      <c r="N718" s="1">
        <v>45399</v>
      </c>
      <c r="O718" s="12" t="s">
        <v>6468</v>
      </c>
    </row>
    <row r="719" spans="1:15" x14ac:dyDescent="0.25">
      <c r="A719" t="s">
        <v>6469</v>
      </c>
      <c r="B719" t="s">
        <v>704</v>
      </c>
      <c r="C719" t="s">
        <v>5007</v>
      </c>
      <c r="D719" t="s">
        <v>6331</v>
      </c>
      <c r="E719" t="s">
        <v>6470</v>
      </c>
      <c r="F719" t="s">
        <v>5413</v>
      </c>
      <c r="G719" s="1">
        <v>45383</v>
      </c>
      <c r="H719" s="1"/>
      <c r="I719" t="s">
        <v>1737</v>
      </c>
      <c r="J719" t="s">
        <v>29</v>
      </c>
      <c r="K719" t="s">
        <v>29</v>
      </c>
      <c r="M719">
        <v>100</v>
      </c>
      <c r="N719" s="1">
        <v>45434</v>
      </c>
      <c r="O719" s="29" t="s">
        <v>6471</v>
      </c>
    </row>
    <row r="720" spans="1:15" x14ac:dyDescent="0.25">
      <c r="A720" t="s">
        <v>6472</v>
      </c>
      <c r="B720" t="s">
        <v>220</v>
      </c>
      <c r="C720" t="s">
        <v>4043</v>
      </c>
      <c r="D720" t="s">
        <v>397</v>
      </c>
      <c r="E720" t="s">
        <v>6473</v>
      </c>
      <c r="F720" t="s">
        <v>6474</v>
      </c>
      <c r="G720" s="1">
        <v>45383</v>
      </c>
      <c r="H720" s="1"/>
      <c r="I720" t="s">
        <v>1737</v>
      </c>
      <c r="J720" t="s">
        <v>29</v>
      </c>
      <c r="M720">
        <v>100</v>
      </c>
      <c r="N720" s="1">
        <v>45413</v>
      </c>
      <c r="O720" s="12"/>
    </row>
    <row r="721" spans="1:15" x14ac:dyDescent="0.25">
      <c r="A721" t="s">
        <v>6475</v>
      </c>
      <c r="B721" t="s">
        <v>704</v>
      </c>
      <c r="C721" t="s">
        <v>677</v>
      </c>
      <c r="D721" t="s">
        <v>678</v>
      </c>
      <c r="E721" t="s">
        <v>6476</v>
      </c>
      <c r="F721" t="s">
        <v>6477</v>
      </c>
      <c r="G721" s="1">
        <v>45384</v>
      </c>
      <c r="H721" s="1"/>
      <c r="I721" t="s">
        <v>1737</v>
      </c>
      <c r="J721" t="s">
        <v>29</v>
      </c>
      <c r="K721" t="s">
        <v>29</v>
      </c>
      <c r="M721">
        <v>100</v>
      </c>
      <c r="N721" s="1">
        <v>45399</v>
      </c>
      <c r="O721" s="29">
        <v>45397</v>
      </c>
    </row>
    <row r="722" spans="1:15" x14ac:dyDescent="0.25">
      <c r="A722" t="s">
        <v>6478</v>
      </c>
      <c r="B722" t="s">
        <v>621</v>
      </c>
      <c r="C722" t="s">
        <v>6479</v>
      </c>
      <c r="D722" t="s">
        <v>633</v>
      </c>
      <c r="E722" t="s">
        <v>6480</v>
      </c>
      <c r="F722" t="s">
        <v>14</v>
      </c>
      <c r="G722" s="1">
        <v>45384</v>
      </c>
      <c r="H722" s="1"/>
      <c r="I722" t="s">
        <v>2762</v>
      </c>
      <c r="O722" s="12"/>
    </row>
    <row r="723" spans="1:15" x14ac:dyDescent="0.25">
      <c r="A723" t="s">
        <v>6481</v>
      </c>
      <c r="B723" t="s">
        <v>704</v>
      </c>
      <c r="C723" t="s">
        <v>677</v>
      </c>
      <c r="D723" t="s">
        <v>678</v>
      </c>
      <c r="E723" t="s">
        <v>6482</v>
      </c>
      <c r="F723" t="s">
        <v>555</v>
      </c>
      <c r="G723" s="1">
        <v>45386</v>
      </c>
      <c r="H723" s="1"/>
      <c r="I723" t="s">
        <v>1737</v>
      </c>
      <c r="J723" t="s">
        <v>29</v>
      </c>
      <c r="K723" t="s">
        <v>29</v>
      </c>
      <c r="M723">
        <v>100</v>
      </c>
      <c r="N723" s="1">
        <v>45390</v>
      </c>
      <c r="O723" s="12"/>
    </row>
    <row r="724" spans="1:15" x14ac:dyDescent="0.25">
      <c r="A724" t="s">
        <v>6483</v>
      </c>
      <c r="B724" t="s">
        <v>704</v>
      </c>
      <c r="C724" t="s">
        <v>243</v>
      </c>
      <c r="D724" t="s">
        <v>6247</v>
      </c>
      <c r="E724" t="s">
        <v>6484</v>
      </c>
      <c r="F724" t="s">
        <v>6485</v>
      </c>
      <c r="G724" s="1">
        <v>45386</v>
      </c>
      <c r="H724" s="1"/>
      <c r="I724" t="s">
        <v>1737</v>
      </c>
      <c r="J724" t="s">
        <v>29</v>
      </c>
      <c r="K724" t="s">
        <v>29</v>
      </c>
      <c r="M724">
        <v>100</v>
      </c>
      <c r="N724" s="1">
        <v>45399</v>
      </c>
      <c r="O724" s="12"/>
    </row>
    <row r="725" spans="1:15" x14ac:dyDescent="0.25">
      <c r="A725" t="s">
        <v>6486</v>
      </c>
      <c r="B725" t="s">
        <v>704</v>
      </c>
      <c r="C725" t="s">
        <v>5517</v>
      </c>
      <c r="D725" t="s">
        <v>6047</v>
      </c>
      <c r="E725" t="s">
        <v>6487</v>
      </c>
      <c r="F725" t="s">
        <v>3148</v>
      </c>
      <c r="G725" s="1">
        <v>45386</v>
      </c>
      <c r="H725" s="1"/>
      <c r="I725" t="s">
        <v>1737</v>
      </c>
      <c r="J725" t="s">
        <v>29</v>
      </c>
      <c r="K725" t="s">
        <v>29</v>
      </c>
      <c r="M725">
        <v>100</v>
      </c>
      <c r="N725" s="1">
        <v>45412</v>
      </c>
      <c r="O725" s="12"/>
    </row>
    <row r="726" spans="1:15" x14ac:dyDescent="0.25">
      <c r="A726" t="s">
        <v>6488</v>
      </c>
      <c r="B726" t="s">
        <v>704</v>
      </c>
      <c r="C726" t="s">
        <v>32</v>
      </c>
      <c r="D726" t="s">
        <v>475</v>
      </c>
      <c r="E726" t="s">
        <v>6489</v>
      </c>
      <c r="F726" t="s">
        <v>5728</v>
      </c>
      <c r="G726" s="1">
        <v>45393</v>
      </c>
      <c r="H726" s="1"/>
      <c r="I726" t="s">
        <v>1737</v>
      </c>
      <c r="J726" t="s">
        <v>29</v>
      </c>
      <c r="K726" t="s">
        <v>29</v>
      </c>
      <c r="M726" t="s">
        <v>3780</v>
      </c>
      <c r="N726" s="1" t="s">
        <v>6490</v>
      </c>
      <c r="O726" s="12"/>
    </row>
    <row r="727" spans="1:15" x14ac:dyDescent="0.25">
      <c r="A727" t="s">
        <v>6491</v>
      </c>
      <c r="B727" t="s">
        <v>325</v>
      </c>
      <c r="C727" t="s">
        <v>539</v>
      </c>
      <c r="D727" t="s">
        <v>540</v>
      </c>
      <c r="E727" t="s">
        <v>6492</v>
      </c>
      <c r="F727" t="s">
        <v>5555</v>
      </c>
      <c r="G727" s="1">
        <v>45393</v>
      </c>
      <c r="H727" s="1"/>
      <c r="I727" t="s">
        <v>1737</v>
      </c>
      <c r="J727" t="s">
        <v>29</v>
      </c>
      <c r="K727" t="s">
        <v>29</v>
      </c>
      <c r="M727">
        <v>100</v>
      </c>
      <c r="N727" s="1">
        <v>45443</v>
      </c>
      <c r="O727" s="12"/>
    </row>
    <row r="728" spans="1:15" x14ac:dyDescent="0.25">
      <c r="A728" t="s">
        <v>6493</v>
      </c>
      <c r="B728" t="s">
        <v>704</v>
      </c>
      <c r="C728" t="s">
        <v>611</v>
      </c>
      <c r="D728" t="s">
        <v>5425</v>
      </c>
      <c r="E728" t="s">
        <v>6494</v>
      </c>
      <c r="F728" t="s">
        <v>5427</v>
      </c>
      <c r="G728" s="1">
        <v>45397</v>
      </c>
      <c r="H728" s="1"/>
      <c r="I728" t="s">
        <v>1737</v>
      </c>
      <c r="J728" t="s">
        <v>29</v>
      </c>
      <c r="K728" t="s">
        <v>29</v>
      </c>
      <c r="M728">
        <v>100</v>
      </c>
      <c r="N728" s="1">
        <v>45407</v>
      </c>
      <c r="O728" s="12"/>
    </row>
    <row r="729" spans="1:15" x14ac:dyDescent="0.25">
      <c r="A729" t="s">
        <v>6495</v>
      </c>
      <c r="B729" t="s">
        <v>704</v>
      </c>
      <c r="C729" t="s">
        <v>677</v>
      </c>
      <c r="D729" t="s">
        <v>678</v>
      </c>
      <c r="E729" t="s">
        <v>6496</v>
      </c>
      <c r="F729" t="s">
        <v>6497</v>
      </c>
      <c r="G729" s="1">
        <v>45397</v>
      </c>
      <c r="H729" s="1"/>
      <c r="I729" t="s">
        <v>1737</v>
      </c>
      <c r="J729" t="s">
        <v>29</v>
      </c>
      <c r="K729" t="s">
        <v>29</v>
      </c>
      <c r="M729">
        <v>100</v>
      </c>
      <c r="N729" s="1">
        <v>45411</v>
      </c>
      <c r="O729" s="12"/>
    </row>
    <row r="730" spans="1:15" x14ac:dyDescent="0.25">
      <c r="A730" t="s">
        <v>6498</v>
      </c>
      <c r="B730" t="s">
        <v>704</v>
      </c>
      <c r="C730" t="s">
        <v>4698</v>
      </c>
      <c r="D730" t="s">
        <v>5478</v>
      </c>
      <c r="E730" t="s">
        <v>1169</v>
      </c>
      <c r="F730" t="s">
        <v>5728</v>
      </c>
      <c r="G730" s="1">
        <v>45398</v>
      </c>
      <c r="H730" s="1"/>
      <c r="I730" t="s">
        <v>1737</v>
      </c>
      <c r="J730" t="s">
        <v>29</v>
      </c>
      <c r="K730" t="s">
        <v>29</v>
      </c>
      <c r="M730">
        <v>100</v>
      </c>
      <c r="N730" s="1">
        <v>45407</v>
      </c>
      <c r="O730" s="12"/>
    </row>
    <row r="731" spans="1:15" x14ac:dyDescent="0.25">
      <c r="A731" t="s">
        <v>6499</v>
      </c>
      <c r="B731" t="s">
        <v>704</v>
      </c>
      <c r="C731" t="s">
        <v>243</v>
      </c>
      <c r="D731" t="s">
        <v>6247</v>
      </c>
      <c r="E731" t="s">
        <v>6500</v>
      </c>
      <c r="F731" t="s">
        <v>5413</v>
      </c>
      <c r="G731" s="1">
        <v>45398</v>
      </c>
      <c r="H731" s="1"/>
      <c r="I731" t="s">
        <v>1737</v>
      </c>
      <c r="J731" t="s">
        <v>29</v>
      </c>
      <c r="K731" t="s">
        <v>29</v>
      </c>
      <c r="M731">
        <v>100</v>
      </c>
      <c r="N731" s="1">
        <v>45400</v>
      </c>
      <c r="O731" s="12"/>
    </row>
    <row r="732" spans="1:15" x14ac:dyDescent="0.25">
      <c r="A732" t="s">
        <v>6501</v>
      </c>
      <c r="B732" t="s">
        <v>704</v>
      </c>
      <c r="C732" t="s">
        <v>243</v>
      </c>
      <c r="D732" t="s">
        <v>6247</v>
      </c>
      <c r="E732" t="s">
        <v>6502</v>
      </c>
      <c r="F732" t="s">
        <v>243</v>
      </c>
      <c r="G732" s="1">
        <v>45398</v>
      </c>
      <c r="H732" s="1"/>
      <c r="I732" t="s">
        <v>1737</v>
      </c>
      <c r="J732" t="s">
        <v>29</v>
      </c>
      <c r="K732" t="s">
        <v>29</v>
      </c>
      <c r="M732">
        <v>100</v>
      </c>
      <c r="N732" s="1">
        <v>45411</v>
      </c>
      <c r="O732" s="12"/>
    </row>
    <row r="733" spans="1:15" x14ac:dyDescent="0.25">
      <c r="A733" t="s">
        <v>6503</v>
      </c>
      <c r="B733" t="s">
        <v>325</v>
      </c>
      <c r="C733" t="s">
        <v>32</v>
      </c>
      <c r="D733" t="s">
        <v>397</v>
      </c>
      <c r="E733" t="s">
        <v>6504</v>
      </c>
      <c r="F733" t="s">
        <v>6401</v>
      </c>
      <c r="G733" s="1">
        <v>45399</v>
      </c>
      <c r="H733" s="1"/>
      <c r="I733" t="s">
        <v>1737</v>
      </c>
      <c r="J733" t="s">
        <v>29</v>
      </c>
      <c r="M733">
        <v>100</v>
      </c>
      <c r="N733" s="1">
        <v>45456</v>
      </c>
      <c r="O733" s="12"/>
    </row>
    <row r="734" spans="1:15" x14ac:dyDescent="0.25">
      <c r="A734" t="s">
        <v>6505</v>
      </c>
      <c r="B734" t="s">
        <v>6506</v>
      </c>
      <c r="C734" t="s">
        <v>6507</v>
      </c>
      <c r="D734" t="s">
        <v>4056</v>
      </c>
      <c r="E734" t="s">
        <v>4056</v>
      </c>
      <c r="F734" t="s">
        <v>4056</v>
      </c>
      <c r="G734" s="1">
        <v>45399</v>
      </c>
      <c r="H734" s="1"/>
      <c r="I734" t="s">
        <v>2762</v>
      </c>
      <c r="J734" t="s">
        <v>29</v>
      </c>
      <c r="O734" s="12"/>
    </row>
    <row r="735" spans="1:15" x14ac:dyDescent="0.25">
      <c r="A735" t="s">
        <v>6508</v>
      </c>
      <c r="B735" t="s">
        <v>13</v>
      </c>
      <c r="C735" t="s">
        <v>578</v>
      </c>
      <c r="D735" t="s">
        <v>326</v>
      </c>
      <c r="E735" t="s">
        <v>6509</v>
      </c>
      <c r="F735" t="s">
        <v>6474</v>
      </c>
      <c r="G735" s="1">
        <v>45400</v>
      </c>
      <c r="H735" s="1"/>
      <c r="I735" t="s">
        <v>1737</v>
      </c>
      <c r="J735" t="s">
        <v>29</v>
      </c>
      <c r="M735">
        <v>100</v>
      </c>
      <c r="N735" s="1">
        <v>45453</v>
      </c>
      <c r="O735" s="12"/>
    </row>
    <row r="736" spans="1:15" x14ac:dyDescent="0.25">
      <c r="A736" t="s">
        <v>6510</v>
      </c>
      <c r="B736" t="s">
        <v>704</v>
      </c>
      <c r="C736" t="s">
        <v>32</v>
      </c>
      <c r="D736" t="s">
        <v>5156</v>
      </c>
      <c r="E736" t="s">
        <v>6511</v>
      </c>
      <c r="F736" t="s">
        <v>5704</v>
      </c>
      <c r="G736" s="1">
        <v>45401</v>
      </c>
      <c r="H736" s="1"/>
      <c r="I736" t="s">
        <v>1737</v>
      </c>
      <c r="J736" t="s">
        <v>29</v>
      </c>
      <c r="K736" t="s">
        <v>29</v>
      </c>
      <c r="M736">
        <v>100</v>
      </c>
      <c r="N736" s="1">
        <v>45433</v>
      </c>
      <c r="O736" s="12" t="s">
        <v>6512</v>
      </c>
    </row>
    <row r="737" spans="1:15" x14ac:dyDescent="0.25">
      <c r="A737" t="s">
        <v>6513</v>
      </c>
      <c r="B737" t="s">
        <v>621</v>
      </c>
      <c r="C737" t="s">
        <v>6514</v>
      </c>
      <c r="D737" t="s">
        <v>6515</v>
      </c>
      <c r="E737" t="s">
        <v>6516</v>
      </c>
      <c r="F737" t="s">
        <v>14</v>
      </c>
      <c r="G737" s="1">
        <v>45401</v>
      </c>
      <c r="H737" s="1"/>
      <c r="I737" t="s">
        <v>2762</v>
      </c>
      <c r="L737" t="s">
        <v>6517</v>
      </c>
      <c r="O737" s="12"/>
    </row>
    <row r="738" spans="1:15" x14ac:dyDescent="0.25">
      <c r="A738" t="s">
        <v>6518</v>
      </c>
      <c r="B738" t="s">
        <v>704</v>
      </c>
      <c r="C738" t="s">
        <v>6519</v>
      </c>
      <c r="D738" t="s">
        <v>6520</v>
      </c>
      <c r="E738" t="s">
        <v>6521</v>
      </c>
      <c r="F738" t="s">
        <v>6522</v>
      </c>
      <c r="G738" s="1">
        <v>45404</v>
      </c>
      <c r="H738" s="1"/>
      <c r="I738" t="s">
        <v>1737</v>
      </c>
      <c r="J738" t="s">
        <v>29</v>
      </c>
      <c r="K738" t="s">
        <v>29</v>
      </c>
      <c r="M738">
        <v>100</v>
      </c>
      <c r="N738" s="1">
        <v>45407</v>
      </c>
      <c r="O738" s="12"/>
    </row>
    <row r="739" spans="1:15" x14ac:dyDescent="0.25">
      <c r="A739" t="s">
        <v>6523</v>
      </c>
      <c r="B739" t="s">
        <v>704</v>
      </c>
      <c r="C739" t="s">
        <v>243</v>
      </c>
      <c r="D739" t="s">
        <v>6247</v>
      </c>
      <c r="E739" t="s">
        <v>6524</v>
      </c>
      <c r="F739" t="s">
        <v>3148</v>
      </c>
      <c r="G739" s="1">
        <v>45404</v>
      </c>
      <c r="H739" s="1"/>
      <c r="I739" t="s">
        <v>1737</v>
      </c>
      <c r="J739" t="s">
        <v>29</v>
      </c>
      <c r="K739" t="s">
        <v>29</v>
      </c>
      <c r="M739">
        <v>100</v>
      </c>
      <c r="N739" s="1">
        <v>45436</v>
      </c>
      <c r="O739" s="12"/>
    </row>
    <row r="740" spans="1:15" x14ac:dyDescent="0.25">
      <c r="A740" t="s">
        <v>6525</v>
      </c>
      <c r="B740" t="s">
        <v>704</v>
      </c>
      <c r="C740" t="s">
        <v>5049</v>
      </c>
      <c r="D740" t="s">
        <v>5050</v>
      </c>
      <c r="E740" t="s">
        <v>6526</v>
      </c>
      <c r="F740" t="s">
        <v>5413</v>
      </c>
      <c r="G740" s="1">
        <v>45405</v>
      </c>
      <c r="H740" s="1"/>
      <c r="I740" t="s">
        <v>1737</v>
      </c>
      <c r="J740" t="s">
        <v>29</v>
      </c>
      <c r="K740" t="s">
        <v>29</v>
      </c>
      <c r="M740">
        <v>100</v>
      </c>
      <c r="N740" s="1">
        <v>45408</v>
      </c>
      <c r="O740" s="12"/>
    </row>
    <row r="741" spans="1:15" x14ac:dyDescent="0.25">
      <c r="A741" t="s">
        <v>6527</v>
      </c>
      <c r="B741" t="s">
        <v>704</v>
      </c>
      <c r="C741" t="s">
        <v>243</v>
      </c>
      <c r="D741" t="s">
        <v>6247</v>
      </c>
      <c r="E741" t="s">
        <v>6528</v>
      </c>
      <c r="F741" t="s">
        <v>6485</v>
      </c>
      <c r="G741" s="1">
        <v>45405</v>
      </c>
      <c r="H741" s="1"/>
      <c r="I741" t="s">
        <v>1737</v>
      </c>
      <c r="J741" t="s">
        <v>29</v>
      </c>
      <c r="K741" t="s">
        <v>29</v>
      </c>
      <c r="M741">
        <v>100</v>
      </c>
      <c r="N741" s="1">
        <v>45433</v>
      </c>
      <c r="O741" s="12"/>
    </row>
    <row r="742" spans="1:15" x14ac:dyDescent="0.25">
      <c r="A742" t="s">
        <v>6529</v>
      </c>
      <c r="B742" t="s">
        <v>704</v>
      </c>
      <c r="C742" t="s">
        <v>4737</v>
      </c>
      <c r="D742" t="s">
        <v>5380</v>
      </c>
      <c r="E742" t="s">
        <v>5851</v>
      </c>
      <c r="F742" t="s">
        <v>555</v>
      </c>
      <c r="G742" s="1">
        <v>45406</v>
      </c>
      <c r="H742" s="1"/>
      <c r="I742" t="s">
        <v>1737</v>
      </c>
      <c r="J742" t="s">
        <v>29</v>
      </c>
      <c r="K742" t="s">
        <v>29</v>
      </c>
      <c r="M742">
        <v>100</v>
      </c>
      <c r="N742" s="1">
        <v>45406</v>
      </c>
      <c r="O742" s="12"/>
    </row>
    <row r="743" spans="1:15" x14ac:dyDescent="0.25">
      <c r="A743" t="s">
        <v>6530</v>
      </c>
      <c r="B743" t="s">
        <v>474</v>
      </c>
      <c r="C743" t="s">
        <v>43</v>
      </c>
      <c r="D743" t="s">
        <v>3721</v>
      </c>
      <c r="E743" t="s">
        <v>867</v>
      </c>
      <c r="F743" t="s">
        <v>4966</v>
      </c>
      <c r="G743" s="1">
        <v>45406</v>
      </c>
      <c r="H743" s="1"/>
      <c r="I743" t="s">
        <v>1737</v>
      </c>
      <c r="J743" t="s">
        <v>29</v>
      </c>
      <c r="M743">
        <v>100</v>
      </c>
      <c r="N743" s="1">
        <v>45411</v>
      </c>
      <c r="O743" s="12"/>
    </row>
    <row r="744" spans="1:15" x14ac:dyDescent="0.25">
      <c r="A744" t="s">
        <v>6531</v>
      </c>
      <c r="B744" t="s">
        <v>704</v>
      </c>
      <c r="C744" t="s">
        <v>243</v>
      </c>
      <c r="D744" t="s">
        <v>6247</v>
      </c>
      <c r="E744" t="s">
        <v>6532</v>
      </c>
      <c r="F744" t="s">
        <v>670</v>
      </c>
      <c r="G744" s="1">
        <v>45406</v>
      </c>
      <c r="H744" s="1"/>
      <c r="I744" t="s">
        <v>1737</v>
      </c>
      <c r="J744" t="s">
        <v>29</v>
      </c>
      <c r="K744" t="s">
        <v>29</v>
      </c>
      <c r="M744">
        <v>100</v>
      </c>
      <c r="N744" s="1">
        <v>45412</v>
      </c>
      <c r="O744" s="12"/>
    </row>
    <row r="745" spans="1:15" x14ac:dyDescent="0.25">
      <c r="A745" t="s">
        <v>6533</v>
      </c>
      <c r="B745" t="s">
        <v>704</v>
      </c>
      <c r="C745" t="s">
        <v>6416</v>
      </c>
      <c r="D745" t="s">
        <v>6534</v>
      </c>
      <c r="E745" t="s">
        <v>6535</v>
      </c>
      <c r="F745" t="s">
        <v>5413</v>
      </c>
      <c r="G745" s="1">
        <v>45406</v>
      </c>
      <c r="H745" s="1"/>
      <c r="I745" t="s">
        <v>1737</v>
      </c>
      <c r="J745" t="s">
        <v>29</v>
      </c>
      <c r="K745" t="s">
        <v>29</v>
      </c>
      <c r="M745">
        <v>100</v>
      </c>
      <c r="N745" s="1">
        <v>45426</v>
      </c>
      <c r="O745" s="12"/>
    </row>
    <row r="746" spans="1:15" x14ac:dyDescent="0.25">
      <c r="A746" t="s">
        <v>6536</v>
      </c>
      <c r="B746" t="s">
        <v>704</v>
      </c>
      <c r="C746" t="s">
        <v>670</v>
      </c>
      <c r="D746" t="s">
        <v>5102</v>
      </c>
      <c r="E746" t="s">
        <v>6537</v>
      </c>
      <c r="F746" t="s">
        <v>3148</v>
      </c>
      <c r="G746" s="1">
        <v>45407</v>
      </c>
      <c r="H746" s="1"/>
      <c r="I746" t="s">
        <v>1737</v>
      </c>
      <c r="J746" t="s">
        <v>29</v>
      </c>
      <c r="K746" t="s">
        <v>29</v>
      </c>
      <c r="M746">
        <v>100</v>
      </c>
      <c r="N746" s="1">
        <v>45425</v>
      </c>
      <c r="O746" s="12"/>
    </row>
    <row r="747" spans="1:15" x14ac:dyDescent="0.25">
      <c r="A747" t="s">
        <v>6538</v>
      </c>
      <c r="B747" t="s">
        <v>704</v>
      </c>
      <c r="C747" t="s">
        <v>310</v>
      </c>
      <c r="D747" t="s">
        <v>6539</v>
      </c>
      <c r="E747" t="s">
        <v>6540</v>
      </c>
      <c r="F747" t="s">
        <v>6019</v>
      </c>
      <c r="G747" s="1">
        <v>45407</v>
      </c>
      <c r="H747" s="1"/>
      <c r="I747" t="s">
        <v>1737</v>
      </c>
      <c r="J747" t="s">
        <v>29</v>
      </c>
      <c r="K747" t="s">
        <v>29</v>
      </c>
      <c r="M747">
        <v>100</v>
      </c>
      <c r="N747" s="1">
        <v>45411</v>
      </c>
      <c r="O747" s="12"/>
    </row>
    <row r="748" spans="1:15" x14ac:dyDescent="0.25">
      <c r="A748" t="s">
        <v>6541</v>
      </c>
      <c r="B748" t="s">
        <v>704</v>
      </c>
      <c r="C748" t="s">
        <v>4737</v>
      </c>
      <c r="D748" t="s">
        <v>5380</v>
      </c>
      <c r="E748" t="s">
        <v>6542</v>
      </c>
      <c r="F748" t="s">
        <v>555</v>
      </c>
      <c r="G748" s="1">
        <v>45408</v>
      </c>
      <c r="H748" s="1"/>
      <c r="I748" t="s">
        <v>1737</v>
      </c>
      <c r="J748" t="s">
        <v>29</v>
      </c>
      <c r="K748" t="s">
        <v>29</v>
      </c>
      <c r="M748">
        <v>100</v>
      </c>
      <c r="N748" s="1">
        <v>45408</v>
      </c>
      <c r="O748" s="12"/>
    </row>
    <row r="749" spans="1:15" x14ac:dyDescent="0.25">
      <c r="A749" t="s">
        <v>6543</v>
      </c>
      <c r="B749" t="s">
        <v>704</v>
      </c>
      <c r="C749" t="s">
        <v>243</v>
      </c>
      <c r="D749" t="s">
        <v>6247</v>
      </c>
      <c r="E749" t="s">
        <v>6544</v>
      </c>
      <c r="F749" t="s">
        <v>670</v>
      </c>
      <c r="G749" s="1">
        <v>45408</v>
      </c>
      <c r="H749" s="1"/>
      <c r="I749" t="s">
        <v>1737</v>
      </c>
      <c r="J749" t="s">
        <v>29</v>
      </c>
      <c r="K749" t="s">
        <v>29</v>
      </c>
      <c r="M749">
        <v>100</v>
      </c>
      <c r="N749" s="1">
        <v>45419</v>
      </c>
      <c r="O749" s="12"/>
    </row>
    <row r="750" spans="1:15" x14ac:dyDescent="0.25">
      <c r="A750" t="s">
        <v>6545</v>
      </c>
      <c r="B750" t="s">
        <v>704</v>
      </c>
      <c r="C750" t="s">
        <v>670</v>
      </c>
      <c r="D750" t="s">
        <v>5102</v>
      </c>
      <c r="E750" t="s">
        <v>6546</v>
      </c>
      <c r="F750" t="s">
        <v>3148</v>
      </c>
      <c r="G750" s="1">
        <v>45408</v>
      </c>
      <c r="H750" s="1"/>
      <c r="I750" t="s">
        <v>1737</v>
      </c>
      <c r="J750" t="s">
        <v>29</v>
      </c>
      <c r="K750" t="s">
        <v>29</v>
      </c>
      <c r="M750">
        <v>100</v>
      </c>
      <c r="N750" s="1">
        <v>45425</v>
      </c>
      <c r="O750" s="12"/>
    </row>
    <row r="751" spans="1:15" x14ac:dyDescent="0.25">
      <c r="A751" t="s">
        <v>6547</v>
      </c>
      <c r="B751" t="s">
        <v>704</v>
      </c>
      <c r="C751" t="s">
        <v>243</v>
      </c>
      <c r="D751" t="s">
        <v>6247</v>
      </c>
      <c r="E751" t="s">
        <v>6548</v>
      </c>
      <c r="F751" t="s">
        <v>670</v>
      </c>
      <c r="G751" s="1">
        <v>45411</v>
      </c>
      <c r="H751" s="1"/>
      <c r="I751" t="s">
        <v>1737</v>
      </c>
      <c r="J751" t="s">
        <v>29</v>
      </c>
      <c r="K751" t="s">
        <v>29</v>
      </c>
      <c r="M751">
        <v>100</v>
      </c>
      <c r="N751" s="1">
        <v>45426</v>
      </c>
      <c r="O751" s="12"/>
    </row>
    <row r="752" spans="1:15" x14ac:dyDescent="0.25">
      <c r="A752" t="s">
        <v>6549</v>
      </c>
      <c r="B752" t="s">
        <v>704</v>
      </c>
      <c r="C752" t="s">
        <v>243</v>
      </c>
      <c r="D752" t="s">
        <v>6247</v>
      </c>
      <c r="E752" t="s">
        <v>6550</v>
      </c>
      <c r="F752" t="s">
        <v>6485</v>
      </c>
      <c r="G752" s="1">
        <v>45412</v>
      </c>
      <c r="H752" s="1"/>
      <c r="I752" t="s">
        <v>1737</v>
      </c>
      <c r="J752" t="s">
        <v>29</v>
      </c>
      <c r="K752" t="s">
        <v>29</v>
      </c>
      <c r="M752">
        <v>100</v>
      </c>
      <c r="N752" s="1">
        <v>45433</v>
      </c>
      <c r="O752" s="12" t="s">
        <v>6551</v>
      </c>
    </row>
    <row r="753" spans="1:15" x14ac:dyDescent="0.25">
      <c r="A753" t="s">
        <v>6552</v>
      </c>
      <c r="B753" t="s">
        <v>704</v>
      </c>
      <c r="C753" t="s">
        <v>670</v>
      </c>
      <c r="D753" t="s">
        <v>5102</v>
      </c>
      <c r="E753" t="s">
        <v>6546</v>
      </c>
      <c r="F753" t="s">
        <v>3148</v>
      </c>
      <c r="G753" s="1">
        <v>45413</v>
      </c>
      <c r="H753" s="1"/>
      <c r="I753" t="s">
        <v>1737</v>
      </c>
      <c r="J753" t="s">
        <v>29</v>
      </c>
      <c r="K753" t="s">
        <v>29</v>
      </c>
      <c r="M753">
        <v>100</v>
      </c>
      <c r="N753" s="1">
        <v>45419</v>
      </c>
      <c r="O753" s="12"/>
    </row>
    <row r="754" spans="1:15" x14ac:dyDescent="0.25">
      <c r="A754" t="s">
        <v>6553</v>
      </c>
      <c r="B754" t="s">
        <v>704</v>
      </c>
      <c r="C754" t="s">
        <v>611</v>
      </c>
      <c r="D754" t="s">
        <v>5425</v>
      </c>
      <c r="E754" t="s">
        <v>6554</v>
      </c>
      <c r="F754" t="s">
        <v>6555</v>
      </c>
      <c r="G754" s="1">
        <v>45414</v>
      </c>
      <c r="H754" s="1"/>
      <c r="I754" t="s">
        <v>1737</v>
      </c>
      <c r="J754" t="s">
        <v>29</v>
      </c>
      <c r="K754" t="s">
        <v>29</v>
      </c>
      <c r="M754">
        <v>100</v>
      </c>
      <c r="N754" s="1">
        <v>45474</v>
      </c>
      <c r="O754" s="12" t="s">
        <v>6556</v>
      </c>
    </row>
    <row r="755" spans="1:15" x14ac:dyDescent="0.25">
      <c r="A755" t="s">
        <v>6557</v>
      </c>
      <c r="B755" t="s">
        <v>704</v>
      </c>
      <c r="C755" t="s">
        <v>243</v>
      </c>
      <c r="D755" t="s">
        <v>6247</v>
      </c>
      <c r="E755" t="s">
        <v>6558</v>
      </c>
      <c r="F755" t="s">
        <v>670</v>
      </c>
      <c r="G755" s="1">
        <v>45418</v>
      </c>
      <c r="H755" s="1"/>
      <c r="I755" t="s">
        <v>1737</v>
      </c>
      <c r="J755" t="s">
        <v>29</v>
      </c>
      <c r="K755" t="s">
        <v>29</v>
      </c>
      <c r="M755" t="s">
        <v>3780</v>
      </c>
      <c r="N755" s="1" t="s">
        <v>6559</v>
      </c>
      <c r="O755" s="12"/>
    </row>
    <row r="756" spans="1:15" x14ac:dyDescent="0.25">
      <c r="A756" t="s">
        <v>6560</v>
      </c>
      <c r="B756" t="s">
        <v>704</v>
      </c>
      <c r="C756" t="s">
        <v>243</v>
      </c>
      <c r="D756" t="s">
        <v>6247</v>
      </c>
      <c r="E756" s="33" t="s">
        <v>6561</v>
      </c>
      <c r="F756" t="s">
        <v>670</v>
      </c>
      <c r="G756" s="1">
        <v>45418</v>
      </c>
      <c r="H756" s="1"/>
      <c r="I756" t="s">
        <v>1737</v>
      </c>
      <c r="J756" t="s">
        <v>29</v>
      </c>
      <c r="K756" t="s">
        <v>29</v>
      </c>
      <c r="M756">
        <v>100</v>
      </c>
      <c r="N756" s="1">
        <v>45426</v>
      </c>
      <c r="O756" s="12"/>
    </row>
    <row r="757" spans="1:15" x14ac:dyDescent="0.25">
      <c r="A757" t="s">
        <v>6562</v>
      </c>
      <c r="B757" t="s">
        <v>704</v>
      </c>
      <c r="C757" t="s">
        <v>611</v>
      </c>
      <c r="D757" t="s">
        <v>5425</v>
      </c>
      <c r="E757" t="s">
        <v>6563</v>
      </c>
      <c r="F757" t="s">
        <v>5427</v>
      </c>
      <c r="G757" s="1">
        <v>45418</v>
      </c>
      <c r="H757" s="1"/>
      <c r="I757" t="s">
        <v>1737</v>
      </c>
      <c r="J757" t="s">
        <v>29</v>
      </c>
      <c r="K757" t="s">
        <v>29</v>
      </c>
      <c r="M757">
        <v>100</v>
      </c>
      <c r="N757" s="1">
        <v>45421</v>
      </c>
      <c r="O757" s="12"/>
    </row>
    <row r="758" spans="1:15" x14ac:dyDescent="0.25">
      <c r="A758" t="s">
        <v>6564</v>
      </c>
      <c r="B758" t="s">
        <v>135</v>
      </c>
      <c r="C758" t="s">
        <v>6565</v>
      </c>
      <c r="D758" t="s">
        <v>5836</v>
      </c>
      <c r="E758" t="s">
        <v>6566</v>
      </c>
      <c r="F758" t="s">
        <v>6474</v>
      </c>
      <c r="G758" s="1">
        <v>45418</v>
      </c>
      <c r="H758" s="1"/>
      <c r="I758" t="s">
        <v>1737</v>
      </c>
      <c r="J758" t="s">
        <v>29</v>
      </c>
      <c r="K758" t="s">
        <v>29</v>
      </c>
      <c r="M758">
        <v>100</v>
      </c>
      <c r="N758" s="1">
        <v>45454</v>
      </c>
      <c r="O758" s="12"/>
    </row>
    <row r="759" spans="1:15" x14ac:dyDescent="0.25">
      <c r="A759" t="s">
        <v>6567</v>
      </c>
      <c r="B759" t="s">
        <v>474</v>
      </c>
      <c r="C759" t="s">
        <v>243</v>
      </c>
      <c r="D759" t="s">
        <v>6568</v>
      </c>
      <c r="E759" t="s">
        <v>6569</v>
      </c>
      <c r="F759" t="s">
        <v>6570</v>
      </c>
      <c r="G759" s="1">
        <v>45418</v>
      </c>
      <c r="H759" s="1"/>
      <c r="I759" t="s">
        <v>1737</v>
      </c>
      <c r="J759" t="s">
        <v>29</v>
      </c>
      <c r="M759">
        <v>100</v>
      </c>
      <c r="N759" s="1">
        <v>45433</v>
      </c>
      <c r="O759" s="12"/>
    </row>
    <row r="760" spans="1:15" x14ac:dyDescent="0.25">
      <c r="A760" t="s">
        <v>6571</v>
      </c>
      <c r="B760" t="s">
        <v>325</v>
      </c>
      <c r="C760" t="s">
        <v>32</v>
      </c>
      <c r="D760" t="s">
        <v>5151</v>
      </c>
      <c r="E760" t="s">
        <v>6572</v>
      </c>
      <c r="F760" t="s">
        <v>6573</v>
      </c>
      <c r="G760" s="1">
        <v>45419</v>
      </c>
      <c r="H760" s="1"/>
      <c r="I760" t="s">
        <v>1737</v>
      </c>
      <c r="J760" t="s">
        <v>29</v>
      </c>
      <c r="K760" t="s">
        <v>29</v>
      </c>
      <c r="M760">
        <v>100</v>
      </c>
      <c r="N760" s="1">
        <v>45428</v>
      </c>
      <c r="O760" s="12"/>
    </row>
    <row r="761" spans="1:15" x14ac:dyDescent="0.25">
      <c r="A761" t="s">
        <v>6574</v>
      </c>
      <c r="B761" t="s">
        <v>704</v>
      </c>
      <c r="C761" t="s">
        <v>32</v>
      </c>
      <c r="D761" t="s">
        <v>5156</v>
      </c>
      <c r="E761" t="s">
        <v>6575</v>
      </c>
      <c r="F761" t="s">
        <v>5728</v>
      </c>
      <c r="G761" s="1">
        <v>45420</v>
      </c>
      <c r="H761" s="1"/>
      <c r="I761" t="s">
        <v>1737</v>
      </c>
      <c r="J761" t="s">
        <v>29</v>
      </c>
      <c r="K761" t="s">
        <v>29</v>
      </c>
      <c r="M761">
        <v>100</v>
      </c>
      <c r="N761" s="1">
        <v>45425</v>
      </c>
      <c r="O761" s="12"/>
    </row>
    <row r="762" spans="1:15" x14ac:dyDescent="0.25">
      <c r="A762" t="s">
        <v>6576</v>
      </c>
      <c r="B762" t="s">
        <v>704</v>
      </c>
      <c r="C762" t="s">
        <v>611</v>
      </c>
      <c r="D762" t="s">
        <v>6577</v>
      </c>
      <c r="E762" t="s">
        <v>662</v>
      </c>
      <c r="F762" t="s">
        <v>5504</v>
      </c>
      <c r="G762" s="1">
        <v>45421</v>
      </c>
      <c r="H762" s="1"/>
      <c r="I762" t="s">
        <v>1737</v>
      </c>
      <c r="J762" t="s">
        <v>29</v>
      </c>
      <c r="K762" t="s">
        <v>29</v>
      </c>
      <c r="M762">
        <v>100</v>
      </c>
      <c r="N762" s="1">
        <v>45433</v>
      </c>
      <c r="O762" s="29" t="s">
        <v>6578</v>
      </c>
    </row>
    <row r="763" spans="1:15" x14ac:dyDescent="0.25">
      <c r="A763" t="s">
        <v>6579</v>
      </c>
      <c r="B763" t="s">
        <v>704</v>
      </c>
      <c r="C763" t="s">
        <v>32</v>
      </c>
      <c r="D763" t="s">
        <v>5156</v>
      </c>
      <c r="E763" t="s">
        <v>6580</v>
      </c>
      <c r="F763" t="s">
        <v>5707</v>
      </c>
      <c r="G763" s="1">
        <v>45422</v>
      </c>
      <c r="H763" s="1"/>
      <c r="I763" t="s">
        <v>1737</v>
      </c>
      <c r="J763" t="s">
        <v>29</v>
      </c>
      <c r="K763" t="s">
        <v>29</v>
      </c>
      <c r="M763">
        <v>100</v>
      </c>
      <c r="N763" s="1">
        <v>45436</v>
      </c>
      <c r="O763" s="12" t="s">
        <v>6581</v>
      </c>
    </row>
    <row r="764" spans="1:15" x14ac:dyDescent="0.25">
      <c r="A764" t="s">
        <v>6582</v>
      </c>
      <c r="B764" t="s">
        <v>13</v>
      </c>
      <c r="C764" t="s">
        <v>310</v>
      </c>
      <c r="D764" t="s">
        <v>762</v>
      </c>
      <c r="E764" t="s">
        <v>6583</v>
      </c>
      <c r="F764" t="s">
        <v>6474</v>
      </c>
      <c r="G764" s="1">
        <v>45418</v>
      </c>
      <c r="H764" s="1"/>
      <c r="I764" t="s">
        <v>1737</v>
      </c>
      <c r="J764" t="s">
        <v>29</v>
      </c>
      <c r="M764">
        <v>100</v>
      </c>
      <c r="N764" s="1">
        <v>45628</v>
      </c>
      <c r="O764" s="12"/>
    </row>
    <row r="765" spans="1:15" x14ac:dyDescent="0.25">
      <c r="A765" t="s">
        <v>6584</v>
      </c>
      <c r="B765" t="s">
        <v>24</v>
      </c>
      <c r="C765" t="s">
        <v>43</v>
      </c>
      <c r="D765" t="s">
        <v>6585</v>
      </c>
      <c r="E765" t="s">
        <v>6586</v>
      </c>
      <c r="F765" t="s">
        <v>6587</v>
      </c>
      <c r="G765" s="1">
        <v>45425</v>
      </c>
      <c r="H765" s="1"/>
      <c r="I765" t="s">
        <v>1737</v>
      </c>
      <c r="J765" t="s">
        <v>29</v>
      </c>
      <c r="M765">
        <v>100</v>
      </c>
      <c r="N765" s="1">
        <v>45443</v>
      </c>
      <c r="O765" s="12"/>
    </row>
    <row r="766" spans="1:15" x14ac:dyDescent="0.25">
      <c r="A766" t="s">
        <v>6588</v>
      </c>
      <c r="B766" t="s">
        <v>704</v>
      </c>
      <c r="C766" t="s">
        <v>670</v>
      </c>
      <c r="D766" t="s">
        <v>5214</v>
      </c>
      <c r="E766" t="s">
        <v>5567</v>
      </c>
      <c r="F766" t="s">
        <v>5413</v>
      </c>
      <c r="G766" s="1">
        <v>45426</v>
      </c>
      <c r="H766" s="1"/>
      <c r="I766" t="s">
        <v>1737</v>
      </c>
      <c r="J766" t="s">
        <v>29</v>
      </c>
      <c r="K766" t="s">
        <v>29</v>
      </c>
      <c r="M766">
        <v>100</v>
      </c>
      <c r="N766" s="1">
        <v>45464</v>
      </c>
      <c r="O766" s="12" t="s">
        <v>6589</v>
      </c>
    </row>
    <row r="767" spans="1:15" x14ac:dyDescent="0.25">
      <c r="A767" t="s">
        <v>6590</v>
      </c>
      <c r="B767" t="s">
        <v>704</v>
      </c>
      <c r="C767" t="s">
        <v>32</v>
      </c>
      <c r="D767" t="s">
        <v>5221</v>
      </c>
      <c r="E767" t="s">
        <v>6591</v>
      </c>
      <c r="F767" t="s">
        <v>329</v>
      </c>
      <c r="G767" s="1">
        <v>45428</v>
      </c>
      <c r="H767" s="1"/>
      <c r="I767" t="s">
        <v>1737</v>
      </c>
      <c r="J767" t="s">
        <v>29</v>
      </c>
      <c r="K767" t="s">
        <v>29</v>
      </c>
      <c r="M767">
        <v>100</v>
      </c>
      <c r="N767" s="1">
        <v>45559</v>
      </c>
      <c r="O767" s="12" t="s">
        <v>6592</v>
      </c>
    </row>
    <row r="768" spans="1:15" x14ac:dyDescent="0.25">
      <c r="A768" t="s">
        <v>6593</v>
      </c>
      <c r="B768" t="s">
        <v>704</v>
      </c>
      <c r="C768" t="s">
        <v>32</v>
      </c>
      <c r="D768" t="s">
        <v>475</v>
      </c>
      <c r="E768" t="s">
        <v>6321</v>
      </c>
      <c r="F768" t="s">
        <v>5728</v>
      </c>
      <c r="G768" s="1">
        <v>45428</v>
      </c>
      <c r="H768" s="1"/>
      <c r="I768" t="s">
        <v>1737</v>
      </c>
      <c r="J768" t="s">
        <v>29</v>
      </c>
      <c r="K768" t="s">
        <v>29</v>
      </c>
      <c r="M768">
        <v>100</v>
      </c>
      <c r="N768" s="1">
        <v>45450</v>
      </c>
      <c r="O768" s="12" t="s">
        <v>6594</v>
      </c>
    </row>
    <row r="769" spans="1:15" x14ac:dyDescent="0.25">
      <c r="A769" t="s">
        <v>6595</v>
      </c>
      <c r="B769" t="s">
        <v>704</v>
      </c>
      <c r="C769" t="s">
        <v>611</v>
      </c>
      <c r="D769" t="s">
        <v>5425</v>
      </c>
      <c r="E769" t="s">
        <v>6563</v>
      </c>
      <c r="F769" t="s">
        <v>5427</v>
      </c>
      <c r="G769" s="1">
        <v>45428</v>
      </c>
      <c r="H769" s="1"/>
      <c r="I769" t="s">
        <v>1737</v>
      </c>
      <c r="J769" t="s">
        <v>29</v>
      </c>
      <c r="K769" t="s">
        <v>29</v>
      </c>
      <c r="M769">
        <v>100</v>
      </c>
      <c r="N769" s="1">
        <v>45443</v>
      </c>
      <c r="O769" s="12"/>
    </row>
    <row r="770" spans="1:15" x14ac:dyDescent="0.25">
      <c r="A770" t="s">
        <v>6596</v>
      </c>
      <c r="B770" t="s">
        <v>704</v>
      </c>
      <c r="C770" t="s">
        <v>6597</v>
      </c>
      <c r="D770" t="s">
        <v>6598</v>
      </c>
      <c r="E770" t="s">
        <v>6599</v>
      </c>
      <c r="F770" t="s">
        <v>555</v>
      </c>
      <c r="G770" s="1">
        <v>45429</v>
      </c>
      <c r="H770" s="1"/>
      <c r="I770" t="s">
        <v>1737</v>
      </c>
      <c r="J770" t="s">
        <v>29</v>
      </c>
      <c r="K770" t="s">
        <v>18</v>
      </c>
      <c r="M770" t="s">
        <v>6409</v>
      </c>
      <c r="N770" s="1" t="s">
        <v>6600</v>
      </c>
      <c r="O770" s="12" t="s">
        <v>6601</v>
      </c>
    </row>
    <row r="771" spans="1:15" x14ac:dyDescent="0.25">
      <c r="A771" t="s">
        <v>6602</v>
      </c>
      <c r="B771" t="s">
        <v>704</v>
      </c>
      <c r="C771" t="s">
        <v>677</v>
      </c>
      <c r="D771" t="s">
        <v>678</v>
      </c>
      <c r="E771" t="s">
        <v>6603</v>
      </c>
      <c r="F771" t="s">
        <v>3148</v>
      </c>
      <c r="G771" s="1">
        <v>45429</v>
      </c>
      <c r="H771" s="1"/>
      <c r="I771" t="s">
        <v>1737</v>
      </c>
      <c r="J771" t="s">
        <v>29</v>
      </c>
      <c r="K771" t="s">
        <v>18</v>
      </c>
      <c r="M771">
        <v>100</v>
      </c>
      <c r="N771" s="1">
        <v>45442</v>
      </c>
      <c r="O771" s="12" t="s">
        <v>6604</v>
      </c>
    </row>
    <row r="772" spans="1:15" x14ac:dyDescent="0.25">
      <c r="A772" t="s">
        <v>6605</v>
      </c>
      <c r="B772" t="s">
        <v>704</v>
      </c>
      <c r="C772" t="s">
        <v>670</v>
      </c>
      <c r="D772" t="s">
        <v>6606</v>
      </c>
      <c r="E772" t="s">
        <v>6607</v>
      </c>
      <c r="F772" t="s">
        <v>555</v>
      </c>
      <c r="G772" s="1">
        <v>45432</v>
      </c>
      <c r="H772" s="1"/>
      <c r="I772" t="s">
        <v>1737</v>
      </c>
      <c r="J772" t="s">
        <v>29</v>
      </c>
      <c r="K772" t="s">
        <v>29</v>
      </c>
      <c r="M772">
        <v>100</v>
      </c>
      <c r="N772" s="1">
        <v>45449</v>
      </c>
      <c r="O772" s="12" t="s">
        <v>6608</v>
      </c>
    </row>
    <row r="773" spans="1:15" x14ac:dyDescent="0.25">
      <c r="A773" t="s">
        <v>6609</v>
      </c>
      <c r="B773" t="s">
        <v>704</v>
      </c>
      <c r="C773" t="s">
        <v>677</v>
      </c>
      <c r="D773" t="s">
        <v>678</v>
      </c>
      <c r="E773" t="s">
        <v>6610</v>
      </c>
      <c r="F773" t="s">
        <v>555</v>
      </c>
      <c r="G773" s="1">
        <v>45433</v>
      </c>
      <c r="H773" s="1"/>
      <c r="I773" t="s">
        <v>1737</v>
      </c>
      <c r="J773" t="s">
        <v>29</v>
      </c>
      <c r="K773" t="s">
        <v>29</v>
      </c>
      <c r="M773">
        <v>100</v>
      </c>
      <c r="N773" s="1">
        <v>45434</v>
      </c>
      <c r="O773" s="12"/>
    </row>
    <row r="774" spans="1:15" x14ac:dyDescent="0.25">
      <c r="A774" t="s">
        <v>6611</v>
      </c>
      <c r="B774" t="s">
        <v>704</v>
      </c>
      <c r="C774" t="s">
        <v>677</v>
      </c>
      <c r="D774" t="s">
        <v>678</v>
      </c>
      <c r="E774" t="s">
        <v>6612</v>
      </c>
      <c r="F774" t="s">
        <v>555</v>
      </c>
      <c r="G774" s="1">
        <v>45436</v>
      </c>
      <c r="H774" s="1"/>
      <c r="I774" t="s">
        <v>1737</v>
      </c>
      <c r="J774" t="s">
        <v>29</v>
      </c>
      <c r="K774" t="s">
        <v>29</v>
      </c>
      <c r="M774">
        <v>100</v>
      </c>
      <c r="N774" s="1">
        <v>45443</v>
      </c>
      <c r="O774" s="12"/>
    </row>
    <row r="775" spans="1:15" x14ac:dyDescent="0.25">
      <c r="A775" t="s">
        <v>6613</v>
      </c>
      <c r="B775" t="s">
        <v>704</v>
      </c>
      <c r="C775" t="s">
        <v>4737</v>
      </c>
      <c r="D775" t="s">
        <v>5380</v>
      </c>
      <c r="E775" t="s">
        <v>6610</v>
      </c>
      <c r="F775" t="s">
        <v>555</v>
      </c>
      <c r="G775" s="1">
        <v>45440</v>
      </c>
      <c r="H775" s="1"/>
      <c r="I775" t="s">
        <v>1737</v>
      </c>
      <c r="J775" t="s">
        <v>29</v>
      </c>
      <c r="K775" t="s">
        <v>29</v>
      </c>
      <c r="M775">
        <v>100</v>
      </c>
      <c r="N775" s="1">
        <v>45440</v>
      </c>
      <c r="O775" s="12"/>
    </row>
    <row r="776" spans="1:15" x14ac:dyDescent="0.25">
      <c r="A776" t="s">
        <v>6614</v>
      </c>
      <c r="B776" t="s">
        <v>704</v>
      </c>
      <c r="C776" t="s">
        <v>5188</v>
      </c>
      <c r="D776" t="s">
        <v>5338</v>
      </c>
      <c r="E776" t="s">
        <v>5735</v>
      </c>
      <c r="F776" t="s">
        <v>5476</v>
      </c>
      <c r="G776" s="1">
        <v>45440</v>
      </c>
      <c r="H776" s="1"/>
      <c r="I776" t="s">
        <v>1737</v>
      </c>
      <c r="J776" t="s">
        <v>29</v>
      </c>
      <c r="K776" t="s">
        <v>29</v>
      </c>
      <c r="M776">
        <v>100</v>
      </c>
      <c r="N776" s="1">
        <v>45489</v>
      </c>
      <c r="O776" s="29">
        <v>45468</v>
      </c>
    </row>
    <row r="777" spans="1:15" x14ac:dyDescent="0.25">
      <c r="A777" t="s">
        <v>6615</v>
      </c>
      <c r="B777" t="s">
        <v>704</v>
      </c>
      <c r="C777" t="s">
        <v>4737</v>
      </c>
      <c r="D777" t="s">
        <v>5380</v>
      </c>
      <c r="E777" t="s">
        <v>6183</v>
      </c>
      <c r="F777" t="s">
        <v>555</v>
      </c>
      <c r="G777" s="1">
        <v>45441</v>
      </c>
      <c r="H777" s="1"/>
      <c r="I777" t="s">
        <v>1737</v>
      </c>
      <c r="J777" t="s">
        <v>29</v>
      </c>
      <c r="K777" t="s">
        <v>29</v>
      </c>
      <c r="M777">
        <v>100</v>
      </c>
      <c r="N777" s="1">
        <v>45441</v>
      </c>
      <c r="O777" s="12"/>
    </row>
    <row r="778" spans="1:15" x14ac:dyDescent="0.25">
      <c r="A778" t="s">
        <v>6616</v>
      </c>
      <c r="B778" t="s">
        <v>704</v>
      </c>
      <c r="C778" t="s">
        <v>539</v>
      </c>
      <c r="D778" t="s">
        <v>540</v>
      </c>
      <c r="E778" t="s">
        <v>6617</v>
      </c>
      <c r="F778" t="s">
        <v>6618</v>
      </c>
      <c r="G778" s="1">
        <v>45441</v>
      </c>
      <c r="H778" s="1"/>
      <c r="I778" t="s">
        <v>2762</v>
      </c>
      <c r="J778" t="s">
        <v>29</v>
      </c>
      <c r="K778" t="s">
        <v>29</v>
      </c>
      <c r="L778" t="s">
        <v>6619</v>
      </c>
      <c r="M778">
        <v>0</v>
      </c>
      <c r="O778" s="12"/>
    </row>
    <row r="779" spans="1:15" x14ac:dyDescent="0.25">
      <c r="A779" t="s">
        <v>6620</v>
      </c>
      <c r="B779" t="s">
        <v>704</v>
      </c>
      <c r="C779" t="s">
        <v>32</v>
      </c>
      <c r="D779" t="s">
        <v>475</v>
      </c>
      <c r="E779" t="s">
        <v>6621</v>
      </c>
      <c r="F779" t="s">
        <v>3148</v>
      </c>
      <c r="G779" s="1">
        <v>45442</v>
      </c>
      <c r="H779" s="1"/>
      <c r="I779" t="s">
        <v>1737</v>
      </c>
      <c r="J779" t="s">
        <v>29</v>
      </c>
      <c r="K779" t="s">
        <v>29</v>
      </c>
      <c r="M779">
        <v>100</v>
      </c>
      <c r="N779" s="1">
        <v>45449</v>
      </c>
      <c r="O779" s="12"/>
    </row>
    <row r="780" spans="1:15" x14ac:dyDescent="0.25">
      <c r="A780" t="s">
        <v>6622</v>
      </c>
      <c r="B780" t="s">
        <v>24</v>
      </c>
      <c r="C780" t="s">
        <v>35</v>
      </c>
      <c r="D780" t="s">
        <v>746</v>
      </c>
      <c r="E780" t="s">
        <v>6623</v>
      </c>
      <c r="F780" t="s">
        <v>6624</v>
      </c>
      <c r="G780" s="1">
        <v>45442</v>
      </c>
      <c r="H780" s="1"/>
      <c r="I780" t="s">
        <v>1737</v>
      </c>
      <c r="J780" t="s">
        <v>29</v>
      </c>
      <c r="K780" t="s">
        <v>29</v>
      </c>
      <c r="M780">
        <v>100</v>
      </c>
      <c r="N780" s="1">
        <v>45447</v>
      </c>
      <c r="O780" s="12"/>
    </row>
    <row r="781" spans="1:15" x14ac:dyDescent="0.25">
      <c r="A781" t="s">
        <v>6625</v>
      </c>
      <c r="B781" t="s">
        <v>704</v>
      </c>
      <c r="C781" t="s">
        <v>4737</v>
      </c>
      <c r="D781" t="s">
        <v>5380</v>
      </c>
      <c r="E781" t="s">
        <v>5932</v>
      </c>
      <c r="F781" t="s">
        <v>555</v>
      </c>
      <c r="G781" s="1">
        <v>45447</v>
      </c>
      <c r="H781" s="1"/>
      <c r="I781" t="s">
        <v>1737</v>
      </c>
      <c r="J781" t="s">
        <v>29</v>
      </c>
      <c r="K781" t="s">
        <v>29</v>
      </c>
      <c r="M781">
        <v>100</v>
      </c>
      <c r="N781" s="1">
        <v>45447</v>
      </c>
      <c r="O781" s="12"/>
    </row>
    <row r="782" spans="1:15" x14ac:dyDescent="0.25">
      <c r="A782" t="s">
        <v>6626</v>
      </c>
      <c r="B782" t="s">
        <v>704</v>
      </c>
      <c r="C782" t="s">
        <v>32</v>
      </c>
      <c r="D782" t="s">
        <v>1563</v>
      </c>
      <c r="E782" t="s">
        <v>6627</v>
      </c>
      <c r="F782" t="s">
        <v>5831</v>
      </c>
      <c r="G782" s="1">
        <v>45448</v>
      </c>
      <c r="H782" s="1"/>
      <c r="I782" t="s">
        <v>1737</v>
      </c>
      <c r="J782" t="s">
        <v>29</v>
      </c>
      <c r="K782" t="s">
        <v>29</v>
      </c>
      <c r="M782">
        <v>100</v>
      </c>
      <c r="N782" s="1">
        <v>45464</v>
      </c>
      <c r="O782" s="12" t="s">
        <v>6628</v>
      </c>
    </row>
    <row r="783" spans="1:15" x14ac:dyDescent="0.25">
      <c r="A783" t="s">
        <v>6629</v>
      </c>
      <c r="B783" t="s">
        <v>325</v>
      </c>
      <c r="C783" t="s">
        <v>32</v>
      </c>
      <c r="D783" t="s">
        <v>397</v>
      </c>
      <c r="E783" t="s">
        <v>6630</v>
      </c>
      <c r="F783" t="s">
        <v>4038</v>
      </c>
      <c r="G783" s="1">
        <v>45448</v>
      </c>
      <c r="H783" s="1"/>
      <c r="I783" t="s">
        <v>1737</v>
      </c>
      <c r="J783" t="s">
        <v>29</v>
      </c>
      <c r="M783">
        <v>100</v>
      </c>
      <c r="N783" s="1">
        <v>45467</v>
      </c>
      <c r="O783" s="12"/>
    </row>
    <row r="784" spans="1:15" x14ac:dyDescent="0.25">
      <c r="A784" t="s">
        <v>6631</v>
      </c>
      <c r="B784" t="s">
        <v>704</v>
      </c>
      <c r="C784" t="s">
        <v>4737</v>
      </c>
      <c r="D784" t="s">
        <v>5380</v>
      </c>
      <c r="E784" t="s">
        <v>6632</v>
      </c>
      <c r="F784" t="s">
        <v>555</v>
      </c>
      <c r="G784" s="1">
        <v>45449</v>
      </c>
      <c r="H784" s="1"/>
      <c r="I784" t="s">
        <v>1737</v>
      </c>
      <c r="J784" t="s">
        <v>29</v>
      </c>
      <c r="K784" t="s">
        <v>29</v>
      </c>
      <c r="M784">
        <v>100</v>
      </c>
      <c r="N784" s="1">
        <v>45449</v>
      </c>
      <c r="O784" s="12"/>
    </row>
    <row r="785" spans="1:15" x14ac:dyDescent="0.25">
      <c r="A785" t="s">
        <v>6633</v>
      </c>
      <c r="B785" t="s">
        <v>13</v>
      </c>
      <c r="C785" t="s">
        <v>578</v>
      </c>
      <c r="D785" t="s">
        <v>921</v>
      </c>
      <c r="E785" t="s">
        <v>922</v>
      </c>
      <c r="F785" t="s">
        <v>6573</v>
      </c>
      <c r="G785" s="1">
        <v>45448</v>
      </c>
      <c r="H785" s="1"/>
      <c r="I785" t="s">
        <v>1737</v>
      </c>
      <c r="J785" t="s">
        <v>29</v>
      </c>
      <c r="K785" t="s">
        <v>18</v>
      </c>
      <c r="L785" t="s">
        <v>906</v>
      </c>
      <c r="M785">
        <v>100</v>
      </c>
      <c r="N785" s="1">
        <v>45594</v>
      </c>
      <c r="O785" s="12"/>
    </row>
    <row r="786" spans="1:15" x14ac:dyDescent="0.25">
      <c r="A786" t="s">
        <v>6634</v>
      </c>
      <c r="B786" t="s">
        <v>24</v>
      </c>
      <c r="C786" t="s">
        <v>35</v>
      </c>
      <c r="D786" t="s">
        <v>746</v>
      </c>
      <c r="E786" t="s">
        <v>6635</v>
      </c>
      <c r="F786" t="s">
        <v>6636</v>
      </c>
      <c r="G786" s="1">
        <v>45449</v>
      </c>
      <c r="H786" s="1"/>
      <c r="I786" t="s">
        <v>1737</v>
      </c>
      <c r="J786" t="s">
        <v>29</v>
      </c>
      <c r="M786" s="5" t="s">
        <v>6637</v>
      </c>
      <c r="N786" s="1" t="s">
        <v>6638</v>
      </c>
      <c r="O786" s="12"/>
    </row>
    <row r="787" spans="1:15" x14ac:dyDescent="0.25">
      <c r="A787" t="s">
        <v>6639</v>
      </c>
      <c r="B787" t="s">
        <v>13</v>
      </c>
      <c r="C787" t="s">
        <v>1404</v>
      </c>
      <c r="D787" t="s">
        <v>6640</v>
      </c>
      <c r="E787" t="s">
        <v>6641</v>
      </c>
      <c r="F787" t="s">
        <v>6642</v>
      </c>
      <c r="G787" s="1">
        <v>45450</v>
      </c>
      <c r="H787" s="1"/>
      <c r="I787" t="s">
        <v>2952</v>
      </c>
      <c r="J787" t="s">
        <v>29</v>
      </c>
      <c r="K787" t="s">
        <v>18</v>
      </c>
      <c r="O787" s="12"/>
    </row>
    <row r="788" spans="1:15" x14ac:dyDescent="0.25">
      <c r="A788" t="s">
        <v>6643</v>
      </c>
      <c r="B788" t="s">
        <v>704</v>
      </c>
      <c r="C788" t="s">
        <v>70</v>
      </c>
      <c r="D788" t="s">
        <v>5288</v>
      </c>
      <c r="E788" t="s">
        <v>6644</v>
      </c>
      <c r="F788" t="s">
        <v>6645</v>
      </c>
      <c r="G788" s="1">
        <v>45453</v>
      </c>
      <c r="H788" s="1"/>
      <c r="I788" t="s">
        <v>1737</v>
      </c>
      <c r="J788" t="s">
        <v>29</v>
      </c>
      <c r="K788" t="s">
        <v>29</v>
      </c>
      <c r="M788">
        <v>100</v>
      </c>
      <c r="N788" s="1">
        <v>45490</v>
      </c>
      <c r="O788" s="12"/>
    </row>
    <row r="789" spans="1:15" x14ac:dyDescent="0.25">
      <c r="A789" t="s">
        <v>6646</v>
      </c>
      <c r="B789" t="s">
        <v>704</v>
      </c>
      <c r="C789" t="s">
        <v>243</v>
      </c>
      <c r="D789" t="s">
        <v>6247</v>
      </c>
      <c r="E789" t="s">
        <v>6647</v>
      </c>
      <c r="F789" t="s">
        <v>6054</v>
      </c>
      <c r="G789" s="1">
        <v>45455</v>
      </c>
      <c r="H789" s="1"/>
      <c r="I789" t="s">
        <v>1737</v>
      </c>
      <c r="J789" t="s">
        <v>29</v>
      </c>
      <c r="K789" t="s">
        <v>29</v>
      </c>
      <c r="M789">
        <v>100</v>
      </c>
      <c r="N789" s="1">
        <v>45497</v>
      </c>
      <c r="O789" s="12"/>
    </row>
    <row r="790" spans="1:15" x14ac:dyDescent="0.25">
      <c r="A790" t="s">
        <v>6648</v>
      </c>
      <c r="B790" t="s">
        <v>704</v>
      </c>
      <c r="C790" t="s">
        <v>243</v>
      </c>
      <c r="D790" t="s">
        <v>6247</v>
      </c>
      <c r="E790" t="s">
        <v>6649</v>
      </c>
      <c r="F790" t="s">
        <v>555</v>
      </c>
      <c r="G790" s="1">
        <v>45455</v>
      </c>
      <c r="H790" s="1"/>
      <c r="I790" t="s">
        <v>1737</v>
      </c>
      <c r="J790" t="s">
        <v>29</v>
      </c>
      <c r="K790" t="s">
        <v>29</v>
      </c>
      <c r="M790">
        <v>100</v>
      </c>
      <c r="N790" s="1">
        <v>45464</v>
      </c>
      <c r="O790" s="12"/>
    </row>
    <row r="791" spans="1:15" x14ac:dyDescent="0.25">
      <c r="A791" t="s">
        <v>6650</v>
      </c>
      <c r="B791" t="s">
        <v>325</v>
      </c>
      <c r="C791" t="s">
        <v>25</v>
      </c>
      <c r="D791" t="s">
        <v>6651</v>
      </c>
      <c r="E791" t="s">
        <v>6652</v>
      </c>
      <c r="F791" t="s">
        <v>14</v>
      </c>
      <c r="G791" s="1">
        <v>45454</v>
      </c>
      <c r="H791" s="1"/>
      <c r="I791" t="s">
        <v>1737</v>
      </c>
      <c r="J791" t="s">
        <v>29</v>
      </c>
      <c r="M791">
        <v>100</v>
      </c>
      <c r="N791" s="1">
        <v>45506</v>
      </c>
      <c r="O791" s="12"/>
    </row>
    <row r="792" spans="1:15" x14ac:dyDescent="0.25">
      <c r="A792" t="s">
        <v>6653</v>
      </c>
      <c r="B792" t="s">
        <v>325</v>
      </c>
      <c r="C792" t="s">
        <v>253</v>
      </c>
      <c r="D792" t="s">
        <v>254</v>
      </c>
      <c r="E792" t="s">
        <v>6654</v>
      </c>
      <c r="F792" t="s">
        <v>14</v>
      </c>
      <c r="G792" s="1">
        <v>45456</v>
      </c>
      <c r="H792" s="1"/>
      <c r="I792" t="s">
        <v>1737</v>
      </c>
      <c r="J792" t="s">
        <v>29</v>
      </c>
      <c r="K792" t="s">
        <v>29</v>
      </c>
      <c r="M792">
        <v>100</v>
      </c>
      <c r="N792" s="1">
        <v>45547</v>
      </c>
      <c r="O792" s="12"/>
    </row>
    <row r="793" spans="1:15" x14ac:dyDescent="0.25">
      <c r="A793" t="s">
        <v>6655</v>
      </c>
      <c r="B793" t="s">
        <v>3774</v>
      </c>
      <c r="C793" t="s">
        <v>4875</v>
      </c>
      <c r="D793" t="s">
        <v>4304</v>
      </c>
      <c r="E793" t="s">
        <v>6656</v>
      </c>
      <c r="F793" t="s">
        <v>14</v>
      </c>
      <c r="G793" s="1">
        <v>45457</v>
      </c>
      <c r="H793" s="1"/>
      <c r="I793" t="s">
        <v>1737</v>
      </c>
      <c r="J793" t="s">
        <v>29</v>
      </c>
      <c r="M793">
        <v>100</v>
      </c>
      <c r="N793" s="1">
        <v>45596</v>
      </c>
      <c r="O793" s="12"/>
    </row>
    <row r="794" spans="1:15" x14ac:dyDescent="0.25">
      <c r="A794" t="s">
        <v>6657</v>
      </c>
      <c r="B794" t="s">
        <v>621</v>
      </c>
      <c r="C794" t="s">
        <v>539</v>
      </c>
      <c r="D794" t="s">
        <v>540</v>
      </c>
      <c r="E794" t="s">
        <v>6658</v>
      </c>
      <c r="F794" t="s">
        <v>14</v>
      </c>
      <c r="G794" s="1">
        <v>45454</v>
      </c>
      <c r="H794" s="1"/>
      <c r="I794" t="s">
        <v>1737</v>
      </c>
      <c r="J794" t="s">
        <v>29</v>
      </c>
      <c r="M794">
        <v>100</v>
      </c>
      <c r="N794" s="1">
        <v>45526</v>
      </c>
      <c r="O794" s="12"/>
    </row>
    <row r="795" spans="1:15" x14ac:dyDescent="0.25">
      <c r="A795" t="s">
        <v>6659</v>
      </c>
      <c r="B795" t="s">
        <v>704</v>
      </c>
      <c r="C795" t="s">
        <v>243</v>
      </c>
      <c r="D795" t="s">
        <v>6247</v>
      </c>
      <c r="E795" t="s">
        <v>6660</v>
      </c>
      <c r="F795" t="s">
        <v>6485</v>
      </c>
      <c r="G795" s="1">
        <v>45460</v>
      </c>
      <c r="H795" s="1"/>
      <c r="I795" t="s">
        <v>1737</v>
      </c>
      <c r="J795" t="s">
        <v>29</v>
      </c>
      <c r="K795" t="s">
        <v>29</v>
      </c>
      <c r="M795">
        <v>100</v>
      </c>
      <c r="N795" s="1">
        <v>45497</v>
      </c>
      <c r="O795" s="12"/>
    </row>
    <row r="796" spans="1:15" x14ac:dyDescent="0.25">
      <c r="A796" t="s">
        <v>6661</v>
      </c>
      <c r="B796" t="s">
        <v>704</v>
      </c>
      <c r="C796" t="s">
        <v>32</v>
      </c>
      <c r="D796" t="s">
        <v>1563</v>
      </c>
      <c r="E796" t="s">
        <v>6662</v>
      </c>
      <c r="F796" t="s">
        <v>6663</v>
      </c>
      <c r="G796" s="1">
        <v>45461</v>
      </c>
      <c r="H796" s="1"/>
      <c r="I796" t="s">
        <v>1737</v>
      </c>
      <c r="J796" t="s">
        <v>29</v>
      </c>
      <c r="K796" t="s">
        <v>29</v>
      </c>
      <c r="M796">
        <v>100</v>
      </c>
      <c r="N796" s="1">
        <v>45520</v>
      </c>
      <c r="O796" s="12" t="s">
        <v>6664</v>
      </c>
    </row>
    <row r="797" spans="1:15" x14ac:dyDescent="0.25">
      <c r="A797" t="s">
        <v>6665</v>
      </c>
      <c r="B797" t="s">
        <v>704</v>
      </c>
      <c r="C797" t="s">
        <v>6666</v>
      </c>
      <c r="D797" t="s">
        <v>6667</v>
      </c>
      <c r="E797" t="s">
        <v>6668</v>
      </c>
      <c r="F797" t="s">
        <v>6669</v>
      </c>
      <c r="G797" s="1">
        <v>45463</v>
      </c>
      <c r="H797" s="1"/>
      <c r="I797" t="s">
        <v>1737</v>
      </c>
      <c r="J797" t="s">
        <v>29</v>
      </c>
      <c r="K797" t="s">
        <v>29</v>
      </c>
      <c r="M797">
        <v>100</v>
      </c>
      <c r="N797" s="1">
        <v>45471</v>
      </c>
      <c r="O797" s="12"/>
    </row>
    <row r="798" spans="1:15" x14ac:dyDescent="0.25">
      <c r="A798" t="s">
        <v>6670</v>
      </c>
      <c r="B798" t="s">
        <v>704</v>
      </c>
      <c r="C798" t="s">
        <v>32</v>
      </c>
      <c r="D798" t="s">
        <v>5156</v>
      </c>
      <c r="E798" t="s">
        <v>6117</v>
      </c>
      <c r="F798" t="s">
        <v>5413</v>
      </c>
      <c r="G798" s="1">
        <v>45470</v>
      </c>
      <c r="H798" s="1"/>
      <c r="I798" t="s">
        <v>1737</v>
      </c>
      <c r="J798" t="s">
        <v>29</v>
      </c>
      <c r="K798" t="s">
        <v>29</v>
      </c>
      <c r="M798">
        <v>100</v>
      </c>
      <c r="N798" s="1">
        <v>45484</v>
      </c>
      <c r="O798" s="12"/>
    </row>
    <row r="799" spans="1:15" x14ac:dyDescent="0.25">
      <c r="A799" t="s">
        <v>6671</v>
      </c>
      <c r="B799" t="s">
        <v>621</v>
      </c>
      <c r="C799" t="s">
        <v>6672</v>
      </c>
      <c r="D799" t="s">
        <v>6673</v>
      </c>
      <c r="E799" t="s">
        <v>6674</v>
      </c>
      <c r="F799" t="s">
        <v>14</v>
      </c>
      <c r="G799" s="1">
        <v>45464</v>
      </c>
      <c r="H799" s="1"/>
      <c r="I799" t="s">
        <v>2762</v>
      </c>
      <c r="J799" t="s">
        <v>29</v>
      </c>
      <c r="L799" t="s">
        <v>6675</v>
      </c>
      <c r="O799" s="12"/>
    </row>
    <row r="800" spans="1:15" x14ac:dyDescent="0.25">
      <c r="A800" t="s">
        <v>6676</v>
      </c>
      <c r="B800" t="s">
        <v>704</v>
      </c>
      <c r="C800" t="s">
        <v>25</v>
      </c>
      <c r="D800" t="s">
        <v>225</v>
      </c>
      <c r="E800" t="s">
        <v>6677</v>
      </c>
      <c r="F800" t="s">
        <v>659</v>
      </c>
      <c r="G800" s="1">
        <v>45470</v>
      </c>
      <c r="H800" s="1"/>
      <c r="I800" t="s">
        <v>1737</v>
      </c>
      <c r="J800" t="s">
        <v>29</v>
      </c>
      <c r="K800" t="s">
        <v>29</v>
      </c>
      <c r="M800" t="s">
        <v>6678</v>
      </c>
      <c r="N800" s="1" t="s">
        <v>6679</v>
      </c>
      <c r="O800" s="12"/>
    </row>
    <row r="801" spans="1:15" x14ac:dyDescent="0.25">
      <c r="A801" t="s">
        <v>6680</v>
      </c>
      <c r="B801" t="s">
        <v>704</v>
      </c>
      <c r="C801" t="s">
        <v>25</v>
      </c>
      <c r="D801" t="s">
        <v>225</v>
      </c>
      <c r="E801" t="s">
        <v>6099</v>
      </c>
      <c r="F801" t="s">
        <v>6681</v>
      </c>
      <c r="G801" s="1">
        <v>45470</v>
      </c>
      <c r="H801" s="1"/>
      <c r="I801" t="s">
        <v>1737</v>
      </c>
      <c r="J801" t="s">
        <v>29</v>
      </c>
      <c r="K801" t="s">
        <v>29</v>
      </c>
      <c r="M801">
        <v>100</v>
      </c>
      <c r="N801" s="1">
        <v>45533</v>
      </c>
      <c r="O801" s="29">
        <v>45502</v>
      </c>
    </row>
    <row r="802" spans="1:15" x14ac:dyDescent="0.25">
      <c r="A802" t="s">
        <v>6682</v>
      </c>
      <c r="B802" t="s">
        <v>704</v>
      </c>
      <c r="C802" t="s">
        <v>32</v>
      </c>
      <c r="D802" t="s">
        <v>5156</v>
      </c>
      <c r="E802" t="s">
        <v>6683</v>
      </c>
      <c r="F802" t="s">
        <v>6388</v>
      </c>
      <c r="G802" s="1">
        <v>45471</v>
      </c>
      <c r="H802" s="1"/>
      <c r="I802" t="s">
        <v>1737</v>
      </c>
      <c r="J802" t="s">
        <v>29</v>
      </c>
      <c r="K802" t="s">
        <v>29</v>
      </c>
      <c r="M802">
        <v>100</v>
      </c>
      <c r="N802" s="1">
        <v>45489</v>
      </c>
      <c r="O802" s="12"/>
    </row>
    <row r="803" spans="1:15" x14ac:dyDescent="0.25">
      <c r="A803" t="s">
        <v>6684</v>
      </c>
      <c r="B803" t="s">
        <v>704</v>
      </c>
      <c r="C803" t="s">
        <v>611</v>
      </c>
      <c r="D803" t="s">
        <v>6577</v>
      </c>
      <c r="E803" t="s">
        <v>6685</v>
      </c>
      <c r="F803" t="s">
        <v>5427</v>
      </c>
      <c r="G803" s="1">
        <v>45471</v>
      </c>
      <c r="H803" s="1"/>
      <c r="I803" t="s">
        <v>1737</v>
      </c>
      <c r="J803" t="s">
        <v>29</v>
      </c>
      <c r="K803" t="s">
        <v>29</v>
      </c>
      <c r="M803">
        <v>100</v>
      </c>
      <c r="N803" s="1">
        <v>45483</v>
      </c>
      <c r="O803" s="12"/>
    </row>
    <row r="804" spans="1:15" x14ac:dyDescent="0.25">
      <c r="A804" t="s">
        <v>6686</v>
      </c>
      <c r="B804" t="s">
        <v>13</v>
      </c>
      <c r="C804" t="s">
        <v>611</v>
      </c>
      <c r="D804" t="s">
        <v>6577</v>
      </c>
      <c r="E804" t="s">
        <v>6687</v>
      </c>
      <c r="F804" t="s">
        <v>6474</v>
      </c>
      <c r="G804" s="1">
        <v>45471</v>
      </c>
      <c r="H804" s="1"/>
      <c r="I804" t="s">
        <v>2952</v>
      </c>
      <c r="J804" t="s">
        <v>29</v>
      </c>
      <c r="K804" t="s">
        <v>29</v>
      </c>
      <c r="O804" s="12"/>
    </row>
    <row r="805" spans="1:15" x14ac:dyDescent="0.25">
      <c r="A805" t="s">
        <v>6688</v>
      </c>
      <c r="B805" t="s">
        <v>621</v>
      </c>
      <c r="C805" t="s">
        <v>177</v>
      </c>
      <c r="D805" t="s">
        <v>511</v>
      </c>
      <c r="E805" t="s">
        <v>6689</v>
      </c>
      <c r="F805" t="s">
        <v>14</v>
      </c>
      <c r="G805" s="1">
        <v>45474</v>
      </c>
      <c r="H805" s="1"/>
      <c r="I805" t="s">
        <v>1737</v>
      </c>
      <c r="J805" t="s">
        <v>29</v>
      </c>
      <c r="M805">
        <v>100</v>
      </c>
      <c r="N805" s="1">
        <v>45531</v>
      </c>
      <c r="O805" s="12"/>
    </row>
    <row r="806" spans="1:15" x14ac:dyDescent="0.25">
      <c r="A806" t="s">
        <v>6690</v>
      </c>
      <c r="B806" t="s">
        <v>704</v>
      </c>
      <c r="C806" t="s">
        <v>670</v>
      </c>
      <c r="D806" t="s">
        <v>5102</v>
      </c>
      <c r="E806" t="s">
        <v>5903</v>
      </c>
      <c r="F806" t="s">
        <v>3148</v>
      </c>
      <c r="G806" s="1">
        <v>45476</v>
      </c>
      <c r="H806" s="1"/>
      <c r="I806" t="s">
        <v>1737</v>
      </c>
      <c r="J806" t="s">
        <v>29</v>
      </c>
      <c r="K806" t="s">
        <v>29</v>
      </c>
      <c r="M806">
        <v>100</v>
      </c>
      <c r="N806" s="1">
        <v>45519</v>
      </c>
      <c r="O806" s="12"/>
    </row>
    <row r="807" spans="1:15" x14ac:dyDescent="0.25">
      <c r="A807" t="s">
        <v>6691</v>
      </c>
      <c r="B807" t="s">
        <v>704</v>
      </c>
      <c r="C807" t="s">
        <v>243</v>
      </c>
      <c r="D807" t="s">
        <v>6247</v>
      </c>
      <c r="E807" t="s">
        <v>4666</v>
      </c>
      <c r="F807" t="s">
        <v>555</v>
      </c>
      <c r="G807" s="1">
        <v>45476</v>
      </c>
      <c r="H807" s="1"/>
      <c r="I807" t="s">
        <v>2762</v>
      </c>
      <c r="J807" t="s">
        <v>29</v>
      </c>
      <c r="K807" t="s">
        <v>29</v>
      </c>
      <c r="O807" s="12"/>
    </row>
    <row r="808" spans="1:15" x14ac:dyDescent="0.25">
      <c r="A808" t="s">
        <v>6692</v>
      </c>
      <c r="B808" t="s">
        <v>6175</v>
      </c>
      <c r="C808" t="s">
        <v>6693</v>
      </c>
      <c r="D808" t="s">
        <v>6694</v>
      </c>
      <c r="E808" t="s">
        <v>6695</v>
      </c>
      <c r="F808" t="s">
        <v>14</v>
      </c>
      <c r="G808" s="1">
        <v>45476</v>
      </c>
      <c r="H808" s="1"/>
      <c r="I808" t="s">
        <v>1737</v>
      </c>
      <c r="J808" t="s">
        <v>29</v>
      </c>
      <c r="K808" t="s">
        <v>18</v>
      </c>
      <c r="M808">
        <v>100</v>
      </c>
      <c r="N808" s="1">
        <v>45481</v>
      </c>
      <c r="O808" s="12"/>
    </row>
    <row r="809" spans="1:15" x14ac:dyDescent="0.25">
      <c r="A809" t="s">
        <v>6696</v>
      </c>
      <c r="B809" t="s">
        <v>3928</v>
      </c>
      <c r="C809" t="s">
        <v>253</v>
      </c>
      <c r="D809" t="s">
        <v>254</v>
      </c>
      <c r="E809" t="s">
        <v>6697</v>
      </c>
      <c r="F809" t="s">
        <v>14</v>
      </c>
      <c r="G809" s="1">
        <v>45481</v>
      </c>
      <c r="H809" s="1"/>
      <c r="I809" t="s">
        <v>1737</v>
      </c>
      <c r="J809" t="s">
        <v>29</v>
      </c>
      <c r="K809" t="s">
        <v>29</v>
      </c>
      <c r="M809">
        <v>100</v>
      </c>
      <c r="N809" s="1">
        <v>45481</v>
      </c>
      <c r="O809" s="12"/>
    </row>
    <row r="810" spans="1:15" x14ac:dyDescent="0.25">
      <c r="A810" t="s">
        <v>6698</v>
      </c>
      <c r="B810" t="s">
        <v>704</v>
      </c>
      <c r="C810" t="s">
        <v>677</v>
      </c>
      <c r="D810" t="s">
        <v>678</v>
      </c>
      <c r="E810" t="s">
        <v>6699</v>
      </c>
      <c r="F810" t="s">
        <v>555</v>
      </c>
      <c r="G810" s="1">
        <v>45481</v>
      </c>
      <c r="H810" s="1"/>
      <c r="I810" t="s">
        <v>1737</v>
      </c>
      <c r="J810" t="s">
        <v>29</v>
      </c>
      <c r="K810" t="s">
        <v>29</v>
      </c>
      <c r="M810">
        <v>100</v>
      </c>
      <c r="N810" s="1">
        <v>45490</v>
      </c>
      <c r="O810" s="12"/>
    </row>
    <row r="811" spans="1:15" x14ac:dyDescent="0.25">
      <c r="A811" t="s">
        <v>6700</v>
      </c>
      <c r="B811" t="s">
        <v>704</v>
      </c>
      <c r="C811" t="s">
        <v>611</v>
      </c>
      <c r="D811" t="s">
        <v>5425</v>
      </c>
      <c r="E811" t="s">
        <v>6701</v>
      </c>
      <c r="F811" t="s">
        <v>5427</v>
      </c>
      <c r="G811" s="1">
        <v>45481</v>
      </c>
      <c r="H811" s="1"/>
      <c r="I811" t="s">
        <v>1737</v>
      </c>
      <c r="J811" t="s">
        <v>29</v>
      </c>
      <c r="K811" t="s">
        <v>29</v>
      </c>
      <c r="M811">
        <v>100</v>
      </c>
      <c r="N811" s="1">
        <v>45489</v>
      </c>
      <c r="O811" s="12"/>
    </row>
    <row r="812" spans="1:15" x14ac:dyDescent="0.25">
      <c r="A812" t="s">
        <v>6702</v>
      </c>
      <c r="B812" t="s">
        <v>704</v>
      </c>
      <c r="C812" t="s">
        <v>243</v>
      </c>
      <c r="D812" t="s">
        <v>6247</v>
      </c>
      <c r="E812" t="s">
        <v>6703</v>
      </c>
      <c r="F812" t="s">
        <v>6704</v>
      </c>
      <c r="G812" s="1">
        <v>45482</v>
      </c>
      <c r="H812" s="1"/>
      <c r="I812" t="s">
        <v>1737</v>
      </c>
      <c r="J812" t="s">
        <v>29</v>
      </c>
      <c r="K812" t="s">
        <v>29</v>
      </c>
      <c r="M812">
        <v>100</v>
      </c>
      <c r="N812" s="1">
        <v>45489</v>
      </c>
      <c r="O812" s="12"/>
    </row>
    <row r="813" spans="1:15" x14ac:dyDescent="0.25">
      <c r="A813" t="s">
        <v>6705</v>
      </c>
      <c r="B813" t="s">
        <v>704</v>
      </c>
      <c r="C813" t="s">
        <v>32</v>
      </c>
      <c r="D813" t="s">
        <v>5156</v>
      </c>
      <c r="E813" t="s">
        <v>6706</v>
      </c>
      <c r="F813" t="s">
        <v>5728</v>
      </c>
      <c r="G813" s="1">
        <v>45484</v>
      </c>
      <c r="H813" s="1"/>
      <c r="I813" t="s">
        <v>1737</v>
      </c>
      <c r="J813" t="s">
        <v>29</v>
      </c>
      <c r="K813" t="s">
        <v>29</v>
      </c>
      <c r="M813">
        <v>100</v>
      </c>
      <c r="N813" s="1">
        <v>45495</v>
      </c>
      <c r="O813" s="29">
        <v>45491</v>
      </c>
    </row>
    <row r="814" spans="1:15" x14ac:dyDescent="0.25">
      <c r="A814" t="s">
        <v>6707</v>
      </c>
      <c r="B814" t="s">
        <v>704</v>
      </c>
      <c r="C814" t="s">
        <v>243</v>
      </c>
      <c r="D814" t="s">
        <v>6247</v>
      </c>
      <c r="E814" t="s">
        <v>6708</v>
      </c>
      <c r="F814" t="s">
        <v>670</v>
      </c>
      <c r="G814" s="1">
        <v>45484</v>
      </c>
      <c r="H814" s="1"/>
      <c r="I814" t="s">
        <v>1737</v>
      </c>
      <c r="J814" t="s">
        <v>29</v>
      </c>
      <c r="K814" t="s">
        <v>29</v>
      </c>
      <c r="M814">
        <v>100</v>
      </c>
      <c r="N814" s="1">
        <v>45503</v>
      </c>
      <c r="O814" s="12"/>
    </row>
    <row r="815" spans="1:15" x14ac:dyDescent="0.25">
      <c r="A815" t="s">
        <v>6709</v>
      </c>
      <c r="B815" t="s">
        <v>704</v>
      </c>
      <c r="C815" t="s">
        <v>32</v>
      </c>
      <c r="D815" t="s">
        <v>5156</v>
      </c>
      <c r="E815" t="s">
        <v>6710</v>
      </c>
      <c r="F815" t="s">
        <v>5413</v>
      </c>
      <c r="G815" s="1">
        <v>45484</v>
      </c>
      <c r="H815" s="1"/>
      <c r="I815" t="s">
        <v>1737</v>
      </c>
      <c r="J815" t="s">
        <v>29</v>
      </c>
      <c r="K815" t="s">
        <v>29</v>
      </c>
      <c r="M815" t="s">
        <v>3780</v>
      </c>
      <c r="N815" s="1" t="s">
        <v>6711</v>
      </c>
      <c r="O815" s="12"/>
    </row>
    <row r="816" spans="1:15" x14ac:dyDescent="0.25">
      <c r="A816" t="s">
        <v>6712</v>
      </c>
      <c r="B816" t="s">
        <v>135</v>
      </c>
      <c r="C816" t="s">
        <v>578</v>
      </c>
      <c r="D816" t="s">
        <v>284</v>
      </c>
      <c r="E816" t="s">
        <v>6713</v>
      </c>
      <c r="F816" t="s">
        <v>6474</v>
      </c>
      <c r="G816" s="1">
        <v>45484</v>
      </c>
      <c r="H816" s="1"/>
      <c r="I816" t="s">
        <v>1737</v>
      </c>
      <c r="J816" t="s">
        <v>29</v>
      </c>
      <c r="K816" t="s">
        <v>29</v>
      </c>
      <c r="L816" t="s">
        <v>936</v>
      </c>
      <c r="M816">
        <v>100</v>
      </c>
      <c r="N816" s="1">
        <v>45485</v>
      </c>
      <c r="O816" s="12"/>
    </row>
    <row r="817" spans="1:15" x14ac:dyDescent="0.25">
      <c r="A817" t="s">
        <v>6714</v>
      </c>
      <c r="B817" t="s">
        <v>24</v>
      </c>
      <c r="C817" t="s">
        <v>4127</v>
      </c>
      <c r="D817" t="s">
        <v>746</v>
      </c>
      <c r="E817" t="s">
        <v>6715</v>
      </c>
      <c r="F817" t="s">
        <v>3386</v>
      </c>
      <c r="G817" s="1">
        <v>45485</v>
      </c>
      <c r="H817" s="1"/>
      <c r="I817" t="s">
        <v>1737</v>
      </c>
      <c r="J817" t="s">
        <v>29</v>
      </c>
      <c r="K817" t="s">
        <v>29</v>
      </c>
      <c r="L817" t="s">
        <v>951</v>
      </c>
      <c r="M817">
        <v>100</v>
      </c>
      <c r="N817" s="1">
        <v>45527</v>
      </c>
      <c r="O817" s="12"/>
    </row>
    <row r="818" spans="1:15" x14ac:dyDescent="0.25">
      <c r="A818" t="s">
        <v>6716</v>
      </c>
      <c r="B818" t="s">
        <v>704</v>
      </c>
      <c r="C818" t="s">
        <v>4698</v>
      </c>
      <c r="D818" t="s">
        <v>5343</v>
      </c>
      <c r="E818" t="s">
        <v>6500</v>
      </c>
      <c r="F818" t="s">
        <v>5413</v>
      </c>
      <c r="G818" s="1">
        <v>45488</v>
      </c>
      <c r="H818" s="1"/>
      <c r="I818" t="s">
        <v>1737</v>
      </c>
      <c r="J818" t="s">
        <v>29</v>
      </c>
      <c r="K818" t="s">
        <v>29</v>
      </c>
      <c r="M818">
        <v>100</v>
      </c>
      <c r="N818" s="1">
        <v>45495</v>
      </c>
      <c r="O818" s="12"/>
    </row>
    <row r="819" spans="1:15" x14ac:dyDescent="0.25">
      <c r="A819" t="s">
        <v>6717</v>
      </c>
      <c r="B819" t="s">
        <v>2956</v>
      </c>
      <c r="C819" t="s">
        <v>4127</v>
      </c>
      <c r="D819" t="s">
        <v>746</v>
      </c>
      <c r="E819" t="s">
        <v>6718</v>
      </c>
      <c r="F819" t="s">
        <v>6642</v>
      </c>
      <c r="G819" s="1">
        <v>45488</v>
      </c>
      <c r="H819" s="1"/>
      <c r="I819" t="s">
        <v>1737</v>
      </c>
      <c r="J819" t="s">
        <v>29</v>
      </c>
      <c r="K819" t="s">
        <v>29</v>
      </c>
      <c r="M819">
        <v>100</v>
      </c>
      <c r="N819" s="1">
        <v>45511</v>
      </c>
      <c r="O819" s="12"/>
    </row>
    <row r="820" spans="1:15" x14ac:dyDescent="0.25">
      <c r="A820" t="s">
        <v>6719</v>
      </c>
      <c r="B820" t="s">
        <v>704</v>
      </c>
      <c r="C820" t="s">
        <v>6720</v>
      </c>
      <c r="D820" t="s">
        <v>6721</v>
      </c>
      <c r="E820" t="s">
        <v>6722</v>
      </c>
      <c r="F820" t="s">
        <v>6723</v>
      </c>
      <c r="G820" s="1">
        <v>45488</v>
      </c>
      <c r="H820" s="1"/>
      <c r="I820" t="s">
        <v>1737</v>
      </c>
      <c r="J820" t="s">
        <v>29</v>
      </c>
      <c r="K820" t="s">
        <v>29</v>
      </c>
      <c r="M820">
        <v>100</v>
      </c>
      <c r="N820" s="1">
        <v>45533</v>
      </c>
      <c r="O820" s="12"/>
    </row>
    <row r="821" spans="1:15" x14ac:dyDescent="0.25">
      <c r="A821" t="s">
        <v>6724</v>
      </c>
      <c r="B821" t="s">
        <v>704</v>
      </c>
      <c r="C821" t="s">
        <v>5049</v>
      </c>
      <c r="D821" t="s">
        <v>6725</v>
      </c>
      <c r="E821" t="s">
        <v>6373</v>
      </c>
      <c r="F821" t="s">
        <v>5413</v>
      </c>
      <c r="G821" s="1">
        <v>45489</v>
      </c>
      <c r="H821" s="1"/>
      <c r="I821" t="s">
        <v>1737</v>
      </c>
      <c r="J821" t="s">
        <v>29</v>
      </c>
      <c r="K821" t="s">
        <v>29</v>
      </c>
      <c r="M821">
        <v>100</v>
      </c>
      <c r="N821" s="1">
        <v>45490</v>
      </c>
      <c r="O821" s="12"/>
    </row>
    <row r="822" spans="1:15" x14ac:dyDescent="0.25">
      <c r="A822" t="s">
        <v>6726</v>
      </c>
      <c r="B822" t="s">
        <v>704</v>
      </c>
      <c r="C822" t="s">
        <v>4698</v>
      </c>
      <c r="D822" t="s">
        <v>5343</v>
      </c>
      <c r="E822" t="s">
        <v>6500</v>
      </c>
      <c r="F822" t="s">
        <v>5413</v>
      </c>
      <c r="G822" s="1">
        <v>45489</v>
      </c>
      <c r="H822" s="1"/>
      <c r="I822" t="s">
        <v>1737</v>
      </c>
      <c r="J822" t="s">
        <v>29</v>
      </c>
      <c r="K822" t="s">
        <v>29</v>
      </c>
      <c r="M822">
        <v>100</v>
      </c>
      <c r="N822" s="1">
        <v>45495</v>
      </c>
      <c r="O822" s="12"/>
    </row>
    <row r="823" spans="1:15" x14ac:dyDescent="0.25">
      <c r="A823" t="s">
        <v>6727</v>
      </c>
      <c r="B823" t="s">
        <v>704</v>
      </c>
      <c r="C823" t="s">
        <v>32</v>
      </c>
      <c r="D823" t="s">
        <v>5156</v>
      </c>
      <c r="E823" t="s">
        <v>6728</v>
      </c>
      <c r="F823" t="s">
        <v>5707</v>
      </c>
      <c r="G823" s="1">
        <v>45491</v>
      </c>
      <c r="H823" s="1"/>
      <c r="I823" t="s">
        <v>1737</v>
      </c>
      <c r="J823" t="s">
        <v>29</v>
      </c>
      <c r="K823" t="s">
        <v>29</v>
      </c>
      <c r="M823">
        <v>100</v>
      </c>
      <c r="N823" s="1">
        <v>45506</v>
      </c>
      <c r="O823" s="12"/>
    </row>
    <row r="824" spans="1:15" x14ac:dyDescent="0.25">
      <c r="A824" t="s">
        <v>6729</v>
      </c>
      <c r="B824" t="s">
        <v>6730</v>
      </c>
      <c r="C824" t="s">
        <v>32</v>
      </c>
      <c r="D824" t="s">
        <v>475</v>
      </c>
      <c r="E824" t="s">
        <v>6731</v>
      </c>
      <c r="F824" t="s">
        <v>6474</v>
      </c>
      <c r="G824" s="1">
        <v>45491</v>
      </c>
      <c r="H824" s="1"/>
      <c r="I824" t="s">
        <v>1737</v>
      </c>
      <c r="J824" t="s">
        <v>29</v>
      </c>
      <c r="K824" t="s">
        <v>29</v>
      </c>
      <c r="M824">
        <v>100</v>
      </c>
      <c r="N824" s="1">
        <v>45531</v>
      </c>
      <c r="O824" s="12"/>
    </row>
    <row r="825" spans="1:15" x14ac:dyDescent="0.25">
      <c r="A825" t="s">
        <v>6732</v>
      </c>
      <c r="B825" t="s">
        <v>704</v>
      </c>
      <c r="C825" t="s">
        <v>611</v>
      </c>
      <c r="D825" t="s">
        <v>5425</v>
      </c>
      <c r="E825" t="s">
        <v>5983</v>
      </c>
      <c r="F825" t="s">
        <v>5984</v>
      </c>
      <c r="G825" s="1">
        <v>45492</v>
      </c>
      <c r="H825" s="1"/>
      <c r="I825" t="s">
        <v>1737</v>
      </c>
      <c r="J825" t="s">
        <v>29</v>
      </c>
      <c r="K825" t="s">
        <v>29</v>
      </c>
      <c r="M825">
        <v>100</v>
      </c>
      <c r="N825" s="1">
        <v>45520</v>
      </c>
      <c r="O825" s="12"/>
    </row>
    <row r="826" spans="1:15" x14ac:dyDescent="0.25">
      <c r="A826" t="s">
        <v>6733</v>
      </c>
      <c r="B826" t="s">
        <v>704</v>
      </c>
      <c r="C826" t="s">
        <v>677</v>
      </c>
      <c r="D826" t="s">
        <v>678</v>
      </c>
      <c r="E826" t="s">
        <v>6734</v>
      </c>
      <c r="F826" t="s">
        <v>555</v>
      </c>
      <c r="G826" s="1">
        <v>45492</v>
      </c>
      <c r="H826" s="1"/>
      <c r="I826" t="s">
        <v>1737</v>
      </c>
      <c r="J826" t="s">
        <v>29</v>
      </c>
      <c r="K826" t="s">
        <v>29</v>
      </c>
      <c r="M826">
        <v>100</v>
      </c>
      <c r="N826" s="1">
        <v>45505</v>
      </c>
      <c r="O826" s="12"/>
    </row>
    <row r="827" spans="1:15" x14ac:dyDescent="0.25">
      <c r="A827" t="s">
        <v>6735</v>
      </c>
      <c r="B827" t="s">
        <v>704</v>
      </c>
      <c r="C827" t="s">
        <v>32</v>
      </c>
      <c r="D827" t="s">
        <v>5156</v>
      </c>
      <c r="E827" t="s">
        <v>6736</v>
      </c>
      <c r="F827" t="s">
        <v>6737</v>
      </c>
      <c r="G827" s="1">
        <v>45495</v>
      </c>
      <c r="H827" s="1"/>
      <c r="I827" t="s">
        <v>1737</v>
      </c>
      <c r="J827" t="s">
        <v>29</v>
      </c>
      <c r="K827" t="s">
        <v>29</v>
      </c>
      <c r="M827">
        <v>100</v>
      </c>
      <c r="N827" s="1">
        <v>45519</v>
      </c>
      <c r="O827" s="12"/>
    </row>
    <row r="828" spans="1:15" x14ac:dyDescent="0.25">
      <c r="A828" t="s">
        <v>6738</v>
      </c>
      <c r="B828" t="s">
        <v>4450</v>
      </c>
      <c r="C828" t="s">
        <v>70</v>
      </c>
      <c r="D828" t="s">
        <v>6739</v>
      </c>
      <c r="E828" t="s">
        <v>6740</v>
      </c>
      <c r="F828" t="s">
        <v>3148</v>
      </c>
      <c r="G828" s="1">
        <v>45495</v>
      </c>
      <c r="H828" s="1"/>
      <c r="I828" t="s">
        <v>1737</v>
      </c>
      <c r="J828" t="s">
        <v>29</v>
      </c>
      <c r="M828">
        <v>100</v>
      </c>
      <c r="N828" s="1">
        <v>45503</v>
      </c>
      <c r="O828" s="12"/>
    </row>
    <row r="829" spans="1:15" x14ac:dyDescent="0.25">
      <c r="A829" t="s">
        <v>6741</v>
      </c>
      <c r="B829" t="s">
        <v>704</v>
      </c>
      <c r="C829" t="s">
        <v>670</v>
      </c>
      <c r="D829" t="s">
        <v>5102</v>
      </c>
      <c r="E829" t="s">
        <v>5903</v>
      </c>
      <c r="F829" t="s">
        <v>3148</v>
      </c>
      <c r="G829" s="1">
        <v>45499</v>
      </c>
      <c r="H829" s="1"/>
      <c r="I829" t="s">
        <v>1737</v>
      </c>
      <c r="J829" t="s">
        <v>29</v>
      </c>
      <c r="K829" t="s">
        <v>29</v>
      </c>
      <c r="M829">
        <v>100</v>
      </c>
      <c r="N829" s="1">
        <v>45519</v>
      </c>
      <c r="O829" s="12"/>
    </row>
    <row r="830" spans="1:15" x14ac:dyDescent="0.25">
      <c r="A830" t="s">
        <v>6742</v>
      </c>
      <c r="B830" t="s">
        <v>325</v>
      </c>
      <c r="C830" t="s">
        <v>253</v>
      </c>
      <c r="E830" t="s">
        <v>6743</v>
      </c>
      <c r="F830" t="s">
        <v>6744</v>
      </c>
      <c r="G830" s="1">
        <v>45499</v>
      </c>
      <c r="H830" s="1"/>
      <c r="I830" t="s">
        <v>1737</v>
      </c>
      <c r="J830" t="s">
        <v>29</v>
      </c>
      <c r="M830">
        <v>100</v>
      </c>
      <c r="N830" s="1">
        <v>45973</v>
      </c>
      <c r="O830" s="12"/>
    </row>
    <row r="831" spans="1:15" x14ac:dyDescent="0.25">
      <c r="A831" t="s">
        <v>6745</v>
      </c>
      <c r="B831" t="s">
        <v>704</v>
      </c>
      <c r="C831" t="s">
        <v>32</v>
      </c>
      <c r="D831" t="s">
        <v>5156</v>
      </c>
      <c r="E831" t="s">
        <v>6746</v>
      </c>
      <c r="F831" t="s">
        <v>659</v>
      </c>
      <c r="G831" s="1">
        <v>45502</v>
      </c>
      <c r="H831" s="1"/>
      <c r="I831" t="s">
        <v>1737</v>
      </c>
      <c r="J831" t="s">
        <v>29</v>
      </c>
      <c r="K831" t="s">
        <v>29</v>
      </c>
      <c r="M831">
        <v>100</v>
      </c>
      <c r="N831" s="1">
        <v>45544</v>
      </c>
      <c r="O831" s="12"/>
    </row>
    <row r="832" spans="1:15" x14ac:dyDescent="0.25">
      <c r="A832" t="s">
        <v>6747</v>
      </c>
      <c r="B832" t="s">
        <v>704</v>
      </c>
      <c r="C832" t="s">
        <v>5517</v>
      </c>
      <c r="D832" t="s">
        <v>6748</v>
      </c>
      <c r="E832" t="s">
        <v>6749</v>
      </c>
      <c r="F832" t="s">
        <v>5413</v>
      </c>
      <c r="G832" s="1">
        <v>45503</v>
      </c>
      <c r="H832" s="1"/>
      <c r="I832" t="s">
        <v>1737</v>
      </c>
      <c r="J832" t="s">
        <v>29</v>
      </c>
      <c r="K832" t="s">
        <v>29</v>
      </c>
      <c r="M832">
        <v>100</v>
      </c>
      <c r="N832" s="1">
        <v>45533</v>
      </c>
      <c r="O832" s="12"/>
    </row>
    <row r="833" spans="1:15" x14ac:dyDescent="0.25">
      <c r="A833" t="s">
        <v>6750</v>
      </c>
      <c r="B833" t="s">
        <v>6751</v>
      </c>
      <c r="C833" t="s">
        <v>43</v>
      </c>
      <c r="D833" t="s">
        <v>1188</v>
      </c>
      <c r="E833" t="s">
        <v>6752</v>
      </c>
      <c r="F833" t="s">
        <v>5646</v>
      </c>
      <c r="G833" s="1">
        <v>45503</v>
      </c>
      <c r="H833" s="1"/>
      <c r="I833" t="s">
        <v>1737</v>
      </c>
      <c r="J833" t="s">
        <v>29</v>
      </c>
      <c r="K833" t="s">
        <v>29</v>
      </c>
      <c r="M833">
        <v>100</v>
      </c>
      <c r="N833" s="1">
        <v>45554</v>
      </c>
      <c r="O833" s="12"/>
    </row>
    <row r="834" spans="1:15" x14ac:dyDescent="0.25">
      <c r="A834" t="s">
        <v>6753</v>
      </c>
      <c r="B834" t="s">
        <v>6175</v>
      </c>
      <c r="C834" t="s">
        <v>6754</v>
      </c>
      <c r="D834" t="s">
        <v>6755</v>
      </c>
      <c r="E834" t="s">
        <v>6756</v>
      </c>
      <c r="F834" t="s">
        <v>3148</v>
      </c>
      <c r="G834" s="1">
        <v>45503</v>
      </c>
      <c r="H834" s="1"/>
      <c r="I834" t="s">
        <v>1737</v>
      </c>
      <c r="J834" t="s">
        <v>29</v>
      </c>
      <c r="K834" t="s">
        <v>29</v>
      </c>
      <c r="M834">
        <v>100</v>
      </c>
      <c r="N834" s="1">
        <v>45524</v>
      </c>
      <c r="O834" s="12"/>
    </row>
    <row r="835" spans="1:15" x14ac:dyDescent="0.25">
      <c r="A835" t="s">
        <v>6757</v>
      </c>
      <c r="B835" t="s">
        <v>704</v>
      </c>
      <c r="C835" t="s">
        <v>243</v>
      </c>
      <c r="D835" t="s">
        <v>6247</v>
      </c>
      <c r="E835" t="s">
        <v>6403</v>
      </c>
      <c r="F835" t="s">
        <v>5413</v>
      </c>
      <c r="G835" s="1">
        <v>45504</v>
      </c>
      <c r="H835" s="1"/>
      <c r="I835" t="s">
        <v>1737</v>
      </c>
      <c r="J835" t="s">
        <v>29</v>
      </c>
      <c r="K835" t="s">
        <v>29</v>
      </c>
      <c r="M835">
        <v>100</v>
      </c>
      <c r="N835" s="1">
        <v>45517</v>
      </c>
      <c r="O835" s="12"/>
    </row>
    <row r="836" spans="1:15" x14ac:dyDescent="0.25">
      <c r="A836" t="s">
        <v>6758</v>
      </c>
      <c r="B836" t="s">
        <v>325</v>
      </c>
      <c r="C836" t="s">
        <v>3548</v>
      </c>
      <c r="E836" t="s">
        <v>6759</v>
      </c>
      <c r="F836" t="s">
        <v>6760</v>
      </c>
      <c r="G836" s="1">
        <v>45505</v>
      </c>
      <c r="H836" s="1"/>
      <c r="I836" t="s">
        <v>1737</v>
      </c>
      <c r="J836" t="s">
        <v>29</v>
      </c>
      <c r="K836" t="s">
        <v>29</v>
      </c>
      <c r="M836">
        <v>100</v>
      </c>
      <c r="N836" s="1">
        <v>45568</v>
      </c>
      <c r="O836" s="12"/>
    </row>
    <row r="837" spans="1:15" x14ac:dyDescent="0.25">
      <c r="A837" t="s">
        <v>6761</v>
      </c>
      <c r="B837" t="s">
        <v>704</v>
      </c>
      <c r="C837" t="s">
        <v>611</v>
      </c>
      <c r="D837" t="s">
        <v>6577</v>
      </c>
      <c r="E837" t="s">
        <v>6762</v>
      </c>
      <c r="F837" t="s">
        <v>6763</v>
      </c>
      <c r="G837" s="1">
        <v>45505</v>
      </c>
      <c r="H837" s="1"/>
      <c r="I837" t="s">
        <v>1737</v>
      </c>
      <c r="J837" t="s">
        <v>29</v>
      </c>
      <c r="K837" t="s">
        <v>29</v>
      </c>
      <c r="M837">
        <v>100</v>
      </c>
      <c r="N837" s="1">
        <v>45553</v>
      </c>
      <c r="O837" s="12"/>
    </row>
    <row r="838" spans="1:15" x14ac:dyDescent="0.25">
      <c r="A838" t="s">
        <v>6764</v>
      </c>
      <c r="B838" t="s">
        <v>704</v>
      </c>
      <c r="C838" t="s">
        <v>5007</v>
      </c>
      <c r="D838" t="s">
        <v>6331</v>
      </c>
      <c r="E838" t="s">
        <v>6765</v>
      </c>
      <c r="F838" t="s">
        <v>5413</v>
      </c>
      <c r="G838" s="1">
        <v>45509</v>
      </c>
      <c r="H838" s="1"/>
      <c r="I838" t="s">
        <v>1737</v>
      </c>
      <c r="J838" t="s">
        <v>29</v>
      </c>
      <c r="K838" t="s">
        <v>29</v>
      </c>
      <c r="M838" t="s">
        <v>3780</v>
      </c>
      <c r="N838" s="1" t="s">
        <v>6766</v>
      </c>
      <c r="O838" s="12" t="s">
        <v>6767</v>
      </c>
    </row>
    <row r="839" spans="1:15" x14ac:dyDescent="0.25">
      <c r="A839" t="s">
        <v>6768</v>
      </c>
      <c r="B839" t="s">
        <v>220</v>
      </c>
      <c r="C839" t="s">
        <v>70</v>
      </c>
      <c r="D839" t="s">
        <v>6769</v>
      </c>
      <c r="E839" t="s">
        <v>6770</v>
      </c>
      <c r="F839" t="s">
        <v>6771</v>
      </c>
      <c r="G839" s="1">
        <v>45505</v>
      </c>
      <c r="H839" s="1"/>
      <c r="I839" t="s">
        <v>1737</v>
      </c>
      <c r="J839" t="s">
        <v>29</v>
      </c>
      <c r="K839" t="s">
        <v>29</v>
      </c>
      <c r="M839">
        <v>100</v>
      </c>
      <c r="N839" s="1">
        <v>45532</v>
      </c>
      <c r="O839" s="12"/>
    </row>
    <row r="840" spans="1:15" x14ac:dyDescent="0.25">
      <c r="A840" t="s">
        <v>6772</v>
      </c>
      <c r="B840" t="s">
        <v>704</v>
      </c>
      <c r="C840" t="s">
        <v>163</v>
      </c>
      <c r="D840" t="s">
        <v>266</v>
      </c>
      <c r="E840" t="s">
        <v>6773</v>
      </c>
      <c r="F840" t="s">
        <v>5555</v>
      </c>
      <c r="G840" s="1">
        <v>45509</v>
      </c>
      <c r="H840" s="1"/>
      <c r="I840" t="s">
        <v>1737</v>
      </c>
      <c r="J840" t="s">
        <v>29</v>
      </c>
      <c r="K840" t="s">
        <v>29</v>
      </c>
      <c r="M840">
        <v>100</v>
      </c>
      <c r="N840" s="1">
        <v>45533</v>
      </c>
      <c r="O840" s="12" t="s">
        <v>6774</v>
      </c>
    </row>
    <row r="841" spans="1:15" x14ac:dyDescent="0.25">
      <c r="A841" t="s">
        <v>6775</v>
      </c>
      <c r="B841" t="s">
        <v>325</v>
      </c>
      <c r="C841" t="s">
        <v>32</v>
      </c>
      <c r="D841" t="s">
        <v>397</v>
      </c>
      <c r="E841" t="s">
        <v>6776</v>
      </c>
      <c r="F841" t="s">
        <v>6474</v>
      </c>
      <c r="G841" s="1">
        <v>45510</v>
      </c>
      <c r="H841" s="1"/>
      <c r="I841" t="s">
        <v>1737</v>
      </c>
      <c r="J841" t="s">
        <v>29</v>
      </c>
      <c r="M841">
        <v>100</v>
      </c>
      <c r="N841" s="1">
        <v>45576</v>
      </c>
      <c r="O841" s="12"/>
    </row>
    <row r="842" spans="1:15" x14ac:dyDescent="0.25">
      <c r="A842" t="s">
        <v>6777</v>
      </c>
      <c r="B842" t="s">
        <v>704</v>
      </c>
      <c r="C842" t="s">
        <v>677</v>
      </c>
      <c r="D842" t="s">
        <v>678</v>
      </c>
      <c r="E842" t="s">
        <v>6778</v>
      </c>
      <c r="F842" t="s">
        <v>6779</v>
      </c>
      <c r="G842" s="1">
        <v>45512</v>
      </c>
      <c r="H842" s="1"/>
      <c r="I842" t="s">
        <v>1737</v>
      </c>
      <c r="J842" t="s">
        <v>29</v>
      </c>
      <c r="K842" t="s">
        <v>29</v>
      </c>
      <c r="M842">
        <v>100</v>
      </c>
      <c r="N842" s="1">
        <v>45517</v>
      </c>
      <c r="O842" s="12"/>
    </row>
    <row r="843" spans="1:15" x14ac:dyDescent="0.25">
      <c r="A843" t="s">
        <v>6780</v>
      </c>
      <c r="B843" t="s">
        <v>2956</v>
      </c>
      <c r="C843" t="s">
        <v>4127</v>
      </c>
      <c r="D843" t="s">
        <v>6781</v>
      </c>
      <c r="E843" t="s">
        <v>6782</v>
      </c>
      <c r="F843" t="s">
        <v>5610</v>
      </c>
      <c r="G843" s="1">
        <v>45513</v>
      </c>
      <c r="H843" s="1"/>
      <c r="I843" t="s">
        <v>1737</v>
      </c>
      <c r="J843" t="s">
        <v>29</v>
      </c>
      <c r="K843" t="s">
        <v>29</v>
      </c>
      <c r="M843" s="5">
        <v>1</v>
      </c>
      <c r="N843" s="1" t="s">
        <v>6783</v>
      </c>
      <c r="O843" s="12"/>
    </row>
    <row r="844" spans="1:15" x14ac:dyDescent="0.25">
      <c r="A844" t="s">
        <v>6784</v>
      </c>
      <c r="B844" t="s">
        <v>2956</v>
      </c>
      <c r="C844" t="s">
        <v>4127</v>
      </c>
      <c r="D844" t="s">
        <v>6781</v>
      </c>
      <c r="E844" t="s">
        <v>6782</v>
      </c>
      <c r="F844" t="s">
        <v>5610</v>
      </c>
      <c r="G844" s="1">
        <v>45513</v>
      </c>
      <c r="H844" s="1"/>
      <c r="I844" t="s">
        <v>1737</v>
      </c>
      <c r="J844" t="s">
        <v>29</v>
      </c>
      <c r="K844" t="s">
        <v>29</v>
      </c>
      <c r="M844" s="5">
        <v>1</v>
      </c>
      <c r="N844" s="1" t="s">
        <v>6783</v>
      </c>
      <c r="O844" s="12"/>
    </row>
    <row r="845" spans="1:15" x14ac:dyDescent="0.25">
      <c r="A845" t="s">
        <v>6785</v>
      </c>
      <c r="B845" t="s">
        <v>2956</v>
      </c>
      <c r="C845" t="s">
        <v>4127</v>
      </c>
      <c r="D845" t="s">
        <v>6786</v>
      </c>
      <c r="E845" t="s">
        <v>6787</v>
      </c>
      <c r="F845" t="s">
        <v>6474</v>
      </c>
      <c r="G845" s="1">
        <v>45698</v>
      </c>
      <c r="H845" s="1"/>
      <c r="I845" t="s">
        <v>1737</v>
      </c>
      <c r="J845" t="s">
        <v>29</v>
      </c>
      <c r="M845" s="5">
        <v>1</v>
      </c>
      <c r="N845" s="1">
        <v>45728</v>
      </c>
      <c r="O845" s="12"/>
    </row>
    <row r="846" spans="1:15" x14ac:dyDescent="0.25">
      <c r="A846" t="s">
        <v>6788</v>
      </c>
      <c r="B846" t="s">
        <v>704</v>
      </c>
      <c r="C846" t="s">
        <v>243</v>
      </c>
      <c r="D846" t="s">
        <v>244</v>
      </c>
      <c r="E846" t="s">
        <v>6789</v>
      </c>
      <c r="F846" t="s">
        <v>555</v>
      </c>
      <c r="G846" s="1">
        <v>45516</v>
      </c>
      <c r="H846" s="1"/>
      <c r="I846" t="s">
        <v>1737</v>
      </c>
      <c r="J846" t="s">
        <v>29</v>
      </c>
      <c r="K846" t="s">
        <v>29</v>
      </c>
      <c r="M846">
        <v>100</v>
      </c>
      <c r="N846" s="1">
        <v>45524</v>
      </c>
      <c r="O846" s="12"/>
    </row>
    <row r="847" spans="1:15" x14ac:dyDescent="0.25">
      <c r="A847" t="s">
        <v>6790</v>
      </c>
      <c r="B847" t="s">
        <v>621</v>
      </c>
      <c r="C847" t="s">
        <v>177</v>
      </c>
      <c r="D847" t="s">
        <v>932</v>
      </c>
      <c r="E847" t="s">
        <v>6791</v>
      </c>
      <c r="F847" t="s">
        <v>14</v>
      </c>
      <c r="G847" s="1">
        <v>45512</v>
      </c>
      <c r="H847" s="1"/>
      <c r="I847" t="s">
        <v>1737</v>
      </c>
      <c r="J847" t="s">
        <v>29</v>
      </c>
      <c r="K847" t="s">
        <v>18</v>
      </c>
      <c r="M847">
        <v>100</v>
      </c>
      <c r="N847" s="1">
        <v>45547</v>
      </c>
      <c r="O847" s="12"/>
    </row>
    <row r="848" spans="1:15" x14ac:dyDescent="0.25">
      <c r="A848" t="s">
        <v>6792</v>
      </c>
      <c r="B848" t="s">
        <v>6793</v>
      </c>
      <c r="C848" t="s">
        <v>243</v>
      </c>
      <c r="D848" t="s">
        <v>244</v>
      </c>
      <c r="E848" t="s">
        <v>6794</v>
      </c>
      <c r="F848" t="s">
        <v>6474</v>
      </c>
      <c r="G848" s="1">
        <v>45516</v>
      </c>
      <c r="H848" s="1"/>
      <c r="I848" t="s">
        <v>1737</v>
      </c>
      <c r="J848" t="s">
        <v>29</v>
      </c>
      <c r="K848" t="s">
        <v>29</v>
      </c>
      <c r="M848">
        <v>100</v>
      </c>
      <c r="N848" s="1">
        <v>45532</v>
      </c>
      <c r="O848" s="12"/>
    </row>
    <row r="849" spans="1:15" x14ac:dyDescent="0.25">
      <c r="A849" t="s">
        <v>6795</v>
      </c>
      <c r="B849" t="s">
        <v>704</v>
      </c>
      <c r="C849" t="s">
        <v>5007</v>
      </c>
      <c r="D849" t="s">
        <v>5071</v>
      </c>
      <c r="E849" t="s">
        <v>6796</v>
      </c>
      <c r="F849" t="s">
        <v>5413</v>
      </c>
      <c r="G849" s="1">
        <v>45516</v>
      </c>
      <c r="H849" s="1"/>
      <c r="I849" t="s">
        <v>1737</v>
      </c>
      <c r="J849" t="s">
        <v>29</v>
      </c>
      <c r="K849" t="s">
        <v>29</v>
      </c>
      <c r="M849">
        <v>100</v>
      </c>
      <c r="N849" s="1">
        <v>45551</v>
      </c>
      <c r="O849" s="12" t="s">
        <v>6797</v>
      </c>
    </row>
    <row r="850" spans="1:15" x14ac:dyDescent="0.25">
      <c r="A850" t="s">
        <v>6798</v>
      </c>
      <c r="B850" t="s">
        <v>704</v>
      </c>
      <c r="C850" t="s">
        <v>243</v>
      </c>
      <c r="D850" t="s">
        <v>6247</v>
      </c>
      <c r="E850" t="s">
        <v>6799</v>
      </c>
      <c r="F850" t="s">
        <v>6474</v>
      </c>
      <c r="G850" s="1">
        <v>45516</v>
      </c>
      <c r="H850" s="1"/>
      <c r="I850" t="s">
        <v>1737</v>
      </c>
      <c r="J850" t="s">
        <v>29</v>
      </c>
      <c r="K850" t="s">
        <v>29</v>
      </c>
      <c r="M850">
        <v>100</v>
      </c>
      <c r="N850" s="1">
        <v>45519</v>
      </c>
      <c r="O850" s="12"/>
    </row>
    <row r="851" spans="1:15" x14ac:dyDescent="0.25">
      <c r="A851" t="s">
        <v>6800</v>
      </c>
      <c r="B851" t="s">
        <v>704</v>
      </c>
      <c r="C851" t="s">
        <v>4737</v>
      </c>
      <c r="D851" t="s">
        <v>6801</v>
      </c>
      <c r="E851" t="s">
        <v>6802</v>
      </c>
      <c r="F851" t="s">
        <v>555</v>
      </c>
      <c r="G851" s="1">
        <v>45517</v>
      </c>
      <c r="H851" s="1"/>
      <c r="I851" t="s">
        <v>1737</v>
      </c>
      <c r="J851" t="s">
        <v>29</v>
      </c>
      <c r="K851" t="s">
        <v>29</v>
      </c>
      <c r="M851">
        <v>100</v>
      </c>
      <c r="N851" s="1">
        <v>45517</v>
      </c>
      <c r="O851" s="12"/>
    </row>
    <row r="852" spans="1:15" x14ac:dyDescent="0.25">
      <c r="A852" t="s">
        <v>6803</v>
      </c>
      <c r="B852" t="s">
        <v>325</v>
      </c>
      <c r="C852" t="s">
        <v>253</v>
      </c>
      <c r="D852" t="s">
        <v>254</v>
      </c>
      <c r="E852" t="s">
        <v>6804</v>
      </c>
      <c r="F852" t="s">
        <v>6474</v>
      </c>
      <c r="G852" s="1">
        <v>45509</v>
      </c>
      <c r="H852" s="1"/>
      <c r="I852" t="s">
        <v>1737</v>
      </c>
      <c r="J852" t="s">
        <v>29</v>
      </c>
      <c r="K852" t="s">
        <v>29</v>
      </c>
      <c r="M852">
        <v>100</v>
      </c>
      <c r="N852" s="1">
        <v>45547</v>
      </c>
      <c r="O852" s="12"/>
    </row>
    <row r="853" spans="1:15" x14ac:dyDescent="0.25">
      <c r="A853" t="s">
        <v>6805</v>
      </c>
      <c r="B853" t="s">
        <v>704</v>
      </c>
      <c r="C853" t="s">
        <v>611</v>
      </c>
      <c r="D853" t="s">
        <v>5425</v>
      </c>
      <c r="E853" t="s">
        <v>5983</v>
      </c>
      <c r="F853" t="s">
        <v>5984</v>
      </c>
      <c r="G853" s="1">
        <v>45518</v>
      </c>
      <c r="H853" s="1"/>
      <c r="I853" t="s">
        <v>1737</v>
      </c>
      <c r="J853" t="s">
        <v>29</v>
      </c>
      <c r="K853" t="s">
        <v>29</v>
      </c>
      <c r="M853">
        <v>100</v>
      </c>
      <c r="N853" s="1">
        <v>45531</v>
      </c>
      <c r="O853" s="12"/>
    </row>
    <row r="854" spans="1:15" x14ac:dyDescent="0.25">
      <c r="A854" t="s">
        <v>6806</v>
      </c>
      <c r="B854" t="s">
        <v>704</v>
      </c>
      <c r="C854" t="s">
        <v>243</v>
      </c>
      <c r="D854" t="s">
        <v>244</v>
      </c>
      <c r="E854" t="s">
        <v>6807</v>
      </c>
      <c r="F854" t="s">
        <v>6808</v>
      </c>
      <c r="G854" s="1">
        <v>45518</v>
      </c>
      <c r="H854" s="1"/>
      <c r="I854" t="s">
        <v>1737</v>
      </c>
      <c r="J854" t="s">
        <v>29</v>
      </c>
      <c r="K854" t="s">
        <v>29</v>
      </c>
      <c r="M854">
        <v>100</v>
      </c>
      <c r="N854" s="1">
        <v>45562</v>
      </c>
      <c r="O854" s="12"/>
    </row>
    <row r="855" spans="1:15" x14ac:dyDescent="0.25">
      <c r="A855" t="s">
        <v>6809</v>
      </c>
      <c r="B855" t="s">
        <v>6810</v>
      </c>
      <c r="C855" t="s">
        <v>177</v>
      </c>
      <c r="D855" t="s">
        <v>511</v>
      </c>
      <c r="E855" t="s">
        <v>6811</v>
      </c>
      <c r="F855" t="s">
        <v>6474</v>
      </c>
      <c r="G855" s="1">
        <v>45520</v>
      </c>
      <c r="H855" s="1"/>
      <c r="I855" t="s">
        <v>1737</v>
      </c>
      <c r="J855" t="s">
        <v>29</v>
      </c>
      <c r="K855" t="s">
        <v>29</v>
      </c>
      <c r="M855">
        <v>100</v>
      </c>
      <c r="N855" s="1">
        <v>45525</v>
      </c>
      <c r="O855" s="12"/>
    </row>
    <row r="856" spans="1:15" x14ac:dyDescent="0.25">
      <c r="A856" t="s">
        <v>6812</v>
      </c>
      <c r="B856" t="s">
        <v>704</v>
      </c>
      <c r="C856" t="s">
        <v>243</v>
      </c>
      <c r="D856" t="s">
        <v>244</v>
      </c>
      <c r="E856" t="s">
        <v>6813</v>
      </c>
      <c r="F856" t="s">
        <v>6474</v>
      </c>
      <c r="G856" s="1">
        <v>45523</v>
      </c>
      <c r="H856" s="1"/>
      <c r="I856" t="s">
        <v>1737</v>
      </c>
      <c r="J856" t="s">
        <v>29</v>
      </c>
      <c r="K856" t="s">
        <v>29</v>
      </c>
      <c r="M856">
        <v>100</v>
      </c>
      <c r="N856" s="1">
        <v>45531</v>
      </c>
      <c r="O856" s="12"/>
    </row>
    <row r="857" spans="1:15" x14ac:dyDescent="0.25">
      <c r="A857" t="s">
        <v>6814</v>
      </c>
      <c r="B857" t="s">
        <v>704</v>
      </c>
      <c r="C857" t="s">
        <v>677</v>
      </c>
      <c r="D857" t="s">
        <v>6667</v>
      </c>
      <c r="E857" t="s">
        <v>6734</v>
      </c>
      <c r="F857" t="s">
        <v>555</v>
      </c>
      <c r="G857" s="1">
        <v>45527</v>
      </c>
      <c r="H857" s="1"/>
      <c r="I857" t="s">
        <v>1737</v>
      </c>
      <c r="J857" t="s">
        <v>29</v>
      </c>
      <c r="K857" t="s">
        <v>29</v>
      </c>
      <c r="M857">
        <v>100</v>
      </c>
      <c r="N857" s="1">
        <v>45538</v>
      </c>
      <c r="O857" s="12"/>
    </row>
    <row r="858" spans="1:15" x14ac:dyDescent="0.25">
      <c r="A858" t="s">
        <v>6815</v>
      </c>
      <c r="B858" t="s">
        <v>704</v>
      </c>
      <c r="C858" t="s">
        <v>611</v>
      </c>
      <c r="D858" t="s">
        <v>111</v>
      </c>
      <c r="E858" t="s">
        <v>6816</v>
      </c>
      <c r="F858" t="s">
        <v>6817</v>
      </c>
      <c r="G858" s="1">
        <v>45526</v>
      </c>
      <c r="H858" s="1"/>
      <c r="I858" t="s">
        <v>1737</v>
      </c>
      <c r="J858" t="s">
        <v>29</v>
      </c>
      <c r="K858" t="s">
        <v>29</v>
      </c>
      <c r="M858">
        <v>100</v>
      </c>
      <c r="N858" s="1">
        <v>45531</v>
      </c>
      <c r="O858" s="12"/>
    </row>
    <row r="859" spans="1:15" x14ac:dyDescent="0.25">
      <c r="A859" t="s">
        <v>6818</v>
      </c>
      <c r="B859" t="s">
        <v>704</v>
      </c>
      <c r="C859" t="s">
        <v>677</v>
      </c>
      <c r="D859" t="s">
        <v>6667</v>
      </c>
      <c r="E859" t="s">
        <v>6819</v>
      </c>
      <c r="F859" t="s">
        <v>555</v>
      </c>
      <c r="G859" s="1">
        <v>45527</v>
      </c>
      <c r="H859" s="1"/>
      <c r="I859" t="s">
        <v>1737</v>
      </c>
      <c r="J859" t="s">
        <v>29</v>
      </c>
      <c r="K859" t="s">
        <v>29</v>
      </c>
      <c r="M859">
        <v>100</v>
      </c>
      <c r="N859" s="1">
        <v>45538</v>
      </c>
      <c r="O859" s="12"/>
    </row>
    <row r="860" spans="1:15" x14ac:dyDescent="0.25">
      <c r="A860" t="s">
        <v>6820</v>
      </c>
      <c r="B860" t="s">
        <v>704</v>
      </c>
      <c r="C860" t="s">
        <v>670</v>
      </c>
      <c r="D860" t="s">
        <v>671</v>
      </c>
      <c r="E860" t="s">
        <v>6821</v>
      </c>
      <c r="F860" t="s">
        <v>3148</v>
      </c>
      <c r="G860" s="1">
        <v>45527</v>
      </c>
      <c r="H860" s="1"/>
      <c r="I860" t="s">
        <v>1737</v>
      </c>
      <c r="J860" t="s">
        <v>29</v>
      </c>
      <c r="K860" t="s">
        <v>29</v>
      </c>
      <c r="M860">
        <v>100</v>
      </c>
      <c r="N860" s="1">
        <v>45545</v>
      </c>
      <c r="O860" s="12"/>
    </row>
    <row r="861" spans="1:15" x14ac:dyDescent="0.25">
      <c r="A861" t="s">
        <v>6822</v>
      </c>
      <c r="B861" t="s">
        <v>704</v>
      </c>
      <c r="C861" t="s">
        <v>611</v>
      </c>
      <c r="D861" t="s">
        <v>5425</v>
      </c>
      <c r="E861" t="s">
        <v>6823</v>
      </c>
      <c r="F861" t="s">
        <v>5427</v>
      </c>
      <c r="G861" s="1">
        <v>45527</v>
      </c>
      <c r="H861" s="1"/>
      <c r="I861" t="s">
        <v>1737</v>
      </c>
      <c r="J861" t="s">
        <v>29</v>
      </c>
      <c r="K861" t="s">
        <v>29</v>
      </c>
      <c r="M861">
        <v>100</v>
      </c>
      <c r="N861" s="1">
        <v>45545</v>
      </c>
      <c r="O861" s="12"/>
    </row>
    <row r="862" spans="1:15" x14ac:dyDescent="0.25">
      <c r="A862" t="s">
        <v>6824</v>
      </c>
      <c r="B862" t="s">
        <v>704</v>
      </c>
      <c r="C862" t="s">
        <v>670</v>
      </c>
      <c r="D862" t="s">
        <v>5102</v>
      </c>
      <c r="E862" t="s">
        <v>6825</v>
      </c>
      <c r="F862" t="s">
        <v>555</v>
      </c>
      <c r="G862" s="1">
        <v>45530</v>
      </c>
      <c r="H862" s="1"/>
      <c r="I862" t="s">
        <v>1737</v>
      </c>
      <c r="J862" t="s">
        <v>29</v>
      </c>
      <c r="K862" t="s">
        <v>29</v>
      </c>
      <c r="M862">
        <v>100</v>
      </c>
      <c r="N862" s="1">
        <v>45554</v>
      </c>
      <c r="O862" s="12" t="s">
        <v>6826</v>
      </c>
    </row>
    <row r="863" spans="1:15" x14ac:dyDescent="0.25">
      <c r="A863" t="s">
        <v>6827</v>
      </c>
      <c r="B863" t="s">
        <v>2956</v>
      </c>
      <c r="C863" t="s">
        <v>4127</v>
      </c>
      <c r="D863" t="s">
        <v>232</v>
      </c>
      <c r="E863" t="s">
        <v>6828</v>
      </c>
      <c r="F863" t="s">
        <v>5555</v>
      </c>
      <c r="G863" s="1">
        <v>45530</v>
      </c>
      <c r="H863" s="1"/>
      <c r="I863" t="s">
        <v>1737</v>
      </c>
      <c r="J863" t="s">
        <v>29</v>
      </c>
      <c r="K863" t="s">
        <v>29</v>
      </c>
      <c r="M863">
        <v>100</v>
      </c>
      <c r="N863" s="1">
        <v>45545</v>
      </c>
      <c r="O863" s="12"/>
    </row>
    <row r="864" spans="1:15" x14ac:dyDescent="0.25">
      <c r="A864" t="s">
        <v>6829</v>
      </c>
      <c r="B864" t="s">
        <v>704</v>
      </c>
      <c r="C864" t="s">
        <v>32</v>
      </c>
      <c r="D864" t="s">
        <v>5156</v>
      </c>
      <c r="E864" t="s">
        <v>6830</v>
      </c>
      <c r="F864" t="s">
        <v>5413</v>
      </c>
      <c r="G864" s="1">
        <v>45530</v>
      </c>
      <c r="H864" s="1"/>
      <c r="I864" t="s">
        <v>1737</v>
      </c>
      <c r="J864" t="s">
        <v>29</v>
      </c>
      <c r="K864" t="s">
        <v>29</v>
      </c>
      <c r="M864">
        <v>100</v>
      </c>
      <c r="N864" s="1">
        <v>45533</v>
      </c>
      <c r="O864" s="12"/>
    </row>
    <row r="865" spans="1:15" x14ac:dyDescent="0.25">
      <c r="A865" t="s">
        <v>6831</v>
      </c>
      <c r="B865" t="s">
        <v>704</v>
      </c>
      <c r="C865" t="s">
        <v>5517</v>
      </c>
      <c r="D865" t="s">
        <v>6047</v>
      </c>
      <c r="E865" t="s">
        <v>6832</v>
      </c>
      <c r="F865" t="s">
        <v>6833</v>
      </c>
      <c r="G865" s="1">
        <v>45530</v>
      </c>
      <c r="H865" s="1"/>
      <c r="I865" t="s">
        <v>1737</v>
      </c>
      <c r="J865" t="s">
        <v>29</v>
      </c>
      <c r="K865" t="s">
        <v>29</v>
      </c>
      <c r="M865">
        <v>100</v>
      </c>
      <c r="N865" s="1">
        <v>45533</v>
      </c>
      <c r="O865" s="12"/>
    </row>
    <row r="866" spans="1:15" x14ac:dyDescent="0.25">
      <c r="A866" t="s">
        <v>6834</v>
      </c>
      <c r="B866" t="s">
        <v>4144</v>
      </c>
      <c r="C866" t="s">
        <v>6835</v>
      </c>
      <c r="E866" t="s">
        <v>6836</v>
      </c>
      <c r="F866" t="s">
        <v>6474</v>
      </c>
      <c r="G866" s="1">
        <v>45530</v>
      </c>
      <c r="H866" s="1"/>
      <c r="I866" t="s">
        <v>1737</v>
      </c>
      <c r="J866" t="s">
        <v>29</v>
      </c>
      <c r="O866" s="12"/>
    </row>
    <row r="867" spans="1:15" x14ac:dyDescent="0.25">
      <c r="A867" t="s">
        <v>6837</v>
      </c>
      <c r="B867" t="s">
        <v>704</v>
      </c>
      <c r="C867" t="s">
        <v>70</v>
      </c>
      <c r="D867" t="s">
        <v>993</v>
      </c>
      <c r="E867" t="s">
        <v>6838</v>
      </c>
      <c r="F867" t="s">
        <v>6839</v>
      </c>
      <c r="G867" s="1">
        <v>45531</v>
      </c>
      <c r="H867" s="1"/>
      <c r="I867" t="s">
        <v>1737</v>
      </c>
      <c r="J867" t="s">
        <v>29</v>
      </c>
      <c r="K867" t="s">
        <v>29</v>
      </c>
      <c r="M867">
        <v>100</v>
      </c>
      <c r="N867" s="1">
        <v>45551</v>
      </c>
      <c r="O867" s="12"/>
    </row>
    <row r="868" spans="1:15" x14ac:dyDescent="0.25">
      <c r="A868" t="s">
        <v>6840</v>
      </c>
      <c r="B868" t="s">
        <v>704</v>
      </c>
      <c r="C868" t="s">
        <v>6841</v>
      </c>
      <c r="D868" t="s">
        <v>6842</v>
      </c>
      <c r="E868" t="s">
        <v>6843</v>
      </c>
      <c r="F868" t="s">
        <v>6019</v>
      </c>
      <c r="G868" s="1">
        <v>45532</v>
      </c>
      <c r="H868" s="1"/>
      <c r="I868" t="s">
        <v>1737</v>
      </c>
      <c r="J868" t="s">
        <v>29</v>
      </c>
      <c r="K868" t="s">
        <v>29</v>
      </c>
      <c r="M868">
        <v>100</v>
      </c>
      <c r="N868" s="1">
        <v>45533</v>
      </c>
      <c r="O868" s="12"/>
    </row>
    <row r="869" spans="1:15" x14ac:dyDescent="0.25">
      <c r="A869" t="s">
        <v>6844</v>
      </c>
      <c r="B869" t="s">
        <v>704</v>
      </c>
      <c r="C869" t="s">
        <v>670</v>
      </c>
      <c r="D869" t="s">
        <v>5102</v>
      </c>
      <c r="E869" t="s">
        <v>6546</v>
      </c>
      <c r="F869" t="s">
        <v>3148</v>
      </c>
      <c r="G869" s="1">
        <v>45533</v>
      </c>
      <c r="H869" s="1"/>
      <c r="I869" t="s">
        <v>1737</v>
      </c>
      <c r="J869" t="s">
        <v>29</v>
      </c>
      <c r="K869" t="s">
        <v>29</v>
      </c>
      <c r="M869">
        <v>100</v>
      </c>
      <c r="N869" s="1">
        <v>45551</v>
      </c>
      <c r="O869" s="12"/>
    </row>
    <row r="870" spans="1:15" x14ac:dyDescent="0.25">
      <c r="A870" t="s">
        <v>6845</v>
      </c>
      <c r="B870" t="s">
        <v>325</v>
      </c>
      <c r="C870" t="s">
        <v>6846</v>
      </c>
      <c r="D870" t="s">
        <v>6847</v>
      </c>
      <c r="E870" t="s">
        <v>6848</v>
      </c>
      <c r="F870" t="s">
        <v>6474</v>
      </c>
      <c r="G870" s="1">
        <v>45533</v>
      </c>
      <c r="H870" s="1"/>
      <c r="I870" t="s">
        <v>1737</v>
      </c>
      <c r="J870" t="s">
        <v>29</v>
      </c>
      <c r="K870" t="s">
        <v>29</v>
      </c>
      <c r="M870">
        <v>100</v>
      </c>
      <c r="N870" s="1">
        <v>45534</v>
      </c>
      <c r="O870" s="12"/>
    </row>
    <row r="871" spans="1:15" x14ac:dyDescent="0.25">
      <c r="A871" t="s">
        <v>6849</v>
      </c>
      <c r="B871" t="s">
        <v>6850</v>
      </c>
      <c r="C871" t="s">
        <v>411</v>
      </c>
      <c r="D871" t="s">
        <v>817</v>
      </c>
      <c r="E871" t="s">
        <v>6851</v>
      </c>
      <c r="F871" t="s">
        <v>6474</v>
      </c>
      <c r="G871" s="1">
        <v>45533</v>
      </c>
      <c r="H871" s="1"/>
      <c r="I871" t="s">
        <v>1737</v>
      </c>
      <c r="J871" t="s">
        <v>29</v>
      </c>
      <c r="K871" t="s">
        <v>29</v>
      </c>
      <c r="M871">
        <v>100</v>
      </c>
      <c r="N871" s="1">
        <v>45540</v>
      </c>
      <c r="O871" s="12"/>
    </row>
    <row r="872" spans="1:15" x14ac:dyDescent="0.25">
      <c r="A872" t="s">
        <v>6852</v>
      </c>
      <c r="B872" t="s">
        <v>6850</v>
      </c>
      <c r="C872" t="s">
        <v>411</v>
      </c>
      <c r="D872" t="s">
        <v>817</v>
      </c>
      <c r="E872" t="s">
        <v>6853</v>
      </c>
      <c r="F872" t="s">
        <v>6474</v>
      </c>
      <c r="G872" s="1">
        <v>45534</v>
      </c>
      <c r="H872" s="1"/>
      <c r="I872" t="s">
        <v>1737</v>
      </c>
      <c r="J872" t="s">
        <v>29</v>
      </c>
      <c r="K872" t="s">
        <v>29</v>
      </c>
      <c r="M872">
        <v>100</v>
      </c>
      <c r="N872" s="1">
        <v>45539</v>
      </c>
      <c r="O872" s="12"/>
    </row>
    <row r="873" spans="1:15" x14ac:dyDescent="0.25">
      <c r="A873" t="s">
        <v>6854</v>
      </c>
      <c r="B873" t="s">
        <v>325</v>
      </c>
      <c r="C873" t="s">
        <v>4049</v>
      </c>
      <c r="D873" t="s">
        <v>6855</v>
      </c>
      <c r="E873" t="s">
        <v>6856</v>
      </c>
      <c r="F873" t="s">
        <v>6474</v>
      </c>
      <c r="G873" s="1">
        <v>45533</v>
      </c>
      <c r="H873" s="1"/>
      <c r="I873" t="s">
        <v>1737</v>
      </c>
      <c r="J873" t="s">
        <v>29</v>
      </c>
      <c r="K873" t="s">
        <v>29</v>
      </c>
      <c r="M873">
        <v>100</v>
      </c>
      <c r="N873" s="1">
        <v>45534</v>
      </c>
      <c r="O873" s="12"/>
    </row>
    <row r="874" spans="1:15" x14ac:dyDescent="0.25">
      <c r="A874" t="s">
        <v>6857</v>
      </c>
      <c r="B874" t="s">
        <v>621</v>
      </c>
      <c r="C874" t="s">
        <v>6858</v>
      </c>
      <c r="D874" t="s">
        <v>6859</v>
      </c>
      <c r="E874" t="s">
        <v>6860</v>
      </c>
      <c r="F874" t="s">
        <v>6474</v>
      </c>
      <c r="G874" s="1">
        <v>45530</v>
      </c>
      <c r="H874" s="1"/>
      <c r="I874" t="s">
        <v>1737</v>
      </c>
      <c r="J874" t="s">
        <v>29</v>
      </c>
      <c r="K874" t="s">
        <v>29</v>
      </c>
      <c r="M874">
        <v>100</v>
      </c>
      <c r="N874" s="1">
        <v>45558</v>
      </c>
      <c r="O874" s="12"/>
    </row>
    <row r="875" spans="1:15" x14ac:dyDescent="0.25">
      <c r="A875" t="s">
        <v>6861</v>
      </c>
      <c r="B875" t="s">
        <v>325</v>
      </c>
      <c r="C875" t="s">
        <v>253</v>
      </c>
      <c r="D875" t="s">
        <v>254</v>
      </c>
      <c r="E875" t="s">
        <v>6862</v>
      </c>
      <c r="F875" t="s">
        <v>6474</v>
      </c>
      <c r="G875" s="1">
        <v>45884</v>
      </c>
      <c r="H875" s="1"/>
      <c r="I875" t="s">
        <v>2762</v>
      </c>
      <c r="J875" t="s">
        <v>29</v>
      </c>
      <c r="O875" s="12"/>
    </row>
    <row r="876" spans="1:15" x14ac:dyDescent="0.25">
      <c r="A876" t="s">
        <v>6863</v>
      </c>
      <c r="B876" t="s">
        <v>474</v>
      </c>
      <c r="C876" t="s">
        <v>243</v>
      </c>
      <c r="D876" t="s">
        <v>244</v>
      </c>
      <c r="E876" t="s">
        <v>6864</v>
      </c>
      <c r="F876" t="s">
        <v>6474</v>
      </c>
      <c r="G876" s="1">
        <v>45540</v>
      </c>
      <c r="H876" s="1"/>
      <c r="I876" t="s">
        <v>1737</v>
      </c>
      <c r="J876" t="s">
        <v>29</v>
      </c>
      <c r="K876" t="s">
        <v>29</v>
      </c>
      <c r="M876">
        <v>100</v>
      </c>
      <c r="N876" s="1">
        <v>45544</v>
      </c>
      <c r="O876" s="12"/>
    </row>
    <row r="877" spans="1:15" x14ac:dyDescent="0.25">
      <c r="A877" t="s">
        <v>6865</v>
      </c>
      <c r="B877" t="s">
        <v>704</v>
      </c>
      <c r="C877" t="s">
        <v>25</v>
      </c>
      <c r="D877" t="s">
        <v>225</v>
      </c>
      <c r="E877" t="s">
        <v>6866</v>
      </c>
      <c r="F877" t="s">
        <v>6867</v>
      </c>
      <c r="G877" s="1">
        <v>45541</v>
      </c>
      <c r="H877" s="1"/>
      <c r="I877" t="s">
        <v>1737</v>
      </c>
      <c r="J877" t="s">
        <v>29</v>
      </c>
      <c r="K877" t="s">
        <v>29</v>
      </c>
      <c r="M877">
        <v>100</v>
      </c>
      <c r="N877" s="1">
        <v>45553</v>
      </c>
      <c r="O877" s="12"/>
    </row>
    <row r="878" spans="1:15" x14ac:dyDescent="0.25">
      <c r="A878" t="s">
        <v>6868</v>
      </c>
      <c r="B878" t="s">
        <v>13</v>
      </c>
      <c r="C878" t="s">
        <v>243</v>
      </c>
      <c r="D878" t="s">
        <v>244</v>
      </c>
      <c r="E878" t="s">
        <v>6869</v>
      </c>
      <c r="F878" t="s">
        <v>6474</v>
      </c>
      <c r="G878" s="1">
        <v>45541</v>
      </c>
      <c r="H878" s="1"/>
      <c r="I878" t="s">
        <v>2952</v>
      </c>
      <c r="J878" t="s">
        <v>29</v>
      </c>
      <c r="O878" s="12"/>
    </row>
    <row r="879" spans="1:15" x14ac:dyDescent="0.25">
      <c r="A879" t="s">
        <v>6870</v>
      </c>
      <c r="B879" t="s">
        <v>13</v>
      </c>
      <c r="C879" t="s">
        <v>247</v>
      </c>
      <c r="E879" t="s">
        <v>6871</v>
      </c>
      <c r="F879" t="s">
        <v>6474</v>
      </c>
      <c r="G879" s="1">
        <v>45544</v>
      </c>
      <c r="H879" s="1"/>
      <c r="I879" t="s">
        <v>1737</v>
      </c>
      <c r="J879" t="s">
        <v>29</v>
      </c>
      <c r="K879" t="s">
        <v>29</v>
      </c>
      <c r="M879">
        <v>100</v>
      </c>
      <c r="N879" s="1">
        <v>45595</v>
      </c>
      <c r="O879" s="12"/>
    </row>
    <row r="880" spans="1:15" x14ac:dyDescent="0.25">
      <c r="A880" t="s">
        <v>6872</v>
      </c>
      <c r="B880" t="s">
        <v>325</v>
      </c>
      <c r="C880" t="s">
        <v>6846</v>
      </c>
      <c r="D880" t="s">
        <v>6847</v>
      </c>
      <c r="E880" t="s">
        <v>6873</v>
      </c>
      <c r="F880" t="s">
        <v>6474</v>
      </c>
      <c r="G880" s="1">
        <v>45540</v>
      </c>
      <c r="H880" s="1"/>
      <c r="I880" t="s">
        <v>1737</v>
      </c>
      <c r="J880" t="s">
        <v>29</v>
      </c>
      <c r="K880" t="s">
        <v>18</v>
      </c>
      <c r="M880">
        <v>100</v>
      </c>
      <c r="N880" s="1">
        <v>45544</v>
      </c>
      <c r="O880" s="12"/>
    </row>
    <row r="881" spans="1:15" x14ac:dyDescent="0.25">
      <c r="A881" t="s">
        <v>6874</v>
      </c>
      <c r="B881" t="s">
        <v>621</v>
      </c>
      <c r="C881" t="s">
        <v>4875</v>
      </c>
      <c r="D881" t="s">
        <v>4304</v>
      </c>
      <c r="E881" t="s">
        <v>6875</v>
      </c>
      <c r="F881" t="s">
        <v>6474</v>
      </c>
      <c r="G881" s="1">
        <v>45544</v>
      </c>
      <c r="H881" s="1"/>
      <c r="I881" t="s">
        <v>1737</v>
      </c>
      <c r="J881" t="s">
        <v>29</v>
      </c>
      <c r="K881" t="s">
        <v>29</v>
      </c>
      <c r="M881">
        <v>100</v>
      </c>
      <c r="N881" s="1">
        <v>45596</v>
      </c>
      <c r="O881" s="12"/>
    </row>
    <row r="882" spans="1:15" x14ac:dyDescent="0.25">
      <c r="A882" t="s">
        <v>6876</v>
      </c>
      <c r="B882" t="s">
        <v>704</v>
      </c>
      <c r="C882" t="s">
        <v>677</v>
      </c>
      <c r="D882" t="s">
        <v>6877</v>
      </c>
      <c r="E882" t="s">
        <v>6878</v>
      </c>
      <c r="G882" s="1">
        <v>45547</v>
      </c>
      <c r="H882" s="1"/>
      <c r="I882" t="s">
        <v>1737</v>
      </c>
      <c r="J882" t="s">
        <v>29</v>
      </c>
      <c r="K882" t="s">
        <v>29</v>
      </c>
      <c r="M882">
        <v>100</v>
      </c>
      <c r="N882" s="1">
        <v>45562</v>
      </c>
      <c r="O882" s="12"/>
    </row>
    <row r="883" spans="1:15" x14ac:dyDescent="0.25">
      <c r="A883" t="s">
        <v>6879</v>
      </c>
      <c r="B883" t="s">
        <v>325</v>
      </c>
      <c r="C883" t="s">
        <v>4875</v>
      </c>
      <c r="D883" t="s">
        <v>4304</v>
      </c>
      <c r="E883" t="s">
        <v>6880</v>
      </c>
      <c r="F883" t="s">
        <v>6474</v>
      </c>
      <c r="G883" s="1">
        <v>45546</v>
      </c>
      <c r="H883" s="1"/>
      <c r="I883" t="s">
        <v>1737</v>
      </c>
      <c r="J883" t="s">
        <v>29</v>
      </c>
      <c r="K883" t="s">
        <v>18</v>
      </c>
      <c r="M883">
        <v>100</v>
      </c>
      <c r="N883" s="1">
        <v>45546</v>
      </c>
      <c r="O883" s="12"/>
    </row>
    <row r="884" spans="1:15" x14ac:dyDescent="0.25">
      <c r="A884" t="s">
        <v>6881</v>
      </c>
      <c r="B884" t="s">
        <v>704</v>
      </c>
      <c r="C884" t="s">
        <v>670</v>
      </c>
      <c r="D884" t="s">
        <v>671</v>
      </c>
      <c r="E884" t="s">
        <v>6344</v>
      </c>
      <c r="F884" t="s">
        <v>5413</v>
      </c>
      <c r="G884" s="1">
        <v>45547</v>
      </c>
      <c r="H884" s="1"/>
      <c r="I884" t="s">
        <v>1737</v>
      </c>
      <c r="J884" t="s">
        <v>29</v>
      </c>
      <c r="K884" t="s">
        <v>29</v>
      </c>
      <c r="M884">
        <v>100</v>
      </c>
      <c r="N884" s="1">
        <v>45567</v>
      </c>
      <c r="O884" s="12" t="s">
        <v>6882</v>
      </c>
    </row>
    <row r="885" spans="1:15" x14ac:dyDescent="0.25">
      <c r="A885" t="s">
        <v>6883</v>
      </c>
      <c r="B885" t="s">
        <v>704</v>
      </c>
      <c r="C885" t="s">
        <v>670</v>
      </c>
      <c r="D885" t="s">
        <v>5102</v>
      </c>
      <c r="E885" t="s">
        <v>6884</v>
      </c>
      <c r="F885" t="s">
        <v>555</v>
      </c>
      <c r="G885" s="1">
        <v>45547</v>
      </c>
      <c r="H885" s="1"/>
      <c r="I885" t="s">
        <v>1737</v>
      </c>
      <c r="J885" t="s">
        <v>29</v>
      </c>
      <c r="K885" t="s">
        <v>29</v>
      </c>
      <c r="M885">
        <v>100</v>
      </c>
      <c r="N885" s="1">
        <v>45561</v>
      </c>
      <c r="O885" s="12" t="s">
        <v>6885</v>
      </c>
    </row>
    <row r="886" spans="1:15" x14ac:dyDescent="0.25">
      <c r="A886" t="s">
        <v>6886</v>
      </c>
      <c r="B886" t="s">
        <v>704</v>
      </c>
      <c r="C886" t="s">
        <v>677</v>
      </c>
      <c r="D886" t="s">
        <v>6877</v>
      </c>
      <c r="E886" t="s">
        <v>6887</v>
      </c>
      <c r="F886" t="s">
        <v>6019</v>
      </c>
      <c r="G886" s="1">
        <v>45547</v>
      </c>
      <c r="H886" s="1"/>
      <c r="I886" t="s">
        <v>1737</v>
      </c>
      <c r="J886" t="s">
        <v>29</v>
      </c>
      <c r="K886" t="s">
        <v>29</v>
      </c>
      <c r="O886" s="12"/>
    </row>
    <row r="887" spans="1:15" x14ac:dyDescent="0.25">
      <c r="A887" t="s">
        <v>6888</v>
      </c>
      <c r="B887" t="s">
        <v>704</v>
      </c>
      <c r="C887" t="s">
        <v>670</v>
      </c>
      <c r="D887" t="s">
        <v>5102</v>
      </c>
      <c r="E887" t="s">
        <v>6889</v>
      </c>
      <c r="F887" t="s">
        <v>3148</v>
      </c>
      <c r="G887" s="1">
        <v>45547</v>
      </c>
      <c r="H887" s="1"/>
      <c r="I887" t="s">
        <v>1737</v>
      </c>
      <c r="J887" t="s">
        <v>29</v>
      </c>
      <c r="K887" t="s">
        <v>29</v>
      </c>
      <c r="M887">
        <v>100</v>
      </c>
      <c r="N887" s="1">
        <v>45562</v>
      </c>
      <c r="O887" s="12"/>
    </row>
    <row r="888" spans="1:15" x14ac:dyDescent="0.25">
      <c r="A888" t="s">
        <v>6890</v>
      </c>
      <c r="B888" t="s">
        <v>704</v>
      </c>
      <c r="C888" t="s">
        <v>611</v>
      </c>
      <c r="D888" t="s">
        <v>5425</v>
      </c>
      <c r="E888" t="s">
        <v>6823</v>
      </c>
      <c r="F888" t="s">
        <v>5427</v>
      </c>
      <c r="G888" s="1">
        <v>45548</v>
      </c>
      <c r="H888" s="1"/>
      <c r="I888" t="s">
        <v>1737</v>
      </c>
      <c r="J888" t="s">
        <v>29</v>
      </c>
      <c r="K888" t="s">
        <v>29</v>
      </c>
      <c r="M888">
        <v>100</v>
      </c>
      <c r="N888" s="1">
        <v>45558</v>
      </c>
      <c r="O888" s="12" t="s">
        <v>6891</v>
      </c>
    </row>
    <row r="889" spans="1:15" x14ac:dyDescent="0.25">
      <c r="A889" t="s">
        <v>6892</v>
      </c>
      <c r="B889" t="s">
        <v>704</v>
      </c>
      <c r="C889" t="s">
        <v>163</v>
      </c>
      <c r="D889" t="s">
        <v>266</v>
      </c>
      <c r="E889" t="s">
        <v>6893</v>
      </c>
      <c r="F889" t="s">
        <v>659</v>
      </c>
      <c r="G889" s="1">
        <v>45548</v>
      </c>
      <c r="H889" s="1"/>
      <c r="I889" t="s">
        <v>1737</v>
      </c>
      <c r="J889" t="s">
        <v>29</v>
      </c>
      <c r="K889" t="s">
        <v>29</v>
      </c>
      <c r="M889">
        <v>100</v>
      </c>
      <c r="N889" s="1">
        <v>45555</v>
      </c>
      <c r="O889" s="12"/>
    </row>
    <row r="890" spans="1:15" x14ac:dyDescent="0.25">
      <c r="A890" t="s">
        <v>6894</v>
      </c>
      <c r="B890" t="s">
        <v>704</v>
      </c>
      <c r="C890" t="s">
        <v>32</v>
      </c>
      <c r="D890" t="s">
        <v>1563</v>
      </c>
      <c r="E890" t="s">
        <v>6895</v>
      </c>
      <c r="F890" t="s">
        <v>6896</v>
      </c>
      <c r="G890" s="1">
        <v>45551</v>
      </c>
      <c r="H890" s="1"/>
      <c r="I890" t="s">
        <v>1737</v>
      </c>
      <c r="J890" t="s">
        <v>29</v>
      </c>
      <c r="K890" t="s">
        <v>29</v>
      </c>
      <c r="M890">
        <v>100</v>
      </c>
      <c r="N890" s="1">
        <v>45562</v>
      </c>
      <c r="O890" s="12" t="s">
        <v>6897</v>
      </c>
    </row>
    <row r="891" spans="1:15" x14ac:dyDescent="0.25">
      <c r="A891" t="s">
        <v>6898</v>
      </c>
      <c r="B891" t="s">
        <v>704</v>
      </c>
      <c r="C891" t="s">
        <v>611</v>
      </c>
      <c r="D891" t="s">
        <v>111</v>
      </c>
      <c r="E891" t="s">
        <v>6899</v>
      </c>
      <c r="F891" t="s">
        <v>5504</v>
      </c>
      <c r="G891" s="1">
        <v>45552</v>
      </c>
      <c r="H891" s="1"/>
      <c r="I891" t="s">
        <v>2762</v>
      </c>
      <c r="J891" t="s">
        <v>29</v>
      </c>
      <c r="K891" t="s">
        <v>29</v>
      </c>
      <c r="O891" s="30" t="s">
        <v>6900</v>
      </c>
    </row>
    <row r="892" spans="1:15" ht="14.25" customHeight="1" x14ac:dyDescent="0.25">
      <c r="A892" t="s">
        <v>6901</v>
      </c>
      <c r="B892" t="s">
        <v>325</v>
      </c>
      <c r="C892" t="s">
        <v>539</v>
      </c>
      <c r="D892" t="s">
        <v>540</v>
      </c>
      <c r="E892" t="s">
        <v>6902</v>
      </c>
      <c r="F892" t="s">
        <v>6474</v>
      </c>
      <c r="G892" s="1">
        <v>45553</v>
      </c>
      <c r="H892" s="1"/>
      <c r="I892" t="s">
        <v>1737</v>
      </c>
      <c r="J892" t="s">
        <v>29</v>
      </c>
      <c r="M892">
        <v>100</v>
      </c>
      <c r="N892" s="1">
        <v>45586</v>
      </c>
      <c r="O892" s="12"/>
    </row>
    <row r="893" spans="1:15" x14ac:dyDescent="0.25">
      <c r="A893" t="s">
        <v>6903</v>
      </c>
      <c r="B893" t="s">
        <v>704</v>
      </c>
      <c r="C893" t="s">
        <v>243</v>
      </c>
      <c r="D893" t="s">
        <v>6247</v>
      </c>
      <c r="E893" t="s">
        <v>6904</v>
      </c>
      <c r="F893" t="s">
        <v>3148</v>
      </c>
      <c r="G893" s="1">
        <v>45555</v>
      </c>
      <c r="H893" s="1"/>
      <c r="I893" t="s">
        <v>1737</v>
      </c>
      <c r="J893" t="s">
        <v>29</v>
      </c>
      <c r="K893" t="s">
        <v>29</v>
      </c>
      <c r="M893">
        <v>100</v>
      </c>
      <c r="N893" s="1">
        <v>45562</v>
      </c>
      <c r="O893" s="12"/>
    </row>
    <row r="894" spans="1:15" x14ac:dyDescent="0.25">
      <c r="A894" t="s">
        <v>6905</v>
      </c>
      <c r="B894" t="s">
        <v>704</v>
      </c>
      <c r="C894" t="s">
        <v>25</v>
      </c>
      <c r="D894" t="s">
        <v>225</v>
      </c>
      <c r="E894" t="s">
        <v>6906</v>
      </c>
      <c r="F894" t="s">
        <v>555</v>
      </c>
      <c r="G894" s="1">
        <v>45555</v>
      </c>
      <c r="H894" s="1"/>
      <c r="I894" t="s">
        <v>1737</v>
      </c>
      <c r="J894" t="s">
        <v>29</v>
      </c>
      <c r="K894" t="s">
        <v>29</v>
      </c>
      <c r="M894">
        <v>100</v>
      </c>
      <c r="N894" s="1">
        <v>45558</v>
      </c>
      <c r="O894" s="12"/>
    </row>
    <row r="895" spans="1:15" x14ac:dyDescent="0.25">
      <c r="A895" t="s">
        <v>6907</v>
      </c>
      <c r="B895" t="s">
        <v>704</v>
      </c>
      <c r="C895" t="s">
        <v>243</v>
      </c>
      <c r="D895" t="s">
        <v>6247</v>
      </c>
      <c r="E895" t="s">
        <v>6908</v>
      </c>
      <c r="F895" t="s">
        <v>670</v>
      </c>
      <c r="G895" s="1">
        <v>45555</v>
      </c>
      <c r="H895" s="1"/>
      <c r="I895" t="s">
        <v>1737</v>
      </c>
      <c r="J895" t="s">
        <v>29</v>
      </c>
      <c r="K895" t="s">
        <v>29</v>
      </c>
      <c r="M895">
        <v>100</v>
      </c>
      <c r="N895" s="1">
        <v>45561</v>
      </c>
      <c r="O895" s="12"/>
    </row>
    <row r="896" spans="1:15" x14ac:dyDescent="0.25">
      <c r="A896" t="s">
        <v>6909</v>
      </c>
      <c r="B896" t="s">
        <v>474</v>
      </c>
      <c r="C896" t="s">
        <v>539</v>
      </c>
      <c r="D896" t="s">
        <v>6910</v>
      </c>
      <c r="E896" t="s">
        <v>6911</v>
      </c>
      <c r="F896" t="s">
        <v>6474</v>
      </c>
      <c r="G896" s="1">
        <v>45558</v>
      </c>
      <c r="H896" s="1"/>
      <c r="I896" t="s">
        <v>1737</v>
      </c>
      <c r="J896" t="s">
        <v>29</v>
      </c>
      <c r="M896">
        <v>100</v>
      </c>
      <c r="N896" s="1">
        <v>45635</v>
      </c>
      <c r="O896" s="12"/>
    </row>
    <row r="897" spans="1:15" x14ac:dyDescent="0.25">
      <c r="A897" t="s">
        <v>6912</v>
      </c>
      <c r="B897" t="s">
        <v>704</v>
      </c>
      <c r="C897" t="s">
        <v>5007</v>
      </c>
      <c r="D897" t="s">
        <v>6331</v>
      </c>
      <c r="E897" t="s">
        <v>6913</v>
      </c>
      <c r="F897" t="s">
        <v>5413</v>
      </c>
      <c r="G897" s="1">
        <v>45559</v>
      </c>
      <c r="H897" s="1"/>
      <c r="I897" t="s">
        <v>1737</v>
      </c>
      <c r="J897" t="s">
        <v>29</v>
      </c>
      <c r="K897" t="s">
        <v>29</v>
      </c>
      <c r="M897">
        <v>100</v>
      </c>
      <c r="N897" s="1">
        <v>45609</v>
      </c>
      <c r="O897" s="30" t="s">
        <v>6914</v>
      </c>
    </row>
    <row r="898" spans="1:15" x14ac:dyDescent="0.25">
      <c r="A898" t="s">
        <v>6915</v>
      </c>
      <c r="B898" t="s">
        <v>704</v>
      </c>
      <c r="C898" t="s">
        <v>670</v>
      </c>
      <c r="D898" t="s">
        <v>671</v>
      </c>
      <c r="E898" t="s">
        <v>6916</v>
      </c>
      <c r="F898" t="s">
        <v>5413</v>
      </c>
      <c r="G898" s="1">
        <v>45559</v>
      </c>
      <c r="H898" s="1"/>
      <c r="I898" t="s">
        <v>1737</v>
      </c>
      <c r="J898" t="s">
        <v>29</v>
      </c>
      <c r="K898" t="s">
        <v>29</v>
      </c>
      <c r="M898">
        <v>100</v>
      </c>
      <c r="N898" s="1">
        <v>45587</v>
      </c>
      <c r="O898" s="35" t="s">
        <v>6917</v>
      </c>
    </row>
    <row r="899" spans="1:15" x14ac:dyDescent="0.25">
      <c r="A899" t="s">
        <v>6918</v>
      </c>
      <c r="B899" t="s">
        <v>704</v>
      </c>
      <c r="C899" t="s">
        <v>539</v>
      </c>
      <c r="D899" t="s">
        <v>540</v>
      </c>
      <c r="E899" t="s">
        <v>6919</v>
      </c>
      <c r="F899" t="s">
        <v>5504</v>
      </c>
      <c r="G899" s="1">
        <v>45559</v>
      </c>
      <c r="H899" s="1"/>
      <c r="I899" t="s">
        <v>1737</v>
      </c>
      <c r="J899" t="s">
        <v>29</v>
      </c>
      <c r="K899" t="s">
        <v>29</v>
      </c>
      <c r="M899">
        <v>100</v>
      </c>
      <c r="N899" s="1">
        <v>45565</v>
      </c>
      <c r="O899" s="12"/>
    </row>
    <row r="900" spans="1:15" x14ac:dyDescent="0.25">
      <c r="A900" t="s">
        <v>6920</v>
      </c>
      <c r="B900" t="s">
        <v>704</v>
      </c>
      <c r="C900" t="s">
        <v>2852</v>
      </c>
      <c r="D900" t="s">
        <v>6921</v>
      </c>
      <c r="E900" t="s">
        <v>6922</v>
      </c>
      <c r="F900" t="s">
        <v>5454</v>
      </c>
      <c r="G900" s="1">
        <v>45560</v>
      </c>
      <c r="H900" s="1"/>
      <c r="I900" t="s">
        <v>1737</v>
      </c>
      <c r="J900" t="s">
        <v>29</v>
      </c>
      <c r="K900" t="s">
        <v>29</v>
      </c>
      <c r="M900">
        <v>100</v>
      </c>
      <c r="N900" s="1">
        <v>45562</v>
      </c>
      <c r="O900" s="12"/>
    </row>
    <row r="901" spans="1:15" x14ac:dyDescent="0.25">
      <c r="A901" t="s">
        <v>6923</v>
      </c>
      <c r="B901" t="s">
        <v>704</v>
      </c>
      <c r="C901" t="s">
        <v>25</v>
      </c>
      <c r="D901" t="s">
        <v>225</v>
      </c>
      <c r="E901" t="s">
        <v>6924</v>
      </c>
      <c r="F901" t="s">
        <v>5454</v>
      </c>
      <c r="G901" s="1">
        <v>45560</v>
      </c>
      <c r="H901" s="1"/>
      <c r="I901" t="s">
        <v>1737</v>
      </c>
      <c r="J901" t="s">
        <v>29</v>
      </c>
      <c r="K901" t="s">
        <v>29</v>
      </c>
      <c r="M901">
        <v>100</v>
      </c>
      <c r="N901" s="1">
        <v>45572</v>
      </c>
      <c r="O901" s="12"/>
    </row>
    <row r="902" spans="1:15" x14ac:dyDescent="0.25">
      <c r="A902" t="s">
        <v>6925</v>
      </c>
      <c r="B902" t="s">
        <v>325</v>
      </c>
      <c r="C902" t="s">
        <v>32</v>
      </c>
      <c r="D902" t="s">
        <v>475</v>
      </c>
      <c r="E902" t="s">
        <v>6926</v>
      </c>
      <c r="F902" t="s">
        <v>6474</v>
      </c>
      <c r="G902" s="1">
        <v>45560</v>
      </c>
      <c r="H902" s="1"/>
      <c r="I902" t="s">
        <v>1737</v>
      </c>
      <c r="J902" t="s">
        <v>29</v>
      </c>
      <c r="M902">
        <v>100</v>
      </c>
      <c r="N902" s="1">
        <v>45659</v>
      </c>
      <c r="O902" s="12"/>
    </row>
    <row r="903" spans="1:15" x14ac:dyDescent="0.25">
      <c r="A903" t="s">
        <v>6927</v>
      </c>
      <c r="B903" t="s">
        <v>704</v>
      </c>
      <c r="C903" t="s">
        <v>6399</v>
      </c>
      <c r="D903" t="s">
        <v>5641</v>
      </c>
      <c r="E903" t="s">
        <v>5567</v>
      </c>
      <c r="F903" t="s">
        <v>5413</v>
      </c>
      <c r="G903" s="1">
        <v>45560</v>
      </c>
      <c r="H903" s="1"/>
      <c r="I903" t="s">
        <v>1737</v>
      </c>
      <c r="J903" t="s">
        <v>29</v>
      </c>
      <c r="K903" t="s">
        <v>29</v>
      </c>
      <c r="M903">
        <v>100</v>
      </c>
      <c r="N903" s="1">
        <v>45609</v>
      </c>
      <c r="O903" s="30" t="s">
        <v>6928</v>
      </c>
    </row>
    <row r="904" spans="1:15" x14ac:dyDescent="0.25">
      <c r="A904" t="s">
        <v>6929</v>
      </c>
      <c r="B904" t="s">
        <v>2956</v>
      </c>
      <c r="C904" t="s">
        <v>4651</v>
      </c>
      <c r="D904" t="s">
        <v>1017</v>
      </c>
      <c r="E904" t="s">
        <v>6930</v>
      </c>
      <c r="F904" t="s">
        <v>659</v>
      </c>
      <c r="G904" s="1">
        <v>45561</v>
      </c>
      <c r="H904" s="1"/>
      <c r="I904" t="s">
        <v>1737</v>
      </c>
      <c r="J904" t="s">
        <v>29</v>
      </c>
      <c r="M904">
        <v>100</v>
      </c>
      <c r="N904" s="1">
        <v>45567</v>
      </c>
      <c r="O904" s="12"/>
    </row>
    <row r="905" spans="1:15" x14ac:dyDescent="0.25">
      <c r="A905" t="s">
        <v>6931</v>
      </c>
      <c r="B905" t="s">
        <v>704</v>
      </c>
      <c r="C905" t="s">
        <v>25</v>
      </c>
      <c r="D905" t="s">
        <v>225</v>
      </c>
      <c r="E905" t="s">
        <v>6932</v>
      </c>
      <c r="F905" t="s">
        <v>6933</v>
      </c>
      <c r="G905" s="1">
        <v>45565</v>
      </c>
      <c r="H905" s="1"/>
      <c r="I905" t="s">
        <v>1737</v>
      </c>
      <c r="J905" t="s">
        <v>29</v>
      </c>
      <c r="K905" t="s">
        <v>29</v>
      </c>
      <c r="M905">
        <v>100</v>
      </c>
      <c r="N905" s="1">
        <v>45596</v>
      </c>
      <c r="O905" s="23" t="s">
        <v>6934</v>
      </c>
    </row>
    <row r="906" spans="1:15" x14ac:dyDescent="0.25">
      <c r="A906" t="s">
        <v>6935</v>
      </c>
      <c r="B906" t="s">
        <v>621</v>
      </c>
      <c r="C906" t="s">
        <v>411</v>
      </c>
      <c r="D906" t="s">
        <v>817</v>
      </c>
      <c r="E906" t="s">
        <v>6936</v>
      </c>
      <c r="F906" t="s">
        <v>6474</v>
      </c>
      <c r="G906" s="1">
        <v>45559</v>
      </c>
      <c r="H906" s="1"/>
      <c r="I906" t="s">
        <v>1737</v>
      </c>
      <c r="J906" t="s">
        <v>29</v>
      </c>
      <c r="M906">
        <v>100</v>
      </c>
      <c r="N906" s="1">
        <v>45596</v>
      </c>
      <c r="O906" s="12"/>
    </row>
    <row r="907" spans="1:15" x14ac:dyDescent="0.25">
      <c r="A907" t="s">
        <v>6937</v>
      </c>
      <c r="B907" t="s">
        <v>325</v>
      </c>
      <c r="C907" t="s">
        <v>25</v>
      </c>
      <c r="D907" t="s">
        <v>886</v>
      </c>
      <c r="E907" t="s">
        <v>6938</v>
      </c>
      <c r="F907" t="s">
        <v>5454</v>
      </c>
      <c r="G907" s="1">
        <v>45565</v>
      </c>
      <c r="H907" s="1"/>
      <c r="I907" t="s">
        <v>1737</v>
      </c>
      <c r="J907" t="s">
        <v>29</v>
      </c>
      <c r="K907" t="s">
        <v>29</v>
      </c>
      <c r="M907">
        <v>100</v>
      </c>
      <c r="N907" s="1">
        <v>45579</v>
      </c>
      <c r="O907" s="12"/>
    </row>
    <row r="908" spans="1:15" x14ac:dyDescent="0.25">
      <c r="A908" t="s">
        <v>6939</v>
      </c>
      <c r="B908" t="s">
        <v>13</v>
      </c>
      <c r="C908" t="s">
        <v>1229</v>
      </c>
      <c r="D908" t="s">
        <v>1733</v>
      </c>
      <c r="E908" t="s">
        <v>6940</v>
      </c>
      <c r="F908" t="s">
        <v>6474</v>
      </c>
      <c r="G908" s="1">
        <v>45566</v>
      </c>
      <c r="H908" s="1"/>
      <c r="I908" t="s">
        <v>1737</v>
      </c>
      <c r="J908" t="s">
        <v>29</v>
      </c>
      <c r="M908">
        <v>100</v>
      </c>
      <c r="N908" s="1">
        <v>45596</v>
      </c>
      <c r="O908" s="12"/>
    </row>
    <row r="909" spans="1:15" x14ac:dyDescent="0.25">
      <c r="A909" t="s">
        <v>6941</v>
      </c>
      <c r="B909" t="s">
        <v>13</v>
      </c>
      <c r="C909" t="s">
        <v>243</v>
      </c>
      <c r="D909" t="s">
        <v>244</v>
      </c>
      <c r="E909" t="s">
        <v>6942</v>
      </c>
      <c r="F909" t="s">
        <v>6474</v>
      </c>
      <c r="G909" s="1">
        <v>45566</v>
      </c>
      <c r="H909" s="1"/>
      <c r="I909" t="s">
        <v>1737</v>
      </c>
      <c r="J909" t="s">
        <v>29</v>
      </c>
      <c r="M909">
        <v>100</v>
      </c>
      <c r="N909" s="1">
        <v>45594</v>
      </c>
      <c r="O909" s="12"/>
    </row>
    <row r="910" spans="1:15" x14ac:dyDescent="0.25">
      <c r="A910" t="s">
        <v>6943</v>
      </c>
      <c r="B910" t="s">
        <v>704</v>
      </c>
      <c r="C910" t="s">
        <v>4049</v>
      </c>
      <c r="D910" t="s">
        <v>860</v>
      </c>
      <c r="E910" t="s">
        <v>6944</v>
      </c>
      <c r="F910" t="s">
        <v>6474</v>
      </c>
      <c r="G910" s="1">
        <v>45568</v>
      </c>
      <c r="H910" s="1"/>
      <c r="I910" t="s">
        <v>1737</v>
      </c>
      <c r="J910" t="s">
        <v>29</v>
      </c>
      <c r="M910">
        <v>100</v>
      </c>
      <c r="N910" s="1">
        <v>45567</v>
      </c>
      <c r="O910" s="12"/>
    </row>
    <row r="911" spans="1:15" x14ac:dyDescent="0.25">
      <c r="A911" t="s">
        <v>6945</v>
      </c>
      <c r="B911" t="s">
        <v>325</v>
      </c>
      <c r="C911" t="s">
        <v>539</v>
      </c>
      <c r="D911" t="s">
        <v>540</v>
      </c>
      <c r="E911" t="s">
        <v>6946</v>
      </c>
      <c r="F911" t="s">
        <v>6474</v>
      </c>
      <c r="G911" s="1">
        <v>45569</v>
      </c>
      <c r="H911" s="1"/>
      <c r="I911" t="s">
        <v>1737</v>
      </c>
      <c r="J911" t="s">
        <v>29</v>
      </c>
      <c r="M911">
        <v>100</v>
      </c>
      <c r="N911" s="1">
        <v>45569</v>
      </c>
      <c r="O911" s="12"/>
    </row>
    <row r="912" spans="1:15" x14ac:dyDescent="0.25">
      <c r="A912" t="s">
        <v>6947</v>
      </c>
      <c r="B912" t="s">
        <v>325</v>
      </c>
      <c r="C912" t="s">
        <v>539</v>
      </c>
      <c r="D912" t="s">
        <v>540</v>
      </c>
      <c r="E912" t="s">
        <v>6948</v>
      </c>
      <c r="F912" t="s">
        <v>6474</v>
      </c>
      <c r="G912" s="1">
        <v>45566</v>
      </c>
      <c r="H912" s="1"/>
      <c r="I912" t="s">
        <v>1737</v>
      </c>
      <c r="J912" t="s">
        <v>29</v>
      </c>
      <c r="M912">
        <v>100</v>
      </c>
      <c r="N912" s="1">
        <v>45582</v>
      </c>
      <c r="O912" s="12"/>
    </row>
    <row r="913" spans="1:15" x14ac:dyDescent="0.25">
      <c r="A913" t="s">
        <v>6949</v>
      </c>
      <c r="B913" t="s">
        <v>704</v>
      </c>
      <c r="C913" t="s">
        <v>5188</v>
      </c>
      <c r="D913" t="s">
        <v>5338</v>
      </c>
      <c r="E913" t="s">
        <v>6950</v>
      </c>
      <c r="F913" t="s">
        <v>6951</v>
      </c>
      <c r="G913" s="1">
        <v>45574</v>
      </c>
      <c r="H913" s="1"/>
      <c r="I913" t="s">
        <v>1737</v>
      </c>
      <c r="J913" t="s">
        <v>29</v>
      </c>
      <c r="K913" t="s">
        <v>29</v>
      </c>
      <c r="M913">
        <v>100</v>
      </c>
      <c r="N913" s="1">
        <v>45643</v>
      </c>
      <c r="O913" s="30" t="s">
        <v>6952</v>
      </c>
    </row>
    <row r="914" spans="1:15" x14ac:dyDescent="0.25">
      <c r="A914" t="s">
        <v>6953</v>
      </c>
      <c r="B914" t="s">
        <v>704</v>
      </c>
      <c r="C914" t="s">
        <v>6954</v>
      </c>
      <c r="D914" t="s">
        <v>6955</v>
      </c>
      <c r="E914" t="s">
        <v>6956</v>
      </c>
      <c r="F914" t="s">
        <v>6957</v>
      </c>
      <c r="G914" s="1">
        <v>45574</v>
      </c>
      <c r="H914" s="1"/>
      <c r="I914" t="s">
        <v>1737</v>
      </c>
      <c r="J914" t="s">
        <v>29</v>
      </c>
      <c r="K914" t="s">
        <v>29</v>
      </c>
      <c r="M914" t="s">
        <v>3780</v>
      </c>
      <c r="N914" s="1" t="s">
        <v>6958</v>
      </c>
    </row>
    <row r="915" spans="1:15" x14ac:dyDescent="0.25">
      <c r="A915" t="s">
        <v>6959</v>
      </c>
      <c r="B915" t="s">
        <v>704</v>
      </c>
      <c r="C915" t="s">
        <v>32</v>
      </c>
      <c r="D915" t="s">
        <v>6960</v>
      </c>
      <c r="E915" t="s">
        <v>6961</v>
      </c>
      <c r="F915" t="s">
        <v>5646</v>
      </c>
      <c r="G915" s="1">
        <v>45574</v>
      </c>
      <c r="H915" s="1"/>
      <c r="I915" t="s">
        <v>1737</v>
      </c>
      <c r="J915" t="s">
        <v>29</v>
      </c>
      <c r="K915" t="s">
        <v>29</v>
      </c>
      <c r="M915">
        <v>100</v>
      </c>
      <c r="N915" s="1">
        <v>45587</v>
      </c>
      <c r="O915" s="12" t="s">
        <v>6962</v>
      </c>
    </row>
    <row r="916" spans="1:15" x14ac:dyDescent="0.25">
      <c r="A916" t="s">
        <v>6963</v>
      </c>
      <c r="B916" t="s">
        <v>704</v>
      </c>
      <c r="C916" t="s">
        <v>32</v>
      </c>
      <c r="D916" t="s">
        <v>6960</v>
      </c>
      <c r="E916" t="s">
        <v>6964</v>
      </c>
      <c r="F916" t="s">
        <v>6965</v>
      </c>
      <c r="G916" s="1">
        <v>45575</v>
      </c>
      <c r="H916" s="1"/>
      <c r="I916" t="s">
        <v>1737</v>
      </c>
      <c r="J916" t="s">
        <v>29</v>
      </c>
      <c r="K916" t="s">
        <v>29</v>
      </c>
      <c r="M916">
        <v>100</v>
      </c>
      <c r="N916" s="1">
        <v>45581</v>
      </c>
      <c r="O916" s="12"/>
    </row>
    <row r="917" spans="1:15" x14ac:dyDescent="0.25">
      <c r="A917" t="s">
        <v>6966</v>
      </c>
      <c r="B917" t="s">
        <v>704</v>
      </c>
      <c r="C917" t="s">
        <v>6399</v>
      </c>
      <c r="D917" t="s">
        <v>5641</v>
      </c>
      <c r="E917" t="s">
        <v>6237</v>
      </c>
      <c r="F917" t="s">
        <v>5646</v>
      </c>
      <c r="G917" s="1">
        <v>45576</v>
      </c>
      <c r="H917" s="1"/>
      <c r="I917" t="s">
        <v>1737</v>
      </c>
      <c r="J917" t="s">
        <v>29</v>
      </c>
      <c r="K917" t="s">
        <v>29</v>
      </c>
      <c r="M917">
        <v>100</v>
      </c>
      <c r="N917" s="1">
        <v>45593</v>
      </c>
      <c r="O917" s="12"/>
    </row>
    <row r="918" spans="1:15" x14ac:dyDescent="0.25">
      <c r="A918" t="s">
        <v>6967</v>
      </c>
      <c r="B918" t="s">
        <v>704</v>
      </c>
      <c r="C918" t="s">
        <v>32</v>
      </c>
      <c r="D918" t="s">
        <v>6960</v>
      </c>
      <c r="E918" t="s">
        <v>6706</v>
      </c>
      <c r="F918" t="s">
        <v>5728</v>
      </c>
      <c r="G918" s="1">
        <v>45575</v>
      </c>
      <c r="H918" s="1"/>
      <c r="I918" t="s">
        <v>1737</v>
      </c>
      <c r="J918" t="s">
        <v>29</v>
      </c>
      <c r="K918" t="s">
        <v>29</v>
      </c>
      <c r="M918">
        <v>100</v>
      </c>
      <c r="N918" s="1">
        <v>45582</v>
      </c>
      <c r="O918" s="12"/>
    </row>
    <row r="919" spans="1:15" x14ac:dyDescent="0.25">
      <c r="A919" t="s">
        <v>6968</v>
      </c>
      <c r="B919" t="s">
        <v>167</v>
      </c>
      <c r="C919" t="s">
        <v>411</v>
      </c>
      <c r="D919" t="s">
        <v>817</v>
      </c>
      <c r="E919" t="s">
        <v>6969</v>
      </c>
      <c r="F919" t="s">
        <v>14</v>
      </c>
      <c r="G919" s="1">
        <v>45576</v>
      </c>
      <c r="H919" s="1"/>
      <c r="I919" t="s">
        <v>1737</v>
      </c>
      <c r="J919" t="s">
        <v>29</v>
      </c>
      <c r="K919" t="s">
        <v>29</v>
      </c>
      <c r="M919">
        <v>100</v>
      </c>
      <c r="N919" s="1">
        <v>45589</v>
      </c>
      <c r="O919" s="12" t="s">
        <v>6970</v>
      </c>
    </row>
    <row r="920" spans="1:15" x14ac:dyDescent="0.25">
      <c r="A920" t="s">
        <v>6971</v>
      </c>
      <c r="B920" t="s">
        <v>4137</v>
      </c>
      <c r="C920" t="s">
        <v>253</v>
      </c>
      <c r="D920" t="s">
        <v>254</v>
      </c>
      <c r="E920" t="s">
        <v>6972</v>
      </c>
      <c r="F920" t="s">
        <v>6973</v>
      </c>
      <c r="G920" s="1">
        <v>45579</v>
      </c>
      <c r="H920" s="1"/>
      <c r="I920" t="s">
        <v>1737</v>
      </c>
      <c r="J920" t="s">
        <v>29</v>
      </c>
      <c r="K920" t="s">
        <v>29</v>
      </c>
      <c r="M920">
        <v>100</v>
      </c>
      <c r="N920" s="1">
        <v>45614</v>
      </c>
    </row>
    <row r="921" spans="1:15" x14ac:dyDescent="0.25">
      <c r="A921" t="s">
        <v>6974</v>
      </c>
      <c r="B921" t="s">
        <v>4144</v>
      </c>
      <c r="C921" t="s">
        <v>253</v>
      </c>
      <c r="D921" t="s">
        <v>254</v>
      </c>
      <c r="E921" t="s">
        <v>6975</v>
      </c>
      <c r="F921" t="s">
        <v>14</v>
      </c>
      <c r="G921" s="1">
        <v>45580</v>
      </c>
      <c r="H921" s="1"/>
      <c r="I921" t="s">
        <v>1737</v>
      </c>
      <c r="J921" t="s">
        <v>29</v>
      </c>
      <c r="M921">
        <v>100</v>
      </c>
      <c r="N921" s="1">
        <v>45601</v>
      </c>
      <c r="O921" s="12"/>
    </row>
    <row r="922" spans="1:15" x14ac:dyDescent="0.25">
      <c r="A922" t="s">
        <v>6976</v>
      </c>
      <c r="B922" t="s">
        <v>704</v>
      </c>
      <c r="C922" t="s">
        <v>243</v>
      </c>
      <c r="D922" t="s">
        <v>6247</v>
      </c>
      <c r="E922" t="s">
        <v>6977</v>
      </c>
      <c r="F922" t="s">
        <v>5646</v>
      </c>
      <c r="G922" s="1">
        <v>45581</v>
      </c>
      <c r="H922" s="1"/>
      <c r="I922" t="s">
        <v>1737</v>
      </c>
      <c r="J922" t="s">
        <v>29</v>
      </c>
      <c r="K922" t="s">
        <v>29</v>
      </c>
      <c r="M922">
        <v>100</v>
      </c>
      <c r="N922" s="1">
        <v>45588</v>
      </c>
      <c r="O922" s="12" t="s">
        <v>6978</v>
      </c>
    </row>
    <row r="923" spans="1:15" x14ac:dyDescent="0.25">
      <c r="A923" t="s">
        <v>6979</v>
      </c>
      <c r="B923" t="s">
        <v>4144</v>
      </c>
      <c r="C923" t="s">
        <v>6980</v>
      </c>
      <c r="D923" t="s">
        <v>6981</v>
      </c>
      <c r="E923" t="s">
        <v>6982</v>
      </c>
      <c r="F923" t="s">
        <v>5454</v>
      </c>
      <c r="G923" s="1">
        <v>45581</v>
      </c>
      <c r="H923" s="1"/>
      <c r="I923" t="s">
        <v>1737</v>
      </c>
      <c r="J923" t="s">
        <v>29</v>
      </c>
      <c r="M923">
        <v>100</v>
      </c>
      <c r="N923" s="1">
        <v>45581</v>
      </c>
      <c r="O923" s="12"/>
    </row>
    <row r="924" spans="1:15" x14ac:dyDescent="0.25">
      <c r="A924" t="s">
        <v>6983</v>
      </c>
      <c r="B924" t="s">
        <v>704</v>
      </c>
      <c r="C924" t="s">
        <v>6984</v>
      </c>
      <c r="D924" t="s">
        <v>6577</v>
      </c>
      <c r="E924" t="s">
        <v>6985</v>
      </c>
      <c r="F924" t="s">
        <v>6986</v>
      </c>
      <c r="G924" s="1">
        <v>45583</v>
      </c>
      <c r="H924" s="1"/>
      <c r="I924" t="s">
        <v>1737</v>
      </c>
      <c r="J924" t="s">
        <v>29</v>
      </c>
      <c r="K924" t="s">
        <v>29</v>
      </c>
      <c r="M924">
        <v>100</v>
      </c>
      <c r="N924" s="1">
        <v>45593</v>
      </c>
      <c r="O924" s="12"/>
    </row>
    <row r="925" spans="1:15" x14ac:dyDescent="0.25">
      <c r="A925" t="s">
        <v>6987</v>
      </c>
      <c r="B925" t="s">
        <v>220</v>
      </c>
      <c r="C925" t="s">
        <v>25</v>
      </c>
      <c r="D925" t="s">
        <v>628</v>
      </c>
      <c r="E925" t="s">
        <v>6988</v>
      </c>
      <c r="F925" t="s">
        <v>6989</v>
      </c>
      <c r="G925" s="1">
        <v>45583</v>
      </c>
      <c r="H925" s="1"/>
      <c r="I925" t="s">
        <v>1737</v>
      </c>
      <c r="J925" t="s">
        <v>29</v>
      </c>
      <c r="M925">
        <v>100</v>
      </c>
      <c r="N925" s="1">
        <v>45665</v>
      </c>
      <c r="O925" s="12"/>
    </row>
    <row r="926" spans="1:15" x14ac:dyDescent="0.25">
      <c r="A926" t="s">
        <v>6990</v>
      </c>
      <c r="B926" t="s">
        <v>704</v>
      </c>
      <c r="C926" t="s">
        <v>4698</v>
      </c>
      <c r="D926" t="s">
        <v>5343</v>
      </c>
      <c r="E926" t="s">
        <v>4699</v>
      </c>
      <c r="F926" t="s">
        <v>5413</v>
      </c>
      <c r="G926" s="1">
        <v>45583</v>
      </c>
      <c r="H926" s="1"/>
      <c r="I926" t="s">
        <v>1737</v>
      </c>
      <c r="J926" t="s">
        <v>29</v>
      </c>
      <c r="K926" t="s">
        <v>29</v>
      </c>
      <c r="M926" t="s">
        <v>3340</v>
      </c>
      <c r="N926" s="1" t="s">
        <v>6991</v>
      </c>
      <c r="O926" s="12" t="s">
        <v>6992</v>
      </c>
    </row>
    <row r="927" spans="1:15" x14ac:dyDescent="0.25">
      <c r="A927" t="s">
        <v>6993</v>
      </c>
      <c r="B927" t="s">
        <v>704</v>
      </c>
      <c r="C927" t="s">
        <v>677</v>
      </c>
      <c r="D927" t="s">
        <v>6994</v>
      </c>
      <c r="E927" t="s">
        <v>6995</v>
      </c>
      <c r="F927" t="s">
        <v>6019</v>
      </c>
      <c r="G927" s="1">
        <v>45588</v>
      </c>
      <c r="H927" s="1"/>
      <c r="I927" t="s">
        <v>1737</v>
      </c>
      <c r="J927" t="s">
        <v>29</v>
      </c>
      <c r="K927" t="s">
        <v>29</v>
      </c>
      <c r="M927">
        <v>100</v>
      </c>
      <c r="N927" s="1">
        <v>45593</v>
      </c>
      <c r="O927" s="12"/>
    </row>
    <row r="928" spans="1:15" x14ac:dyDescent="0.25">
      <c r="A928" t="s">
        <v>6996</v>
      </c>
      <c r="B928" t="s">
        <v>13</v>
      </c>
      <c r="C928" t="s">
        <v>247</v>
      </c>
      <c r="D928" t="s">
        <v>1313</v>
      </c>
      <c r="E928" t="s">
        <v>6997</v>
      </c>
      <c r="F928" t="s">
        <v>14</v>
      </c>
      <c r="G928" s="1">
        <v>45590</v>
      </c>
      <c r="H928" s="1"/>
      <c r="I928" t="s">
        <v>1737</v>
      </c>
      <c r="J928" t="s">
        <v>29</v>
      </c>
      <c r="M928">
        <v>100</v>
      </c>
      <c r="N928" s="1">
        <v>45645</v>
      </c>
      <c r="O928" s="12"/>
    </row>
    <row r="929" spans="1:15" x14ac:dyDescent="0.25">
      <c r="A929" t="s">
        <v>6998</v>
      </c>
      <c r="B929" t="s">
        <v>704</v>
      </c>
      <c r="C929" t="s">
        <v>4737</v>
      </c>
      <c r="D929" t="s">
        <v>5380</v>
      </c>
      <c r="E929" t="s">
        <v>5851</v>
      </c>
      <c r="F929" t="s">
        <v>555</v>
      </c>
      <c r="G929" s="1">
        <v>45595</v>
      </c>
      <c r="H929" s="1"/>
      <c r="I929" t="s">
        <v>1737</v>
      </c>
      <c r="J929" t="s">
        <v>29</v>
      </c>
      <c r="K929" t="s">
        <v>29</v>
      </c>
      <c r="M929">
        <v>100</v>
      </c>
      <c r="N929" s="1">
        <v>45595</v>
      </c>
      <c r="O929" s="12"/>
    </row>
    <row r="930" spans="1:15" x14ac:dyDescent="0.25">
      <c r="A930" t="s">
        <v>6999</v>
      </c>
      <c r="B930" t="s">
        <v>704</v>
      </c>
      <c r="C930" t="s">
        <v>4737</v>
      </c>
      <c r="D930" t="s">
        <v>5380</v>
      </c>
      <c r="E930" t="s">
        <v>5851</v>
      </c>
      <c r="F930" t="s">
        <v>555</v>
      </c>
      <c r="G930" s="1">
        <v>45596</v>
      </c>
      <c r="H930" s="1"/>
      <c r="I930" t="s">
        <v>1737</v>
      </c>
      <c r="J930" t="s">
        <v>29</v>
      </c>
      <c r="K930" t="s">
        <v>29</v>
      </c>
      <c r="M930">
        <v>100</v>
      </c>
      <c r="N930" s="1">
        <v>45596</v>
      </c>
      <c r="O930" s="12"/>
    </row>
    <row r="931" spans="1:15" x14ac:dyDescent="0.25">
      <c r="A931" t="s">
        <v>7000</v>
      </c>
      <c r="B931" t="s">
        <v>704</v>
      </c>
      <c r="C931" t="s">
        <v>670</v>
      </c>
      <c r="D931" t="s">
        <v>5102</v>
      </c>
      <c r="E931" t="s">
        <v>7001</v>
      </c>
      <c r="F931" t="s">
        <v>3148</v>
      </c>
      <c r="G931" s="1">
        <v>45596</v>
      </c>
      <c r="H931" s="1"/>
      <c r="I931" t="s">
        <v>1737</v>
      </c>
      <c r="J931" t="s">
        <v>29</v>
      </c>
      <c r="K931" t="s">
        <v>29</v>
      </c>
      <c r="M931">
        <v>100</v>
      </c>
      <c r="N931" s="1">
        <v>45609</v>
      </c>
      <c r="O931" s="12" t="s">
        <v>7002</v>
      </c>
    </row>
    <row r="932" spans="1:15" x14ac:dyDescent="0.25">
      <c r="A932" t="s">
        <v>7003</v>
      </c>
      <c r="B932" t="s">
        <v>135</v>
      </c>
      <c r="C932" t="s">
        <v>742</v>
      </c>
      <c r="D932" t="s">
        <v>743</v>
      </c>
      <c r="E932" t="s">
        <v>7004</v>
      </c>
      <c r="F932" t="s">
        <v>14</v>
      </c>
      <c r="G932" s="1">
        <v>45594</v>
      </c>
      <c r="H932" s="1"/>
      <c r="I932" t="s">
        <v>1737</v>
      </c>
      <c r="J932" t="s">
        <v>29</v>
      </c>
      <c r="K932" t="s">
        <v>29</v>
      </c>
      <c r="M932">
        <v>100</v>
      </c>
      <c r="N932" s="1">
        <v>45607</v>
      </c>
      <c r="O932" s="12"/>
    </row>
    <row r="933" spans="1:15" x14ac:dyDescent="0.25">
      <c r="A933" t="s">
        <v>7005</v>
      </c>
      <c r="B933" t="s">
        <v>7006</v>
      </c>
      <c r="C933" t="s">
        <v>1126</v>
      </c>
      <c r="D933" t="s">
        <v>7007</v>
      </c>
      <c r="E933" t="s">
        <v>7008</v>
      </c>
      <c r="F933" t="s">
        <v>6587</v>
      </c>
      <c r="G933" s="1">
        <v>45600</v>
      </c>
      <c r="H933" s="1"/>
      <c r="I933" t="s">
        <v>1737</v>
      </c>
      <c r="J933" t="s">
        <v>29</v>
      </c>
      <c r="M933">
        <v>100</v>
      </c>
      <c r="N933" s="1">
        <v>45611</v>
      </c>
      <c r="O933" s="12"/>
    </row>
    <row r="934" spans="1:15" x14ac:dyDescent="0.25">
      <c r="A934" t="s">
        <v>7009</v>
      </c>
      <c r="B934" t="s">
        <v>704</v>
      </c>
      <c r="C934" t="s">
        <v>6416</v>
      </c>
      <c r="D934" t="s">
        <v>6417</v>
      </c>
      <c r="E934" t="s">
        <v>7010</v>
      </c>
      <c r="F934" t="s">
        <v>5413</v>
      </c>
      <c r="G934" s="1">
        <v>45601</v>
      </c>
      <c r="H934" s="1"/>
      <c r="I934" t="s">
        <v>1737</v>
      </c>
      <c r="J934" t="s">
        <v>29</v>
      </c>
      <c r="K934" t="s">
        <v>29</v>
      </c>
      <c r="M934">
        <v>100</v>
      </c>
      <c r="N934" s="1">
        <v>45617</v>
      </c>
      <c r="O934" s="30" t="s">
        <v>7011</v>
      </c>
    </row>
    <row r="935" spans="1:15" x14ac:dyDescent="0.25">
      <c r="A935" t="s">
        <v>7012</v>
      </c>
      <c r="B935" t="s">
        <v>704</v>
      </c>
      <c r="C935" t="s">
        <v>670</v>
      </c>
      <c r="D935" t="s">
        <v>671</v>
      </c>
      <c r="E935" t="s">
        <v>705</v>
      </c>
      <c r="F935" t="s">
        <v>5646</v>
      </c>
      <c r="G935" s="1">
        <v>45601</v>
      </c>
      <c r="H935" s="1"/>
      <c r="I935" t="s">
        <v>1737</v>
      </c>
      <c r="J935" t="s">
        <v>29</v>
      </c>
      <c r="K935" t="s">
        <v>29</v>
      </c>
      <c r="M935" t="s">
        <v>3780</v>
      </c>
      <c r="N935" s="1" t="s">
        <v>7013</v>
      </c>
      <c r="O935" s="12" t="s">
        <v>7014</v>
      </c>
    </row>
    <row r="936" spans="1:15" x14ac:dyDescent="0.25">
      <c r="A936" t="s">
        <v>7015</v>
      </c>
      <c r="B936" t="s">
        <v>704</v>
      </c>
      <c r="C936" t="s">
        <v>6841</v>
      </c>
      <c r="D936" t="s">
        <v>6842</v>
      </c>
      <c r="E936" t="s">
        <v>6995</v>
      </c>
      <c r="F936" t="s">
        <v>5454</v>
      </c>
      <c r="G936" s="1">
        <v>45601</v>
      </c>
      <c r="H936" s="1"/>
      <c r="I936" t="s">
        <v>1737</v>
      </c>
      <c r="J936" t="s">
        <v>29</v>
      </c>
      <c r="K936" t="s">
        <v>29</v>
      </c>
      <c r="M936">
        <v>100</v>
      </c>
      <c r="N936" s="1">
        <v>45614</v>
      </c>
      <c r="O936" s="12"/>
    </row>
    <row r="937" spans="1:15" x14ac:dyDescent="0.25">
      <c r="A937" t="s">
        <v>7016</v>
      </c>
      <c r="B937" t="s">
        <v>704</v>
      </c>
      <c r="C937" t="s">
        <v>32</v>
      </c>
      <c r="D937" t="s">
        <v>7017</v>
      </c>
      <c r="E937" t="s">
        <v>7018</v>
      </c>
      <c r="F937" t="s">
        <v>5646</v>
      </c>
      <c r="G937" s="1">
        <v>45602</v>
      </c>
      <c r="H937" s="1"/>
      <c r="I937" t="s">
        <v>1737</v>
      </c>
      <c r="J937" t="s">
        <v>29</v>
      </c>
      <c r="K937" t="s">
        <v>29</v>
      </c>
      <c r="M937">
        <v>100</v>
      </c>
      <c r="N937" s="1">
        <v>45656</v>
      </c>
    </row>
    <row r="938" spans="1:15" x14ac:dyDescent="0.25">
      <c r="A938" t="s">
        <v>7019</v>
      </c>
      <c r="B938" t="s">
        <v>474</v>
      </c>
      <c r="C938" t="s">
        <v>177</v>
      </c>
      <c r="D938" t="s">
        <v>7020</v>
      </c>
      <c r="E938" t="s">
        <v>7021</v>
      </c>
      <c r="F938" t="s">
        <v>7022</v>
      </c>
      <c r="G938" s="1">
        <v>45600</v>
      </c>
      <c r="H938" s="1"/>
      <c r="I938" t="s">
        <v>1737</v>
      </c>
      <c r="J938" t="s">
        <v>29</v>
      </c>
      <c r="K938" t="s">
        <v>18</v>
      </c>
      <c r="M938">
        <v>100</v>
      </c>
      <c r="N938" s="1">
        <v>45607</v>
      </c>
      <c r="O938" s="12"/>
    </row>
    <row r="939" spans="1:15" x14ac:dyDescent="0.25">
      <c r="A939" t="s">
        <v>7023</v>
      </c>
      <c r="B939" t="s">
        <v>474</v>
      </c>
      <c r="C939" t="s">
        <v>177</v>
      </c>
      <c r="D939" t="s">
        <v>511</v>
      </c>
      <c r="E939" t="s">
        <v>7024</v>
      </c>
      <c r="F939" t="s">
        <v>7022</v>
      </c>
      <c r="G939" s="1">
        <v>45603</v>
      </c>
      <c r="H939" s="1"/>
      <c r="I939" t="s">
        <v>1737</v>
      </c>
      <c r="J939" t="s">
        <v>29</v>
      </c>
      <c r="K939" t="s">
        <v>29</v>
      </c>
      <c r="M939">
        <v>100</v>
      </c>
      <c r="N939" s="1">
        <v>45615</v>
      </c>
      <c r="O939" s="12"/>
    </row>
    <row r="940" spans="1:15" x14ac:dyDescent="0.25">
      <c r="A940" t="s">
        <v>7025</v>
      </c>
      <c r="B940" t="s">
        <v>704</v>
      </c>
      <c r="C940" t="s">
        <v>243</v>
      </c>
      <c r="D940" t="s">
        <v>244</v>
      </c>
      <c r="E940" t="s">
        <v>7026</v>
      </c>
      <c r="F940" t="s">
        <v>3148</v>
      </c>
      <c r="G940" s="1">
        <v>45603</v>
      </c>
      <c r="H940" s="1"/>
      <c r="I940" t="s">
        <v>1737</v>
      </c>
      <c r="J940" t="s">
        <v>29</v>
      </c>
      <c r="K940" t="s">
        <v>29</v>
      </c>
      <c r="M940">
        <v>100</v>
      </c>
      <c r="N940" s="1">
        <v>45609</v>
      </c>
      <c r="O940" s="12" t="s">
        <v>7027</v>
      </c>
    </row>
    <row r="941" spans="1:15" x14ac:dyDescent="0.25">
      <c r="A941" t="s">
        <v>7028</v>
      </c>
      <c r="B941" t="s">
        <v>474</v>
      </c>
      <c r="C941" t="s">
        <v>177</v>
      </c>
      <c r="D941" t="s">
        <v>7020</v>
      </c>
      <c r="E941" t="s">
        <v>7029</v>
      </c>
      <c r="F941" t="s">
        <v>14</v>
      </c>
      <c r="G941" s="1">
        <v>45607</v>
      </c>
      <c r="H941" s="1"/>
      <c r="I941" t="s">
        <v>1737</v>
      </c>
      <c r="J941" t="s">
        <v>29</v>
      </c>
      <c r="M941">
        <v>100</v>
      </c>
      <c r="N941" s="1">
        <v>45611</v>
      </c>
      <c r="O941" s="12"/>
    </row>
    <row r="942" spans="1:15" x14ac:dyDescent="0.25">
      <c r="A942" t="s">
        <v>7030</v>
      </c>
      <c r="B942" t="s">
        <v>704</v>
      </c>
      <c r="C942" t="s">
        <v>677</v>
      </c>
      <c r="D942" t="s">
        <v>6877</v>
      </c>
      <c r="E942" t="s">
        <v>7031</v>
      </c>
      <c r="F942" t="s">
        <v>5437</v>
      </c>
      <c r="G942" s="1">
        <v>45608</v>
      </c>
      <c r="H942" s="1"/>
      <c r="I942" t="s">
        <v>1737</v>
      </c>
      <c r="J942" t="s">
        <v>29</v>
      </c>
      <c r="K942" t="s">
        <v>29</v>
      </c>
      <c r="M942">
        <v>100</v>
      </c>
      <c r="N942" s="1">
        <v>45674</v>
      </c>
      <c r="O942" s="30" t="s">
        <v>7032</v>
      </c>
    </row>
    <row r="943" spans="1:15" x14ac:dyDescent="0.25">
      <c r="A943" t="s">
        <v>4284</v>
      </c>
      <c r="B943" t="s">
        <v>325</v>
      </c>
      <c r="C943" t="s">
        <v>253</v>
      </c>
      <c r="D943" t="s">
        <v>254</v>
      </c>
      <c r="E943" t="s">
        <v>7033</v>
      </c>
      <c r="F943" t="s">
        <v>14</v>
      </c>
      <c r="G943" s="1">
        <v>45608</v>
      </c>
      <c r="H943" s="1"/>
      <c r="I943" t="s">
        <v>2762</v>
      </c>
      <c r="J943" t="s">
        <v>29</v>
      </c>
      <c r="N943" s="1" t="s">
        <v>7034</v>
      </c>
      <c r="O943" s="12"/>
    </row>
    <row r="944" spans="1:15" x14ac:dyDescent="0.25">
      <c r="A944" t="s">
        <v>7035</v>
      </c>
      <c r="B944" t="s">
        <v>325</v>
      </c>
      <c r="C944" t="s">
        <v>253</v>
      </c>
      <c r="D944" t="s">
        <v>7036</v>
      </c>
      <c r="E944" t="s">
        <v>7037</v>
      </c>
      <c r="F944" t="s">
        <v>7038</v>
      </c>
      <c r="G944" s="1">
        <v>45609</v>
      </c>
      <c r="H944" s="1"/>
      <c r="I944" t="s">
        <v>2952</v>
      </c>
      <c r="J944" t="s">
        <v>29</v>
      </c>
      <c r="O944" s="12"/>
    </row>
    <row r="945" spans="1:15" x14ac:dyDescent="0.25">
      <c r="A945" t="s">
        <v>7039</v>
      </c>
      <c r="B945" t="s">
        <v>704</v>
      </c>
      <c r="C945" t="s">
        <v>32</v>
      </c>
      <c r="D945" t="s">
        <v>475</v>
      </c>
      <c r="E945" t="s">
        <v>6101</v>
      </c>
      <c r="F945" t="s">
        <v>5504</v>
      </c>
      <c r="G945" s="1">
        <v>45609</v>
      </c>
      <c r="H945" s="1"/>
      <c r="I945" t="s">
        <v>1737</v>
      </c>
      <c r="J945" t="s">
        <v>29</v>
      </c>
      <c r="K945" t="s">
        <v>29</v>
      </c>
      <c r="M945">
        <v>100</v>
      </c>
      <c r="N945" s="1">
        <v>45621</v>
      </c>
      <c r="O945" s="30" t="s">
        <v>7040</v>
      </c>
    </row>
    <row r="946" spans="1:15" x14ac:dyDescent="0.25">
      <c r="A946" t="s">
        <v>7041</v>
      </c>
      <c r="B946" t="s">
        <v>704</v>
      </c>
      <c r="C946" t="s">
        <v>32</v>
      </c>
      <c r="D946" t="s">
        <v>1563</v>
      </c>
      <c r="E946" t="s">
        <v>7042</v>
      </c>
      <c r="F946" t="s">
        <v>7043</v>
      </c>
      <c r="G946" s="1">
        <v>45611</v>
      </c>
      <c r="H946" s="1"/>
      <c r="I946" t="s">
        <v>1737</v>
      </c>
      <c r="J946" t="s">
        <v>29</v>
      </c>
      <c r="K946" t="s">
        <v>29</v>
      </c>
      <c r="M946">
        <v>100</v>
      </c>
      <c r="N946" s="1">
        <v>45657</v>
      </c>
      <c r="O946" s="30" t="s">
        <v>7044</v>
      </c>
    </row>
    <row r="947" spans="1:15" x14ac:dyDescent="0.25">
      <c r="A947" t="s">
        <v>7045</v>
      </c>
      <c r="B947" t="s">
        <v>621</v>
      </c>
      <c r="C947" t="s">
        <v>177</v>
      </c>
      <c r="D947" t="s">
        <v>511</v>
      </c>
      <c r="E947" t="s">
        <v>7046</v>
      </c>
      <c r="F947" t="s">
        <v>7047</v>
      </c>
      <c r="G947" s="1">
        <v>45611</v>
      </c>
      <c r="H947" s="1"/>
      <c r="I947" t="s">
        <v>1737</v>
      </c>
      <c r="J947" t="s">
        <v>29</v>
      </c>
      <c r="K947" t="s">
        <v>29</v>
      </c>
      <c r="M947">
        <v>100</v>
      </c>
      <c r="N947" s="1">
        <v>45615</v>
      </c>
      <c r="O947" s="12"/>
    </row>
    <row r="948" spans="1:15" x14ac:dyDescent="0.25">
      <c r="A948" t="s">
        <v>7048</v>
      </c>
      <c r="B948" t="s">
        <v>704</v>
      </c>
      <c r="C948" t="s">
        <v>677</v>
      </c>
      <c r="D948" t="s">
        <v>6877</v>
      </c>
      <c r="E948" t="s">
        <v>7049</v>
      </c>
      <c r="F948" t="s">
        <v>555</v>
      </c>
      <c r="G948" s="1">
        <v>45615</v>
      </c>
      <c r="H948" s="1"/>
      <c r="I948" t="s">
        <v>1737</v>
      </c>
      <c r="J948" t="s">
        <v>29</v>
      </c>
      <c r="K948" t="s">
        <v>29</v>
      </c>
      <c r="M948">
        <v>100</v>
      </c>
      <c r="N948" s="1">
        <v>45660</v>
      </c>
      <c r="O948" s="30" t="s">
        <v>7050</v>
      </c>
    </row>
    <row r="949" spans="1:15" x14ac:dyDescent="0.25">
      <c r="A949" t="s">
        <v>7051</v>
      </c>
      <c r="B949" t="s">
        <v>704</v>
      </c>
      <c r="C949" t="s">
        <v>243</v>
      </c>
      <c r="D949" t="s">
        <v>6247</v>
      </c>
      <c r="E949" t="s">
        <v>7052</v>
      </c>
      <c r="F949" t="s">
        <v>670</v>
      </c>
      <c r="G949" s="1">
        <v>45617</v>
      </c>
      <c r="H949" s="1"/>
      <c r="I949" t="s">
        <v>1737</v>
      </c>
      <c r="J949" t="s">
        <v>29</v>
      </c>
      <c r="K949" t="s">
        <v>29</v>
      </c>
      <c r="M949" t="s">
        <v>3780</v>
      </c>
      <c r="N949" s="1" t="s">
        <v>7053</v>
      </c>
      <c r="O949" s="12" t="s">
        <v>7054</v>
      </c>
    </row>
    <row r="950" spans="1:15" x14ac:dyDescent="0.25">
      <c r="A950" t="s">
        <v>7055</v>
      </c>
      <c r="B950" t="s">
        <v>704</v>
      </c>
      <c r="C950" t="s">
        <v>32</v>
      </c>
      <c r="D950" t="s">
        <v>1563</v>
      </c>
      <c r="E950" t="s">
        <v>6895</v>
      </c>
      <c r="F950" t="s">
        <v>6896</v>
      </c>
      <c r="G950" s="1">
        <v>45616</v>
      </c>
      <c r="H950" s="1"/>
      <c r="I950" t="s">
        <v>1737</v>
      </c>
      <c r="J950" t="s">
        <v>29</v>
      </c>
      <c r="K950" t="s">
        <v>29</v>
      </c>
      <c r="M950">
        <v>100</v>
      </c>
      <c r="N950" s="1">
        <v>45643</v>
      </c>
      <c r="O950" s="30" t="s">
        <v>7056</v>
      </c>
    </row>
    <row r="951" spans="1:15" x14ac:dyDescent="0.25">
      <c r="A951" t="s">
        <v>7057</v>
      </c>
      <c r="B951" t="s">
        <v>13</v>
      </c>
      <c r="C951" t="s">
        <v>578</v>
      </c>
      <c r="D951" t="s">
        <v>7058</v>
      </c>
      <c r="E951" t="s">
        <v>7059</v>
      </c>
      <c r="F951" t="s">
        <v>14</v>
      </c>
      <c r="G951" s="1">
        <v>45617</v>
      </c>
      <c r="H951" s="1"/>
      <c r="I951" t="s">
        <v>1737</v>
      </c>
      <c r="J951" t="s">
        <v>29</v>
      </c>
      <c r="M951">
        <v>100</v>
      </c>
      <c r="N951" s="1">
        <v>45818</v>
      </c>
      <c r="O951" s="12"/>
    </row>
    <row r="952" spans="1:15" x14ac:dyDescent="0.25">
      <c r="A952" t="s">
        <v>7060</v>
      </c>
      <c r="B952" t="s">
        <v>704</v>
      </c>
      <c r="C952" t="s">
        <v>2352</v>
      </c>
      <c r="D952" t="s">
        <v>582</v>
      </c>
      <c r="E952" t="s">
        <v>7061</v>
      </c>
      <c r="F952" t="s">
        <v>6218</v>
      </c>
      <c r="G952" s="1">
        <v>45618</v>
      </c>
      <c r="H952" s="1"/>
      <c r="I952" t="s">
        <v>1737</v>
      </c>
      <c r="J952" t="s">
        <v>29</v>
      </c>
      <c r="K952" t="s">
        <v>29</v>
      </c>
      <c r="M952">
        <v>100</v>
      </c>
      <c r="N952" s="1">
        <v>45628</v>
      </c>
      <c r="O952" s="12" t="s">
        <v>7062</v>
      </c>
    </row>
    <row r="953" spans="1:15" x14ac:dyDescent="0.25">
      <c r="A953" t="s">
        <v>7063</v>
      </c>
      <c r="B953" t="s">
        <v>704</v>
      </c>
      <c r="C953" t="s">
        <v>25</v>
      </c>
      <c r="D953" t="s">
        <v>225</v>
      </c>
      <c r="E953" t="s">
        <v>5908</v>
      </c>
      <c r="F953" t="s">
        <v>555</v>
      </c>
      <c r="G953" s="1">
        <v>45622</v>
      </c>
      <c r="H953" s="1"/>
      <c r="I953" t="s">
        <v>1737</v>
      </c>
      <c r="J953" t="s">
        <v>29</v>
      </c>
      <c r="K953" t="s">
        <v>29</v>
      </c>
      <c r="M953">
        <v>100</v>
      </c>
      <c r="N953" s="1">
        <v>45660</v>
      </c>
      <c r="O953" s="12" t="s">
        <v>7064</v>
      </c>
    </row>
    <row r="954" spans="1:15" x14ac:dyDescent="0.25">
      <c r="A954" t="s">
        <v>7065</v>
      </c>
      <c r="B954" t="s">
        <v>704</v>
      </c>
      <c r="C954" t="s">
        <v>243</v>
      </c>
      <c r="D954" t="s">
        <v>6247</v>
      </c>
      <c r="E954" t="s">
        <v>7066</v>
      </c>
      <c r="F954" t="s">
        <v>5944</v>
      </c>
      <c r="G954" s="1">
        <v>45625</v>
      </c>
      <c r="H954" s="1"/>
      <c r="I954" t="s">
        <v>1737</v>
      </c>
      <c r="J954" t="s">
        <v>29</v>
      </c>
      <c r="K954" t="s">
        <v>29</v>
      </c>
      <c r="M954">
        <v>100</v>
      </c>
      <c r="N954" s="1">
        <v>45660</v>
      </c>
      <c r="O954" s="12" t="s">
        <v>7067</v>
      </c>
    </row>
    <row r="955" spans="1:15" x14ac:dyDescent="0.25">
      <c r="A955" t="s">
        <v>7068</v>
      </c>
      <c r="B955" t="s">
        <v>704</v>
      </c>
      <c r="C955" t="s">
        <v>70</v>
      </c>
      <c r="D955" t="s">
        <v>5288</v>
      </c>
      <c r="E955" t="s">
        <v>7069</v>
      </c>
      <c r="F955" t="s">
        <v>5437</v>
      </c>
      <c r="G955" s="1">
        <v>45628</v>
      </c>
      <c r="H955" s="1"/>
      <c r="I955" t="s">
        <v>1737</v>
      </c>
      <c r="J955" t="s">
        <v>29</v>
      </c>
      <c r="K955" t="s">
        <v>29</v>
      </c>
      <c r="M955">
        <v>100</v>
      </c>
      <c r="N955" s="1">
        <v>45666</v>
      </c>
      <c r="O955" s="12" t="s">
        <v>7070</v>
      </c>
    </row>
    <row r="956" spans="1:15" x14ac:dyDescent="0.25">
      <c r="A956" t="s">
        <v>7071</v>
      </c>
      <c r="B956" t="s">
        <v>474</v>
      </c>
      <c r="C956" t="s">
        <v>177</v>
      </c>
      <c r="D956" t="s">
        <v>674</v>
      </c>
      <c r="E956" t="s">
        <v>7072</v>
      </c>
      <c r="F956" t="s">
        <v>14</v>
      </c>
      <c r="G956" s="1">
        <v>45628</v>
      </c>
      <c r="H956" s="1"/>
      <c r="I956" t="s">
        <v>1737</v>
      </c>
      <c r="J956" t="s">
        <v>29</v>
      </c>
      <c r="M956">
        <v>100</v>
      </c>
      <c r="N956" s="1">
        <v>45664</v>
      </c>
      <c r="O956" s="12"/>
    </row>
    <row r="957" spans="1:15" x14ac:dyDescent="0.25">
      <c r="A957" t="s">
        <v>7073</v>
      </c>
      <c r="B957" t="s">
        <v>704</v>
      </c>
      <c r="C957" t="s">
        <v>32</v>
      </c>
      <c r="D957" t="s">
        <v>475</v>
      </c>
      <c r="E957" t="s">
        <v>7074</v>
      </c>
      <c r="F957" t="s">
        <v>6109</v>
      </c>
      <c r="G957" s="1">
        <v>45631</v>
      </c>
      <c r="H957" s="1"/>
      <c r="I957" t="s">
        <v>1737</v>
      </c>
      <c r="J957" t="s">
        <v>29</v>
      </c>
      <c r="K957" t="s">
        <v>29</v>
      </c>
      <c r="M957" s="10">
        <v>100</v>
      </c>
      <c r="N957" s="1">
        <v>45642</v>
      </c>
      <c r="O957" s="12" t="s">
        <v>7075</v>
      </c>
    </row>
    <row r="958" spans="1:15" x14ac:dyDescent="0.25">
      <c r="A958" t="s">
        <v>7076</v>
      </c>
      <c r="B958" t="s">
        <v>4154</v>
      </c>
      <c r="C958" t="s">
        <v>35</v>
      </c>
      <c r="D958" t="s">
        <v>232</v>
      </c>
      <c r="E958" t="s">
        <v>7077</v>
      </c>
      <c r="F958" t="s">
        <v>6388</v>
      </c>
      <c r="G958" s="1">
        <v>45631</v>
      </c>
      <c r="H958" s="1"/>
      <c r="I958" t="s">
        <v>1737</v>
      </c>
      <c r="J958" t="s">
        <v>29</v>
      </c>
      <c r="K958" t="s">
        <v>29</v>
      </c>
      <c r="M958">
        <v>100</v>
      </c>
      <c r="N958" s="1">
        <v>45657</v>
      </c>
      <c r="O958" s="12"/>
    </row>
    <row r="959" spans="1:15" x14ac:dyDescent="0.25">
      <c r="A959" t="s">
        <v>7078</v>
      </c>
      <c r="B959" t="s">
        <v>704</v>
      </c>
      <c r="C959" t="s">
        <v>32</v>
      </c>
      <c r="D959" t="s">
        <v>5156</v>
      </c>
      <c r="E959" t="s">
        <v>7079</v>
      </c>
      <c r="F959" t="s">
        <v>7080</v>
      </c>
      <c r="G959" s="1">
        <v>45631</v>
      </c>
      <c r="H959" s="1"/>
      <c r="I959" t="s">
        <v>1737</v>
      </c>
      <c r="J959" t="s">
        <v>29</v>
      </c>
      <c r="K959" t="s">
        <v>29</v>
      </c>
      <c r="M959">
        <v>100</v>
      </c>
      <c r="N959" s="1">
        <v>45293</v>
      </c>
      <c r="O959" s="12" t="s">
        <v>7081</v>
      </c>
    </row>
    <row r="960" spans="1:15" x14ac:dyDescent="0.25">
      <c r="A960" t="s">
        <v>7082</v>
      </c>
      <c r="B960" t="s">
        <v>704</v>
      </c>
      <c r="C960" t="s">
        <v>6399</v>
      </c>
      <c r="D960" t="s">
        <v>7017</v>
      </c>
      <c r="E960" t="s">
        <v>6181</v>
      </c>
      <c r="F960" t="s">
        <v>5413</v>
      </c>
      <c r="G960" s="1">
        <v>45632</v>
      </c>
      <c r="H960" s="1"/>
      <c r="I960" t="s">
        <v>1737</v>
      </c>
      <c r="J960" t="s">
        <v>29</v>
      </c>
      <c r="K960" t="s">
        <v>29</v>
      </c>
      <c r="M960">
        <v>100</v>
      </c>
      <c r="N960" s="1">
        <v>45645</v>
      </c>
      <c r="O960" s="12"/>
    </row>
    <row r="961" spans="1:15" x14ac:dyDescent="0.25">
      <c r="A961" t="s">
        <v>7083</v>
      </c>
      <c r="B961" t="s">
        <v>325</v>
      </c>
      <c r="C961" t="s">
        <v>253</v>
      </c>
      <c r="D961" t="s">
        <v>254</v>
      </c>
      <c r="E961" t="s">
        <v>7084</v>
      </c>
      <c r="F961" t="s">
        <v>7085</v>
      </c>
      <c r="G961" s="1">
        <v>45632</v>
      </c>
      <c r="H961" s="1"/>
      <c r="I961" t="s">
        <v>2762</v>
      </c>
      <c r="J961" t="s">
        <v>29</v>
      </c>
      <c r="K961" t="s">
        <v>29</v>
      </c>
      <c r="N961" s="1" t="s">
        <v>7086</v>
      </c>
      <c r="O961" s="12"/>
    </row>
    <row r="962" spans="1:15" x14ac:dyDescent="0.25">
      <c r="A962" t="s">
        <v>7087</v>
      </c>
      <c r="B962" t="s">
        <v>325</v>
      </c>
      <c r="C962" t="s">
        <v>7088</v>
      </c>
      <c r="D962" t="s">
        <v>7089</v>
      </c>
      <c r="E962" t="s">
        <v>7090</v>
      </c>
      <c r="G962" s="1">
        <v>45632</v>
      </c>
      <c r="H962" s="1"/>
      <c r="I962" t="s">
        <v>1737</v>
      </c>
      <c r="J962" t="s">
        <v>29</v>
      </c>
      <c r="M962">
        <v>100</v>
      </c>
      <c r="N962" s="1">
        <v>45297</v>
      </c>
      <c r="O962" s="12"/>
    </row>
    <row r="963" spans="1:15" x14ac:dyDescent="0.25">
      <c r="A963" t="s">
        <v>7091</v>
      </c>
      <c r="B963" t="s">
        <v>704</v>
      </c>
      <c r="C963" t="s">
        <v>7092</v>
      </c>
      <c r="D963" t="s">
        <v>6331</v>
      </c>
      <c r="E963" t="s">
        <v>4773</v>
      </c>
      <c r="F963" t="s">
        <v>5413</v>
      </c>
      <c r="G963" s="1">
        <v>45635</v>
      </c>
      <c r="H963" s="1"/>
      <c r="I963" t="s">
        <v>1737</v>
      </c>
      <c r="J963" t="s">
        <v>29</v>
      </c>
      <c r="K963" t="s">
        <v>29</v>
      </c>
      <c r="O963" s="12" t="s">
        <v>7093</v>
      </c>
    </row>
    <row r="964" spans="1:15" x14ac:dyDescent="0.25">
      <c r="A964" t="s">
        <v>7094</v>
      </c>
      <c r="B964" t="s">
        <v>13</v>
      </c>
      <c r="C964" t="s">
        <v>997</v>
      </c>
      <c r="D964" t="s">
        <v>150</v>
      </c>
      <c r="E964" t="s">
        <v>7095</v>
      </c>
      <c r="F964" t="s">
        <v>14</v>
      </c>
      <c r="G964" s="1">
        <v>45630</v>
      </c>
      <c r="H964" s="1"/>
      <c r="I964" t="s">
        <v>1737</v>
      </c>
      <c r="J964" t="s">
        <v>29</v>
      </c>
      <c r="M964">
        <v>100</v>
      </c>
      <c r="N964" s="1">
        <v>45678</v>
      </c>
      <c r="O964" s="12"/>
    </row>
    <row r="965" spans="1:15" x14ac:dyDescent="0.25">
      <c r="A965" t="s">
        <v>7096</v>
      </c>
      <c r="B965" t="s">
        <v>704</v>
      </c>
      <c r="C965" t="s">
        <v>4799</v>
      </c>
      <c r="D965" t="s">
        <v>7097</v>
      </c>
      <c r="E965" t="s">
        <v>7098</v>
      </c>
      <c r="F965" t="s">
        <v>5454</v>
      </c>
      <c r="G965" s="1">
        <v>45637</v>
      </c>
      <c r="H965" s="1"/>
      <c r="I965" t="s">
        <v>1737</v>
      </c>
      <c r="J965" t="s">
        <v>29</v>
      </c>
      <c r="K965" t="s">
        <v>29</v>
      </c>
      <c r="M965">
        <v>100</v>
      </c>
      <c r="N965" s="1">
        <v>45660</v>
      </c>
      <c r="O965" s="12"/>
    </row>
    <row r="966" spans="1:15" x14ac:dyDescent="0.25">
      <c r="A966" t="s">
        <v>7099</v>
      </c>
      <c r="B966" t="s">
        <v>704</v>
      </c>
      <c r="C966" t="s">
        <v>5049</v>
      </c>
      <c r="D966" t="s">
        <v>5050</v>
      </c>
      <c r="E966" t="s">
        <v>7100</v>
      </c>
      <c r="F966" t="s">
        <v>5413</v>
      </c>
      <c r="G966" s="1">
        <v>45637</v>
      </c>
      <c r="H966" s="1"/>
      <c r="I966" t="s">
        <v>1737</v>
      </c>
      <c r="J966" t="s">
        <v>29</v>
      </c>
      <c r="K966" t="s">
        <v>29</v>
      </c>
      <c r="M966">
        <v>100</v>
      </c>
    </row>
    <row r="967" spans="1:15" x14ac:dyDescent="0.25">
      <c r="A967" t="s">
        <v>7101</v>
      </c>
      <c r="B967" t="s">
        <v>704</v>
      </c>
      <c r="C967" t="s">
        <v>163</v>
      </c>
      <c r="D967" t="s">
        <v>7102</v>
      </c>
      <c r="E967" t="s">
        <v>7103</v>
      </c>
      <c r="F967" t="s">
        <v>659</v>
      </c>
      <c r="G967" s="1">
        <v>45639</v>
      </c>
      <c r="H967" s="1"/>
      <c r="I967" t="s">
        <v>1737</v>
      </c>
      <c r="J967" t="s">
        <v>29</v>
      </c>
      <c r="K967" t="s">
        <v>29</v>
      </c>
      <c r="M967">
        <v>100</v>
      </c>
      <c r="N967" s="1">
        <v>45660</v>
      </c>
      <c r="O967" s="12"/>
    </row>
    <row r="968" spans="1:15" x14ac:dyDescent="0.25">
      <c r="A968" t="s">
        <v>7104</v>
      </c>
      <c r="B968" t="s">
        <v>704</v>
      </c>
      <c r="C968" t="s">
        <v>670</v>
      </c>
      <c r="D968" t="s">
        <v>671</v>
      </c>
      <c r="E968" t="s">
        <v>6181</v>
      </c>
      <c r="F968" t="s">
        <v>5413</v>
      </c>
      <c r="G968" s="1">
        <v>45639</v>
      </c>
      <c r="H968" s="1"/>
      <c r="I968" t="s">
        <v>1737</v>
      </c>
      <c r="J968" t="s">
        <v>29</v>
      </c>
      <c r="K968" t="s">
        <v>29</v>
      </c>
      <c r="M968">
        <v>100</v>
      </c>
      <c r="N968" s="1">
        <v>45687</v>
      </c>
      <c r="O968" s="12" t="s">
        <v>7105</v>
      </c>
    </row>
    <row r="969" spans="1:15" x14ac:dyDescent="0.25">
      <c r="A969" t="s">
        <v>7106</v>
      </c>
      <c r="B969" t="s">
        <v>13</v>
      </c>
      <c r="C969" t="s">
        <v>578</v>
      </c>
      <c r="D969" t="s">
        <v>921</v>
      </c>
      <c r="E969" t="s">
        <v>7107</v>
      </c>
      <c r="F969" t="s">
        <v>14</v>
      </c>
      <c r="G969" s="1">
        <v>45638</v>
      </c>
      <c r="H969" s="1"/>
      <c r="I969" t="s">
        <v>1737</v>
      </c>
      <c r="J969" t="s">
        <v>29</v>
      </c>
      <c r="M969">
        <v>100</v>
      </c>
      <c r="N969" s="1">
        <v>45645</v>
      </c>
      <c r="O969" s="12"/>
    </row>
    <row r="970" spans="1:15" x14ac:dyDescent="0.25">
      <c r="A970" t="s">
        <v>7108</v>
      </c>
      <c r="B970" t="s">
        <v>704</v>
      </c>
      <c r="C970" t="s">
        <v>43</v>
      </c>
      <c r="D970" t="s">
        <v>582</v>
      </c>
      <c r="E970" t="s">
        <v>7109</v>
      </c>
      <c r="F970" t="s">
        <v>6218</v>
      </c>
      <c r="G970" s="1">
        <v>45642</v>
      </c>
      <c r="H970" s="1"/>
      <c r="I970" t="s">
        <v>1737</v>
      </c>
      <c r="J970" t="s">
        <v>29</v>
      </c>
      <c r="K970" t="s">
        <v>29</v>
      </c>
      <c r="M970">
        <v>100</v>
      </c>
      <c r="N970" s="1">
        <v>45660</v>
      </c>
      <c r="O970" s="12"/>
    </row>
    <row r="971" spans="1:15" x14ac:dyDescent="0.25">
      <c r="A971" t="s">
        <v>7110</v>
      </c>
      <c r="B971" t="s">
        <v>704</v>
      </c>
      <c r="C971" t="s">
        <v>32</v>
      </c>
      <c r="D971" t="s">
        <v>5106</v>
      </c>
      <c r="E971" t="s">
        <v>6321</v>
      </c>
      <c r="F971" t="s">
        <v>5707</v>
      </c>
      <c r="G971" s="1">
        <v>45645</v>
      </c>
      <c r="H971" s="1"/>
      <c r="I971" t="s">
        <v>1737</v>
      </c>
      <c r="J971" t="s">
        <v>29</v>
      </c>
      <c r="K971" t="s">
        <v>29</v>
      </c>
      <c r="M971">
        <v>100</v>
      </c>
      <c r="N971" s="1">
        <v>45666</v>
      </c>
      <c r="O971" s="12"/>
    </row>
    <row r="972" spans="1:15" x14ac:dyDescent="0.25">
      <c r="A972" t="s">
        <v>7111</v>
      </c>
      <c r="B972" t="s">
        <v>704</v>
      </c>
      <c r="C972" t="s">
        <v>4737</v>
      </c>
      <c r="D972" t="s">
        <v>5380</v>
      </c>
      <c r="E972" t="s">
        <v>5908</v>
      </c>
      <c r="F972" t="s">
        <v>555</v>
      </c>
      <c r="G972" s="1">
        <v>45646</v>
      </c>
      <c r="H972" s="1"/>
      <c r="I972" t="s">
        <v>1737</v>
      </c>
      <c r="J972" t="s">
        <v>29</v>
      </c>
      <c r="K972" t="s">
        <v>29</v>
      </c>
      <c r="M972">
        <v>100</v>
      </c>
      <c r="N972" s="1">
        <v>45646</v>
      </c>
      <c r="O972" s="12"/>
    </row>
    <row r="973" spans="1:15" x14ac:dyDescent="0.25">
      <c r="A973" t="s">
        <v>7112</v>
      </c>
      <c r="B973" t="s">
        <v>704</v>
      </c>
      <c r="C973" t="s">
        <v>670</v>
      </c>
      <c r="D973" t="s">
        <v>671</v>
      </c>
      <c r="E973" t="s">
        <v>7113</v>
      </c>
      <c r="F973" t="s">
        <v>5413</v>
      </c>
      <c r="G973" s="1">
        <v>45649</v>
      </c>
      <c r="H973" s="1"/>
      <c r="I973" t="s">
        <v>1737</v>
      </c>
      <c r="J973" t="s">
        <v>29</v>
      </c>
      <c r="K973" t="s">
        <v>29</v>
      </c>
      <c r="M973">
        <v>100</v>
      </c>
      <c r="N973" s="1">
        <v>45663</v>
      </c>
      <c r="O973" s="12"/>
    </row>
    <row r="974" spans="1:15" x14ac:dyDescent="0.25">
      <c r="A974" t="s">
        <v>7114</v>
      </c>
      <c r="B974" t="s">
        <v>704</v>
      </c>
      <c r="C974" t="s">
        <v>32</v>
      </c>
      <c r="D974" t="s">
        <v>5106</v>
      </c>
      <c r="E974" t="s">
        <v>7115</v>
      </c>
      <c r="F974" t="s">
        <v>5728</v>
      </c>
      <c r="G974" s="1">
        <v>45649</v>
      </c>
      <c r="H974" s="1"/>
      <c r="I974" t="s">
        <v>2762</v>
      </c>
      <c r="K974" t="s">
        <v>29</v>
      </c>
      <c r="O974" s="12" t="s">
        <v>7116</v>
      </c>
    </row>
    <row r="975" spans="1:15" x14ac:dyDescent="0.25">
      <c r="A975" t="s">
        <v>7117</v>
      </c>
      <c r="B975" t="s">
        <v>704</v>
      </c>
      <c r="C975" t="s">
        <v>243</v>
      </c>
      <c r="D975" t="s">
        <v>6247</v>
      </c>
      <c r="E975" t="s">
        <v>7118</v>
      </c>
      <c r="F975" t="s">
        <v>7119</v>
      </c>
      <c r="G975" s="1">
        <v>45649</v>
      </c>
      <c r="H975" s="1"/>
      <c r="I975" t="s">
        <v>1737</v>
      </c>
      <c r="J975" t="s">
        <v>29</v>
      </c>
      <c r="K975" t="s">
        <v>29</v>
      </c>
      <c r="M975">
        <v>100</v>
      </c>
      <c r="N975" s="1">
        <v>45672</v>
      </c>
      <c r="O975" s="12"/>
    </row>
    <row r="976" spans="1:15" x14ac:dyDescent="0.25">
      <c r="A976" t="s">
        <v>7120</v>
      </c>
      <c r="B976" t="s">
        <v>704</v>
      </c>
      <c r="C976" t="s">
        <v>243</v>
      </c>
      <c r="D976" t="s">
        <v>6247</v>
      </c>
      <c r="E976" t="s">
        <v>4699</v>
      </c>
      <c r="F976" t="s">
        <v>5413</v>
      </c>
      <c r="G976" s="1">
        <v>45649</v>
      </c>
      <c r="H976" s="1"/>
      <c r="I976" t="s">
        <v>1737</v>
      </c>
      <c r="J976" t="s">
        <v>29</v>
      </c>
      <c r="K976" t="s">
        <v>29</v>
      </c>
      <c r="M976">
        <v>100</v>
      </c>
      <c r="N976" s="1">
        <v>45677</v>
      </c>
      <c r="O976" s="12" t="s">
        <v>7121</v>
      </c>
    </row>
    <row r="977" spans="1:15" x14ac:dyDescent="0.25">
      <c r="A977" t="s">
        <v>7122</v>
      </c>
      <c r="B977" t="s">
        <v>704</v>
      </c>
      <c r="C977" t="s">
        <v>5188</v>
      </c>
      <c r="D977" t="s">
        <v>7123</v>
      </c>
      <c r="E977" t="s">
        <v>7124</v>
      </c>
      <c r="F977" t="s">
        <v>5340</v>
      </c>
      <c r="G977" s="1">
        <v>45650</v>
      </c>
      <c r="H977" s="1"/>
      <c r="I977" t="s">
        <v>1737</v>
      </c>
      <c r="J977" t="s">
        <v>29</v>
      </c>
      <c r="K977" t="s">
        <v>29</v>
      </c>
      <c r="M977">
        <v>100</v>
      </c>
      <c r="N977" s="1">
        <v>45775</v>
      </c>
      <c r="O977" s="12"/>
    </row>
    <row r="978" spans="1:15" x14ac:dyDescent="0.25">
      <c r="A978" t="s">
        <v>7125</v>
      </c>
      <c r="B978" t="s">
        <v>704</v>
      </c>
      <c r="C978" t="s">
        <v>243</v>
      </c>
      <c r="D978" t="s">
        <v>6247</v>
      </c>
      <c r="E978" t="s">
        <v>7126</v>
      </c>
      <c r="F978" t="s">
        <v>555</v>
      </c>
      <c r="G978" s="1">
        <v>45652</v>
      </c>
      <c r="H978" s="1"/>
      <c r="I978" t="s">
        <v>1737</v>
      </c>
      <c r="J978" t="s">
        <v>29</v>
      </c>
      <c r="K978" t="s">
        <v>29</v>
      </c>
      <c r="M978">
        <v>100</v>
      </c>
      <c r="N978" s="1">
        <v>45665</v>
      </c>
      <c r="O978" s="12"/>
    </row>
    <row r="979" spans="1:15" x14ac:dyDescent="0.25">
      <c r="A979" t="s">
        <v>7127</v>
      </c>
      <c r="B979" t="s">
        <v>704</v>
      </c>
      <c r="C979" t="s">
        <v>243</v>
      </c>
      <c r="D979" t="s">
        <v>6247</v>
      </c>
      <c r="E979" t="s">
        <v>5485</v>
      </c>
      <c r="F979" t="s">
        <v>6401</v>
      </c>
      <c r="G979" s="1">
        <v>45652</v>
      </c>
      <c r="H979" s="1"/>
      <c r="I979" t="s">
        <v>1737</v>
      </c>
      <c r="J979" t="s">
        <v>29</v>
      </c>
      <c r="K979" t="s">
        <v>29</v>
      </c>
      <c r="M979">
        <v>100</v>
      </c>
      <c r="N979" s="1">
        <v>45665</v>
      </c>
      <c r="O979" s="12"/>
    </row>
    <row r="980" spans="1:15" x14ac:dyDescent="0.25">
      <c r="A980" t="s">
        <v>7128</v>
      </c>
      <c r="B980" t="s">
        <v>704</v>
      </c>
      <c r="C980" t="s">
        <v>32</v>
      </c>
      <c r="D980" t="s">
        <v>5106</v>
      </c>
      <c r="E980" t="s">
        <v>7129</v>
      </c>
      <c r="F980" t="s">
        <v>6896</v>
      </c>
      <c r="G980" s="1">
        <v>45656</v>
      </c>
      <c r="H980" s="1"/>
      <c r="I980" t="s">
        <v>1737</v>
      </c>
      <c r="J980" t="s">
        <v>29</v>
      </c>
      <c r="K980" t="s">
        <v>29</v>
      </c>
      <c r="M980">
        <v>100</v>
      </c>
      <c r="N980" s="1">
        <v>45687</v>
      </c>
      <c r="O980" s="12" t="s">
        <v>7130</v>
      </c>
    </row>
    <row r="981" spans="1:15" x14ac:dyDescent="0.25">
      <c r="A981" t="s">
        <v>7131</v>
      </c>
      <c r="B981" t="s">
        <v>220</v>
      </c>
      <c r="C981" t="s">
        <v>25</v>
      </c>
      <c r="D981" t="s">
        <v>7097</v>
      </c>
      <c r="E981" t="s">
        <v>1191</v>
      </c>
      <c r="F981" t="s">
        <v>7132</v>
      </c>
      <c r="G981" s="1">
        <v>45656</v>
      </c>
      <c r="H981" s="1"/>
      <c r="I981" t="s">
        <v>1737</v>
      </c>
      <c r="J981" t="s">
        <v>29</v>
      </c>
      <c r="K981" t="s">
        <v>29</v>
      </c>
      <c r="M981">
        <v>100</v>
      </c>
      <c r="N981" s="1">
        <v>45672</v>
      </c>
      <c r="O981" s="12"/>
    </row>
    <row r="982" spans="1:15" x14ac:dyDescent="0.25">
      <c r="A982" t="s">
        <v>7133</v>
      </c>
      <c r="B982" t="s">
        <v>704</v>
      </c>
      <c r="C982" t="s">
        <v>32</v>
      </c>
      <c r="D982" t="s">
        <v>5106</v>
      </c>
      <c r="E982" t="s">
        <v>7134</v>
      </c>
      <c r="F982" t="s">
        <v>5728</v>
      </c>
      <c r="G982" s="1">
        <v>45656</v>
      </c>
      <c r="H982" s="1"/>
      <c r="I982" t="s">
        <v>1737</v>
      </c>
      <c r="J982" t="s">
        <v>29</v>
      </c>
      <c r="K982" t="s">
        <v>29</v>
      </c>
      <c r="M982">
        <v>100</v>
      </c>
      <c r="N982" s="1">
        <v>45665</v>
      </c>
      <c r="O982" s="12"/>
    </row>
    <row r="983" spans="1:15" x14ac:dyDescent="0.25">
      <c r="A983" t="s">
        <v>7135</v>
      </c>
      <c r="B983" t="s">
        <v>474</v>
      </c>
      <c r="C983" t="s">
        <v>177</v>
      </c>
      <c r="D983" t="s">
        <v>511</v>
      </c>
      <c r="E983" t="s">
        <v>7136</v>
      </c>
      <c r="F983" t="s">
        <v>7137</v>
      </c>
      <c r="G983" s="1">
        <v>45639</v>
      </c>
      <c r="H983" s="1"/>
      <c r="I983" t="s">
        <v>1737</v>
      </c>
      <c r="J983" t="s">
        <v>29</v>
      </c>
      <c r="M983">
        <v>100</v>
      </c>
      <c r="N983" s="1">
        <v>45664</v>
      </c>
      <c r="O983" s="12"/>
    </row>
    <row r="984" spans="1:15" x14ac:dyDescent="0.25">
      <c r="A984" t="s">
        <v>7138</v>
      </c>
      <c r="B984" t="s">
        <v>325</v>
      </c>
      <c r="C984" t="s">
        <v>253</v>
      </c>
      <c r="D984" t="s">
        <v>7139</v>
      </c>
      <c r="E984" t="s">
        <v>7140</v>
      </c>
      <c r="F984" t="s">
        <v>14</v>
      </c>
      <c r="G984" s="1">
        <v>45659</v>
      </c>
      <c r="H984" s="1"/>
      <c r="I984" t="s">
        <v>1737</v>
      </c>
      <c r="J984" t="s">
        <v>29</v>
      </c>
      <c r="M984">
        <v>100</v>
      </c>
      <c r="N984" s="1">
        <v>45660</v>
      </c>
      <c r="O984" s="12"/>
    </row>
    <row r="985" spans="1:15" x14ac:dyDescent="0.25">
      <c r="A985" t="s">
        <v>7141</v>
      </c>
      <c r="B985" t="s">
        <v>325</v>
      </c>
      <c r="C985" t="s">
        <v>7142</v>
      </c>
      <c r="D985" t="s">
        <v>7143</v>
      </c>
      <c r="E985" s="36" t="s">
        <v>7144</v>
      </c>
      <c r="F985" t="s">
        <v>14</v>
      </c>
      <c r="G985" s="1">
        <v>45659</v>
      </c>
      <c r="H985" s="1"/>
      <c r="I985" t="s">
        <v>2762</v>
      </c>
      <c r="J985" t="s">
        <v>29</v>
      </c>
      <c r="N985" s="1" t="s">
        <v>7145</v>
      </c>
      <c r="O985" s="12"/>
    </row>
    <row r="986" spans="1:15" x14ac:dyDescent="0.25">
      <c r="A986" t="s">
        <v>7146</v>
      </c>
      <c r="B986" t="s">
        <v>4137</v>
      </c>
      <c r="C986" t="s">
        <v>243</v>
      </c>
      <c r="D986" t="s">
        <v>244</v>
      </c>
      <c r="E986" t="s">
        <v>7147</v>
      </c>
      <c r="F986" t="s">
        <v>5844</v>
      </c>
      <c r="G986" s="1">
        <v>45660</v>
      </c>
      <c r="H986" s="1"/>
      <c r="I986" t="s">
        <v>1737</v>
      </c>
      <c r="J986" t="s">
        <v>29</v>
      </c>
      <c r="K986" t="s">
        <v>29</v>
      </c>
      <c r="M986">
        <v>100</v>
      </c>
      <c r="N986" s="1">
        <v>45665</v>
      </c>
      <c r="O986" s="12"/>
    </row>
    <row r="987" spans="1:15" x14ac:dyDescent="0.25">
      <c r="A987" t="s">
        <v>7148</v>
      </c>
      <c r="B987" t="s">
        <v>4137</v>
      </c>
      <c r="C987" t="s">
        <v>4203</v>
      </c>
      <c r="E987" t="s">
        <v>7149</v>
      </c>
      <c r="F987" t="s">
        <v>7150</v>
      </c>
      <c r="G987" s="1">
        <v>45676</v>
      </c>
      <c r="H987" s="1"/>
      <c r="I987" t="s">
        <v>1737</v>
      </c>
      <c r="J987" t="s">
        <v>29</v>
      </c>
      <c r="M987">
        <v>100</v>
      </c>
      <c r="N987" s="1">
        <v>45663</v>
      </c>
      <c r="O987" s="12"/>
    </row>
    <row r="988" spans="1:15" x14ac:dyDescent="0.25">
      <c r="A988" t="s">
        <v>7151</v>
      </c>
      <c r="B988" t="s">
        <v>704</v>
      </c>
      <c r="C988" t="s">
        <v>243</v>
      </c>
      <c r="D988" t="s">
        <v>244</v>
      </c>
      <c r="E988" t="s">
        <v>7152</v>
      </c>
      <c r="F988" t="s">
        <v>5646</v>
      </c>
      <c r="G988" s="1">
        <v>45660</v>
      </c>
      <c r="H988" s="1"/>
      <c r="I988" t="s">
        <v>1737</v>
      </c>
      <c r="J988" t="s">
        <v>29</v>
      </c>
      <c r="K988" t="s">
        <v>29</v>
      </c>
      <c r="M988">
        <v>100</v>
      </c>
      <c r="N988" s="1">
        <v>45688</v>
      </c>
      <c r="O988" s="12" t="s">
        <v>7153</v>
      </c>
    </row>
    <row r="989" spans="1:15" x14ac:dyDescent="0.25">
      <c r="A989" t="s">
        <v>7154</v>
      </c>
      <c r="B989" t="s">
        <v>621</v>
      </c>
      <c r="C989" t="s">
        <v>4875</v>
      </c>
      <c r="D989" t="s">
        <v>4304</v>
      </c>
      <c r="E989" t="s">
        <v>7155</v>
      </c>
      <c r="F989" t="s">
        <v>6474</v>
      </c>
      <c r="G989" s="1">
        <v>45656</v>
      </c>
      <c r="H989" s="1"/>
      <c r="I989" t="s">
        <v>1737</v>
      </c>
      <c r="J989" t="s">
        <v>29</v>
      </c>
      <c r="K989" t="s">
        <v>18</v>
      </c>
      <c r="M989">
        <v>100</v>
      </c>
      <c r="N989" s="1">
        <v>45793</v>
      </c>
      <c r="O989" s="12"/>
    </row>
    <row r="990" spans="1:15" x14ac:dyDescent="0.25">
      <c r="A990" t="s">
        <v>7156</v>
      </c>
      <c r="B990" t="s">
        <v>704</v>
      </c>
      <c r="C990" t="s">
        <v>32</v>
      </c>
      <c r="D990" t="s">
        <v>5156</v>
      </c>
      <c r="E990" t="s">
        <v>7157</v>
      </c>
      <c r="F990" t="s">
        <v>6109</v>
      </c>
      <c r="G990" s="1">
        <v>45663</v>
      </c>
      <c r="H990" s="1"/>
      <c r="I990" t="s">
        <v>1737</v>
      </c>
      <c r="J990" t="s">
        <v>29</v>
      </c>
      <c r="K990" t="s">
        <v>29</v>
      </c>
      <c r="M990">
        <v>100</v>
      </c>
      <c r="N990" s="1">
        <v>45666</v>
      </c>
      <c r="O990" s="12"/>
    </row>
    <row r="991" spans="1:15" x14ac:dyDescent="0.25">
      <c r="A991" t="s">
        <v>7158</v>
      </c>
      <c r="B991" t="s">
        <v>704</v>
      </c>
      <c r="C991" t="s">
        <v>25</v>
      </c>
      <c r="D991" t="s">
        <v>225</v>
      </c>
      <c r="E991" t="s">
        <v>7159</v>
      </c>
      <c r="F991" t="s">
        <v>555</v>
      </c>
      <c r="G991" s="1">
        <v>45665</v>
      </c>
      <c r="H991" s="1"/>
      <c r="I991" t="s">
        <v>1737</v>
      </c>
      <c r="J991" t="s">
        <v>29</v>
      </c>
      <c r="K991" t="s">
        <v>29</v>
      </c>
      <c r="M991">
        <v>100</v>
      </c>
      <c r="N991" s="1">
        <v>45805</v>
      </c>
      <c r="O991" s="30" t="s">
        <v>7160</v>
      </c>
    </row>
    <row r="992" spans="1:15" x14ac:dyDescent="0.25">
      <c r="A992" t="s">
        <v>7161</v>
      </c>
      <c r="B992" t="s">
        <v>13</v>
      </c>
      <c r="C992" t="s">
        <v>7162</v>
      </c>
      <c r="D992" t="s">
        <v>1205</v>
      </c>
      <c r="E992" t="s">
        <v>7163</v>
      </c>
      <c r="F992" t="s">
        <v>14</v>
      </c>
      <c r="G992" s="1">
        <v>45667</v>
      </c>
      <c r="H992" s="1"/>
      <c r="I992" t="s">
        <v>1737</v>
      </c>
      <c r="J992" t="s">
        <v>29</v>
      </c>
      <c r="M992">
        <v>100</v>
      </c>
      <c r="N992" s="1">
        <v>45667</v>
      </c>
      <c r="O992" s="12"/>
    </row>
    <row r="993" spans="1:15" x14ac:dyDescent="0.25">
      <c r="A993" t="s">
        <v>7164</v>
      </c>
      <c r="B993" t="s">
        <v>704</v>
      </c>
      <c r="C993" t="s">
        <v>243</v>
      </c>
      <c r="D993" t="s">
        <v>6247</v>
      </c>
      <c r="E993" t="s">
        <v>6532</v>
      </c>
      <c r="F993" t="s">
        <v>7165</v>
      </c>
      <c r="G993" s="1">
        <v>45670</v>
      </c>
      <c r="H993" s="1"/>
      <c r="I993" t="s">
        <v>1737</v>
      </c>
      <c r="J993" t="s">
        <v>29</v>
      </c>
      <c r="K993" t="s">
        <v>29</v>
      </c>
      <c r="M993">
        <v>100</v>
      </c>
      <c r="N993" s="1">
        <v>45673</v>
      </c>
      <c r="O993" s="12" t="s">
        <v>7166</v>
      </c>
    </row>
    <row r="994" spans="1:15" x14ac:dyDescent="0.25">
      <c r="A994" t="s">
        <v>7167</v>
      </c>
      <c r="B994" t="s">
        <v>13</v>
      </c>
      <c r="C994" t="s">
        <v>243</v>
      </c>
      <c r="D994" t="s">
        <v>1198</v>
      </c>
      <c r="E994" t="s">
        <v>1199</v>
      </c>
      <c r="F994" t="s">
        <v>5504</v>
      </c>
      <c r="G994" s="1">
        <v>45670</v>
      </c>
      <c r="H994" s="1"/>
      <c r="I994" t="s">
        <v>1737</v>
      </c>
      <c r="J994" t="s">
        <v>29</v>
      </c>
      <c r="K994" t="s">
        <v>18</v>
      </c>
      <c r="L994" t="s">
        <v>1202</v>
      </c>
      <c r="M994">
        <v>100</v>
      </c>
      <c r="N994" s="1">
        <v>45684</v>
      </c>
      <c r="O994" s="12"/>
    </row>
    <row r="995" spans="1:15" x14ac:dyDescent="0.25">
      <c r="A995" t="s">
        <v>7168</v>
      </c>
      <c r="B995" t="s">
        <v>704</v>
      </c>
      <c r="C995" t="s">
        <v>32</v>
      </c>
      <c r="D995" t="s">
        <v>475</v>
      </c>
      <c r="E995" t="s">
        <v>7169</v>
      </c>
      <c r="F995" t="s">
        <v>5646</v>
      </c>
      <c r="G995" s="1">
        <v>45670</v>
      </c>
      <c r="H995" s="1"/>
      <c r="I995" t="s">
        <v>1737</v>
      </c>
      <c r="J995" t="s">
        <v>29</v>
      </c>
      <c r="K995" t="s">
        <v>29</v>
      </c>
      <c r="M995">
        <v>100</v>
      </c>
      <c r="N995" s="1">
        <v>45681</v>
      </c>
      <c r="O995" s="12"/>
    </row>
    <row r="996" spans="1:15" x14ac:dyDescent="0.25">
      <c r="A996" t="s">
        <v>7170</v>
      </c>
      <c r="B996" t="s">
        <v>257</v>
      </c>
      <c r="C996" t="s">
        <v>7171</v>
      </c>
      <c r="E996" t="s">
        <v>7172</v>
      </c>
      <c r="F996" t="s">
        <v>7173</v>
      </c>
      <c r="G996" s="1">
        <v>45671</v>
      </c>
      <c r="H996" s="1"/>
      <c r="I996" t="s">
        <v>2952</v>
      </c>
      <c r="J996" t="s">
        <v>29</v>
      </c>
      <c r="O996" s="12"/>
    </row>
    <row r="997" spans="1:15" x14ac:dyDescent="0.25">
      <c r="A997" t="s">
        <v>7174</v>
      </c>
      <c r="B997" t="s">
        <v>325</v>
      </c>
      <c r="C997" t="s">
        <v>7175</v>
      </c>
      <c r="D997" t="s">
        <v>7176</v>
      </c>
      <c r="E997" t="s">
        <v>7177</v>
      </c>
      <c r="F997" t="s">
        <v>14</v>
      </c>
      <c r="G997" s="1">
        <v>45670</v>
      </c>
      <c r="H997" s="1"/>
      <c r="I997" t="s">
        <v>1737</v>
      </c>
      <c r="J997" t="s">
        <v>29</v>
      </c>
      <c r="K997" t="s">
        <v>18</v>
      </c>
      <c r="M997">
        <v>100</v>
      </c>
      <c r="N997" s="1">
        <v>45691</v>
      </c>
      <c r="O997" s="12"/>
    </row>
    <row r="998" spans="1:15" x14ac:dyDescent="0.25">
      <c r="A998" t="s">
        <v>7178</v>
      </c>
      <c r="B998" t="s">
        <v>704</v>
      </c>
      <c r="C998" t="s">
        <v>670</v>
      </c>
      <c r="D998" t="s">
        <v>5102</v>
      </c>
      <c r="E998" t="s">
        <v>7179</v>
      </c>
      <c r="F998" t="s">
        <v>555</v>
      </c>
      <c r="G998" s="1">
        <v>45672</v>
      </c>
      <c r="H998" s="1"/>
      <c r="I998" t="s">
        <v>1737</v>
      </c>
      <c r="J998" t="s">
        <v>29</v>
      </c>
      <c r="K998" t="s">
        <v>29</v>
      </c>
      <c r="M998">
        <v>100</v>
      </c>
      <c r="N998" s="1">
        <v>45681</v>
      </c>
      <c r="O998" s="12" t="s">
        <v>7180</v>
      </c>
    </row>
    <row r="999" spans="1:15" x14ac:dyDescent="0.25">
      <c r="A999" t="s">
        <v>7181</v>
      </c>
      <c r="B999" t="s">
        <v>24</v>
      </c>
      <c r="C999" t="s">
        <v>43</v>
      </c>
      <c r="D999" t="s">
        <v>582</v>
      </c>
      <c r="E999" t="s">
        <v>7182</v>
      </c>
      <c r="F999" t="s">
        <v>6587</v>
      </c>
      <c r="G999" s="1">
        <v>45673</v>
      </c>
      <c r="H999" s="1"/>
      <c r="I999" t="s">
        <v>1737</v>
      </c>
      <c r="J999" t="s">
        <v>29</v>
      </c>
      <c r="K999" t="s">
        <v>29</v>
      </c>
      <c r="M999">
        <v>100</v>
      </c>
      <c r="N999" s="1">
        <v>45775</v>
      </c>
      <c r="O999" s="12"/>
    </row>
    <row r="1000" spans="1:15" x14ac:dyDescent="0.25">
      <c r="A1000" t="s">
        <v>7183</v>
      </c>
      <c r="B1000" t="s">
        <v>167</v>
      </c>
      <c r="C1000" t="s">
        <v>411</v>
      </c>
      <c r="D1000" t="s">
        <v>817</v>
      </c>
      <c r="E1000" t="s">
        <v>7184</v>
      </c>
      <c r="F1000" t="s">
        <v>14</v>
      </c>
      <c r="G1000" s="1">
        <v>45673</v>
      </c>
      <c r="H1000" s="1"/>
      <c r="I1000" t="s">
        <v>1737</v>
      </c>
      <c r="J1000" t="s">
        <v>29</v>
      </c>
      <c r="K1000" t="s">
        <v>29</v>
      </c>
      <c r="M1000">
        <v>100</v>
      </c>
      <c r="N1000" s="1">
        <v>45312</v>
      </c>
      <c r="O1000" s="12"/>
    </row>
    <row r="1001" spans="1:15" x14ac:dyDescent="0.25">
      <c r="A1001" t="s">
        <v>7185</v>
      </c>
      <c r="B1001" t="s">
        <v>704</v>
      </c>
      <c r="C1001" t="s">
        <v>25</v>
      </c>
      <c r="D1001" t="s">
        <v>225</v>
      </c>
      <c r="E1001" t="s">
        <v>4721</v>
      </c>
      <c r="F1001" t="s">
        <v>7186</v>
      </c>
      <c r="G1001" s="1">
        <v>45677</v>
      </c>
      <c r="H1001" s="1"/>
      <c r="I1001" t="s">
        <v>1737</v>
      </c>
      <c r="J1001" t="s">
        <v>29</v>
      </c>
      <c r="K1001" t="s">
        <v>29</v>
      </c>
      <c r="M1001">
        <v>100</v>
      </c>
      <c r="N1001" s="1">
        <v>45776</v>
      </c>
      <c r="O1001" s="30" t="s">
        <v>7187</v>
      </c>
    </row>
    <row r="1002" spans="1:15" x14ac:dyDescent="0.25">
      <c r="A1002" t="s">
        <v>7188</v>
      </c>
      <c r="B1002" t="s">
        <v>7189</v>
      </c>
      <c r="C1002" t="s">
        <v>7190</v>
      </c>
      <c r="D1002" t="s">
        <v>475</v>
      </c>
      <c r="E1002" t="s">
        <v>7191</v>
      </c>
      <c r="F1002" t="s">
        <v>14</v>
      </c>
      <c r="G1002" s="1">
        <v>45658</v>
      </c>
      <c r="H1002" s="1"/>
      <c r="I1002" t="s">
        <v>1737</v>
      </c>
      <c r="J1002" t="s">
        <v>29</v>
      </c>
      <c r="K1002" t="s">
        <v>29</v>
      </c>
      <c r="M1002">
        <v>100</v>
      </c>
      <c r="N1002" s="1">
        <v>45680</v>
      </c>
      <c r="O1002" s="12"/>
    </row>
    <row r="1003" spans="1:15" x14ac:dyDescent="0.25">
      <c r="A1003" t="s">
        <v>7192</v>
      </c>
      <c r="B1003" t="s">
        <v>7189</v>
      </c>
      <c r="C1003" t="s">
        <v>32</v>
      </c>
      <c r="D1003" t="s">
        <v>475</v>
      </c>
      <c r="E1003" t="s">
        <v>7193</v>
      </c>
      <c r="F1003" t="s">
        <v>14</v>
      </c>
      <c r="G1003" s="1">
        <v>45675</v>
      </c>
      <c r="H1003" s="1"/>
      <c r="I1003" t="s">
        <v>1737</v>
      </c>
      <c r="J1003" t="s">
        <v>29</v>
      </c>
      <c r="K1003" t="s">
        <v>29</v>
      </c>
      <c r="M1003">
        <v>100</v>
      </c>
      <c r="N1003" s="1">
        <v>45680</v>
      </c>
      <c r="O1003" s="12"/>
    </row>
    <row r="1004" spans="1:15" x14ac:dyDescent="0.25">
      <c r="A1004" t="s">
        <v>7194</v>
      </c>
      <c r="B1004" t="s">
        <v>7189</v>
      </c>
      <c r="C1004" t="s">
        <v>32</v>
      </c>
      <c r="D1004" t="s">
        <v>475</v>
      </c>
      <c r="E1004" t="s">
        <v>7195</v>
      </c>
      <c r="F1004" t="s">
        <v>14</v>
      </c>
      <c r="G1004" s="1">
        <v>45681</v>
      </c>
      <c r="H1004" s="1"/>
      <c r="I1004" t="s">
        <v>1737</v>
      </c>
      <c r="J1004" t="s">
        <v>29</v>
      </c>
      <c r="K1004" t="s">
        <v>29</v>
      </c>
      <c r="M1004">
        <v>100</v>
      </c>
      <c r="N1004" s="1">
        <v>45694</v>
      </c>
      <c r="O1004" s="12"/>
    </row>
    <row r="1005" spans="1:15" x14ac:dyDescent="0.25">
      <c r="A1005" t="s">
        <v>7196</v>
      </c>
      <c r="B1005" t="s">
        <v>7189</v>
      </c>
      <c r="C1005" t="s">
        <v>32</v>
      </c>
      <c r="D1005" t="s">
        <v>475</v>
      </c>
      <c r="E1005" t="s">
        <v>7197</v>
      </c>
      <c r="F1005" t="s">
        <v>5885</v>
      </c>
      <c r="G1005" s="1">
        <v>45697</v>
      </c>
      <c r="H1005" s="1"/>
      <c r="I1005" t="s">
        <v>1737</v>
      </c>
      <c r="J1005" t="s">
        <v>29</v>
      </c>
      <c r="K1005" t="s">
        <v>29</v>
      </c>
      <c r="M1005">
        <v>100</v>
      </c>
      <c r="N1005" s="1">
        <v>45730</v>
      </c>
      <c r="O1005" s="12"/>
    </row>
    <row r="1006" spans="1:15" x14ac:dyDescent="0.25">
      <c r="A1006" t="s">
        <v>7198</v>
      </c>
      <c r="B1006" t="s">
        <v>7189</v>
      </c>
      <c r="C1006" t="s">
        <v>32</v>
      </c>
      <c r="D1006" t="s">
        <v>475</v>
      </c>
      <c r="E1006" t="s">
        <v>7199</v>
      </c>
      <c r="F1006" t="s">
        <v>5885</v>
      </c>
      <c r="G1006" s="1">
        <v>45703</v>
      </c>
      <c r="H1006" s="1"/>
      <c r="I1006" t="s">
        <v>1737</v>
      </c>
      <c r="J1006" t="s">
        <v>29</v>
      </c>
      <c r="K1006" t="s">
        <v>29</v>
      </c>
      <c r="M1006">
        <v>100</v>
      </c>
      <c r="N1006" s="1">
        <v>45749</v>
      </c>
      <c r="O1006" s="12"/>
    </row>
    <row r="1007" spans="1:15" x14ac:dyDescent="0.25">
      <c r="A1007" t="s">
        <v>7200</v>
      </c>
      <c r="B1007" t="s">
        <v>7189</v>
      </c>
      <c r="C1007" t="s">
        <v>32</v>
      </c>
      <c r="D1007" t="s">
        <v>475</v>
      </c>
      <c r="E1007" t="s">
        <v>7201</v>
      </c>
      <c r="F1007" t="s">
        <v>5885</v>
      </c>
      <c r="G1007" s="1">
        <v>45749</v>
      </c>
      <c r="H1007" s="1"/>
      <c r="I1007" t="s">
        <v>1737</v>
      </c>
      <c r="J1007" t="s">
        <v>29</v>
      </c>
      <c r="M1007">
        <v>100</v>
      </c>
      <c r="N1007" s="1">
        <v>45770</v>
      </c>
      <c r="O1007" s="12"/>
    </row>
    <row r="1008" spans="1:15" x14ac:dyDescent="0.25">
      <c r="A1008" t="s">
        <v>7202</v>
      </c>
      <c r="B1008" t="s">
        <v>325</v>
      </c>
      <c r="C1008" t="s">
        <v>32</v>
      </c>
      <c r="D1008" t="s">
        <v>475</v>
      </c>
      <c r="E1008" t="s">
        <v>7203</v>
      </c>
      <c r="F1008" t="s">
        <v>14</v>
      </c>
      <c r="G1008" s="1">
        <v>45770</v>
      </c>
      <c r="H1008" s="1"/>
      <c r="I1008" t="s">
        <v>1737</v>
      </c>
      <c r="J1008" t="s">
        <v>29</v>
      </c>
      <c r="M1008">
        <v>100</v>
      </c>
      <c r="N1008" s="1">
        <v>45770</v>
      </c>
      <c r="O1008" s="12"/>
    </row>
    <row r="1009" spans="1:15" x14ac:dyDescent="0.25">
      <c r="A1009" t="s">
        <v>7204</v>
      </c>
      <c r="B1009" t="s">
        <v>325</v>
      </c>
      <c r="C1009" t="s">
        <v>32</v>
      </c>
      <c r="D1009" t="s">
        <v>475</v>
      </c>
      <c r="E1009" t="s">
        <v>7205</v>
      </c>
      <c r="F1009" t="s">
        <v>14</v>
      </c>
      <c r="G1009" s="1">
        <v>45799</v>
      </c>
      <c r="H1009" s="1"/>
      <c r="I1009" t="s">
        <v>1737</v>
      </c>
      <c r="J1009" t="s">
        <v>29</v>
      </c>
      <c r="M1009">
        <v>100</v>
      </c>
      <c r="O1009" s="12"/>
    </row>
    <row r="1010" spans="1:15" x14ac:dyDescent="0.25">
      <c r="A1010" t="s">
        <v>7206</v>
      </c>
      <c r="B1010" t="s">
        <v>7189</v>
      </c>
      <c r="C1010" t="s">
        <v>32</v>
      </c>
      <c r="D1010" t="s">
        <v>475</v>
      </c>
      <c r="E1010" t="s">
        <v>7207</v>
      </c>
      <c r="F1010" t="s">
        <v>14</v>
      </c>
      <c r="G1010" s="1">
        <v>45809</v>
      </c>
      <c r="H1010" s="1"/>
      <c r="I1010" t="s">
        <v>1737</v>
      </c>
      <c r="J1010" t="s">
        <v>29</v>
      </c>
      <c r="M1010">
        <v>100</v>
      </c>
      <c r="N1010" s="1" t="s">
        <v>7208</v>
      </c>
      <c r="O1010" s="12"/>
    </row>
    <row r="1011" spans="1:15" x14ac:dyDescent="0.25">
      <c r="A1011" t="s">
        <v>7209</v>
      </c>
      <c r="B1011" t="s">
        <v>704</v>
      </c>
      <c r="C1011" t="s">
        <v>32</v>
      </c>
      <c r="D1011" t="s">
        <v>5156</v>
      </c>
      <c r="E1011" t="s">
        <v>7210</v>
      </c>
      <c r="F1011" t="s">
        <v>5413</v>
      </c>
      <c r="G1011" s="1">
        <v>45678</v>
      </c>
      <c r="H1011" s="1"/>
      <c r="I1011" t="s">
        <v>1737</v>
      </c>
      <c r="J1011" t="s">
        <v>29</v>
      </c>
      <c r="K1011" t="s">
        <v>29</v>
      </c>
      <c r="M1011">
        <v>100</v>
      </c>
      <c r="N1011" s="1">
        <v>45764</v>
      </c>
      <c r="O1011" s="30" t="s">
        <v>7211</v>
      </c>
    </row>
    <row r="1012" spans="1:15" x14ac:dyDescent="0.25">
      <c r="A1012" t="s">
        <v>7212</v>
      </c>
      <c r="B1012" t="s">
        <v>704</v>
      </c>
      <c r="C1012" t="s">
        <v>677</v>
      </c>
      <c r="D1012" t="s">
        <v>6877</v>
      </c>
      <c r="E1012" t="s">
        <v>7213</v>
      </c>
      <c r="F1012" t="s">
        <v>555</v>
      </c>
      <c r="G1012" s="1">
        <v>45678</v>
      </c>
      <c r="H1012" s="1"/>
      <c r="I1012" t="s">
        <v>1737</v>
      </c>
      <c r="J1012" t="s">
        <v>29</v>
      </c>
      <c r="K1012" t="s">
        <v>29</v>
      </c>
      <c r="M1012">
        <v>100</v>
      </c>
      <c r="N1012" s="1">
        <v>45681</v>
      </c>
      <c r="O1012" s="12"/>
    </row>
    <row r="1013" spans="1:15" x14ac:dyDescent="0.25">
      <c r="A1013" t="s">
        <v>7214</v>
      </c>
      <c r="B1013" t="s">
        <v>3898</v>
      </c>
      <c r="C1013" t="s">
        <v>539</v>
      </c>
      <c r="D1013" t="s">
        <v>540</v>
      </c>
      <c r="E1013" t="s">
        <v>7215</v>
      </c>
      <c r="F1013" t="s">
        <v>14</v>
      </c>
      <c r="G1013" s="1">
        <v>45678</v>
      </c>
      <c r="H1013" s="1"/>
      <c r="I1013" t="s">
        <v>1737</v>
      </c>
      <c r="J1013" t="s">
        <v>29</v>
      </c>
      <c r="K1013" t="s">
        <v>18</v>
      </c>
      <c r="M1013">
        <v>100</v>
      </c>
      <c r="N1013" s="1">
        <v>45679</v>
      </c>
      <c r="O1013" s="12"/>
    </row>
    <row r="1014" spans="1:15" ht="15.75" customHeight="1" x14ac:dyDescent="0.25">
      <c r="A1014" t="s">
        <v>7216</v>
      </c>
      <c r="B1014" t="s">
        <v>7217</v>
      </c>
      <c r="C1014" t="s">
        <v>4228</v>
      </c>
      <c r="D1014" t="s">
        <v>4229</v>
      </c>
      <c r="E1014" t="s">
        <v>7218</v>
      </c>
      <c r="F1014" t="s">
        <v>14</v>
      </c>
      <c r="G1014" s="1">
        <v>45679</v>
      </c>
      <c r="H1014" s="1"/>
      <c r="I1014" t="s">
        <v>1737</v>
      </c>
      <c r="J1014" t="s">
        <v>29</v>
      </c>
      <c r="K1014" t="s">
        <v>18</v>
      </c>
      <c r="M1014">
        <v>100</v>
      </c>
      <c r="N1014" s="1">
        <v>45679</v>
      </c>
      <c r="O1014" s="12"/>
    </row>
    <row r="1015" spans="1:15" x14ac:dyDescent="0.25">
      <c r="A1015" t="s">
        <v>7219</v>
      </c>
      <c r="B1015" t="s">
        <v>325</v>
      </c>
      <c r="C1015" t="s">
        <v>7220</v>
      </c>
      <c r="D1015" t="s">
        <v>7221</v>
      </c>
      <c r="E1015" t="s">
        <v>7222</v>
      </c>
      <c r="F1015" t="s">
        <v>14</v>
      </c>
      <c r="G1015" s="1">
        <v>45679</v>
      </c>
      <c r="H1015" s="1"/>
      <c r="I1015" t="s">
        <v>1737</v>
      </c>
      <c r="J1015" t="s">
        <v>29</v>
      </c>
      <c r="K1015" t="s">
        <v>18</v>
      </c>
      <c r="M1015">
        <v>100</v>
      </c>
      <c r="N1015" s="1">
        <v>45679</v>
      </c>
      <c r="O1015" s="12"/>
    </row>
    <row r="1016" spans="1:15" x14ac:dyDescent="0.25">
      <c r="A1016" t="s">
        <v>7223</v>
      </c>
      <c r="B1016" t="s">
        <v>621</v>
      </c>
      <c r="C1016" t="s">
        <v>3967</v>
      </c>
      <c r="D1016" t="s">
        <v>511</v>
      </c>
      <c r="E1016" t="s">
        <v>7224</v>
      </c>
      <c r="F1016" t="s">
        <v>14</v>
      </c>
      <c r="G1016" s="1">
        <v>45680</v>
      </c>
      <c r="H1016" s="1"/>
      <c r="I1016" t="s">
        <v>1737</v>
      </c>
      <c r="J1016" t="s">
        <v>29</v>
      </c>
      <c r="K1016" t="s">
        <v>29</v>
      </c>
      <c r="M1016">
        <v>100</v>
      </c>
      <c r="N1016" s="1">
        <v>45686</v>
      </c>
      <c r="O1016" s="12"/>
    </row>
    <row r="1017" spans="1:15" x14ac:dyDescent="0.25">
      <c r="A1017" t="s">
        <v>4367</v>
      </c>
      <c r="B1017" t="s">
        <v>7225</v>
      </c>
      <c r="C1017" t="s">
        <v>7226</v>
      </c>
      <c r="E1017" t="s">
        <v>7227</v>
      </c>
      <c r="F1017" t="s">
        <v>14</v>
      </c>
      <c r="G1017" s="1">
        <v>45679</v>
      </c>
      <c r="H1017" s="1"/>
      <c r="I1017" t="s">
        <v>1737</v>
      </c>
      <c r="J1017" t="s">
        <v>29</v>
      </c>
      <c r="K1017" t="s">
        <v>18</v>
      </c>
      <c r="O1017" s="12" t="s">
        <v>7228</v>
      </c>
    </row>
    <row r="1018" spans="1:15" x14ac:dyDescent="0.25">
      <c r="A1018" t="s">
        <v>7229</v>
      </c>
      <c r="B1018" t="s">
        <v>704</v>
      </c>
      <c r="C1018" t="s">
        <v>243</v>
      </c>
      <c r="D1018" t="s">
        <v>1198</v>
      </c>
      <c r="E1018" t="s">
        <v>7230</v>
      </c>
      <c r="F1018" t="s">
        <v>5844</v>
      </c>
      <c r="G1018" s="1">
        <v>45685</v>
      </c>
      <c r="H1018" s="1"/>
      <c r="I1018" t="s">
        <v>1737</v>
      </c>
      <c r="J1018" t="s">
        <v>29</v>
      </c>
      <c r="K1018" t="s">
        <v>29</v>
      </c>
      <c r="M1018">
        <v>100</v>
      </c>
      <c r="N1018" s="1">
        <v>45687</v>
      </c>
      <c r="O1018" s="12"/>
    </row>
    <row r="1019" spans="1:15" x14ac:dyDescent="0.25">
      <c r="A1019" t="s">
        <v>7231</v>
      </c>
      <c r="B1019" t="s">
        <v>704</v>
      </c>
      <c r="C1019" t="s">
        <v>670</v>
      </c>
      <c r="D1019" t="s">
        <v>671</v>
      </c>
      <c r="E1019" t="s">
        <v>7232</v>
      </c>
      <c r="F1019" t="s">
        <v>3148</v>
      </c>
      <c r="G1019" s="1">
        <v>45685</v>
      </c>
      <c r="H1019" s="1"/>
      <c r="I1019" t="s">
        <v>1737</v>
      </c>
      <c r="J1019" t="s">
        <v>29</v>
      </c>
      <c r="K1019" t="s">
        <v>29</v>
      </c>
      <c r="M1019">
        <v>100</v>
      </c>
      <c r="N1019" s="1">
        <v>45691</v>
      </c>
      <c r="O1019" s="12"/>
    </row>
    <row r="1020" spans="1:15" x14ac:dyDescent="0.25">
      <c r="A1020" t="s">
        <v>7233</v>
      </c>
      <c r="B1020" t="s">
        <v>621</v>
      </c>
      <c r="C1020" t="s">
        <v>7234</v>
      </c>
      <c r="D1020" t="s">
        <v>184</v>
      </c>
      <c r="E1020" t="s">
        <v>7235</v>
      </c>
      <c r="F1020" t="s">
        <v>14</v>
      </c>
      <c r="G1020" s="1">
        <v>45685</v>
      </c>
      <c r="H1020" s="1"/>
      <c r="I1020" t="s">
        <v>1737</v>
      </c>
      <c r="J1020" t="s">
        <v>29</v>
      </c>
      <c r="M1020">
        <v>100</v>
      </c>
      <c r="N1020" s="1">
        <v>45792</v>
      </c>
      <c r="O1020" s="12"/>
    </row>
    <row r="1021" spans="1:15" x14ac:dyDescent="0.25">
      <c r="A1021" t="s">
        <v>7236</v>
      </c>
      <c r="B1021" t="s">
        <v>13</v>
      </c>
      <c r="C1021" t="s">
        <v>1229</v>
      </c>
      <c r="D1021" t="s">
        <v>1230</v>
      </c>
      <c r="E1021" t="s">
        <v>7237</v>
      </c>
      <c r="F1021" t="s">
        <v>14</v>
      </c>
      <c r="G1021" s="1">
        <v>45685</v>
      </c>
      <c r="H1021" s="1"/>
      <c r="I1021" t="s">
        <v>1737</v>
      </c>
      <c r="J1021" t="s">
        <v>29</v>
      </c>
      <c r="K1021" t="s">
        <v>29</v>
      </c>
      <c r="M1021">
        <v>100</v>
      </c>
      <c r="N1021" s="1">
        <v>45792</v>
      </c>
      <c r="O1021" s="12"/>
    </row>
    <row r="1022" spans="1:15" ht="15.75" x14ac:dyDescent="0.25">
      <c r="A1022" t="s">
        <v>7238</v>
      </c>
      <c r="B1022" t="s">
        <v>704</v>
      </c>
      <c r="C1022" t="s">
        <v>243</v>
      </c>
      <c r="D1022" t="s">
        <v>7239</v>
      </c>
      <c r="E1022" t="s">
        <v>7240</v>
      </c>
      <c r="F1022" t="s">
        <v>7241</v>
      </c>
      <c r="G1022" s="1">
        <v>45688</v>
      </c>
      <c r="H1022" s="1"/>
      <c r="I1022" t="s">
        <v>1737</v>
      </c>
      <c r="J1022" t="s">
        <v>29</v>
      </c>
      <c r="K1022" t="s">
        <v>29</v>
      </c>
      <c r="M1022">
        <v>100</v>
      </c>
      <c r="N1022" s="1">
        <v>45736</v>
      </c>
      <c r="O1022" s="37" t="s">
        <v>7242</v>
      </c>
    </row>
    <row r="1023" spans="1:15" x14ac:dyDescent="0.25">
      <c r="A1023" t="s">
        <v>7243</v>
      </c>
      <c r="B1023" t="s">
        <v>135</v>
      </c>
      <c r="C1023" t="s">
        <v>997</v>
      </c>
      <c r="D1023" t="s">
        <v>150</v>
      </c>
      <c r="E1023" t="s">
        <v>7244</v>
      </c>
      <c r="F1023" t="s">
        <v>14</v>
      </c>
      <c r="G1023" s="1">
        <v>45688</v>
      </c>
      <c r="H1023" s="1"/>
      <c r="I1023" t="s">
        <v>1737</v>
      </c>
      <c r="J1023" t="s">
        <v>29</v>
      </c>
      <c r="K1023" t="s">
        <v>29</v>
      </c>
      <c r="M1023">
        <v>100</v>
      </c>
      <c r="O1023" s="12"/>
    </row>
    <row r="1024" spans="1:15" x14ac:dyDescent="0.25">
      <c r="A1024" t="s">
        <v>7245</v>
      </c>
      <c r="B1024" t="s">
        <v>6175</v>
      </c>
      <c r="C1024" t="s">
        <v>7175</v>
      </c>
      <c r="D1024" t="s">
        <v>7176</v>
      </c>
      <c r="E1024" t="s">
        <v>7246</v>
      </c>
      <c r="F1024" t="s">
        <v>14</v>
      </c>
      <c r="G1024" s="1">
        <v>45688</v>
      </c>
      <c r="H1024" s="1"/>
      <c r="I1024" t="s">
        <v>1737</v>
      </c>
      <c r="J1024" t="s">
        <v>29</v>
      </c>
      <c r="K1024" t="s">
        <v>29</v>
      </c>
      <c r="M1024">
        <v>100</v>
      </c>
      <c r="N1024" s="1">
        <v>45689</v>
      </c>
      <c r="O1024" s="12"/>
    </row>
    <row r="1025" spans="1:15" x14ac:dyDescent="0.25">
      <c r="A1025" t="s">
        <v>7247</v>
      </c>
      <c r="B1025" t="s">
        <v>474</v>
      </c>
      <c r="C1025" t="s">
        <v>539</v>
      </c>
      <c r="D1025" t="s">
        <v>540</v>
      </c>
      <c r="E1025" t="s">
        <v>7248</v>
      </c>
      <c r="F1025" t="s">
        <v>7249</v>
      </c>
      <c r="G1025" s="1">
        <v>45692</v>
      </c>
      <c r="H1025" s="1"/>
      <c r="I1025" t="s">
        <v>1737</v>
      </c>
      <c r="J1025" t="s">
        <v>29</v>
      </c>
      <c r="M1025">
        <v>100</v>
      </c>
      <c r="N1025" s="1">
        <v>45805</v>
      </c>
      <c r="O1025" s="12"/>
    </row>
    <row r="1026" spans="1:15" x14ac:dyDescent="0.25">
      <c r="A1026" t="s">
        <v>7250</v>
      </c>
      <c r="B1026" t="s">
        <v>704</v>
      </c>
      <c r="C1026" t="s">
        <v>578</v>
      </c>
      <c r="D1026" t="s">
        <v>284</v>
      </c>
      <c r="E1026" t="s">
        <v>7251</v>
      </c>
      <c r="F1026" t="s">
        <v>7252</v>
      </c>
      <c r="G1026" s="1">
        <v>45692</v>
      </c>
      <c r="H1026" s="1"/>
      <c r="I1026" t="s">
        <v>1737</v>
      </c>
      <c r="J1026" t="s">
        <v>29</v>
      </c>
      <c r="K1026" t="s">
        <v>29</v>
      </c>
      <c r="M1026">
        <v>100</v>
      </c>
      <c r="N1026" s="1">
        <v>45728</v>
      </c>
      <c r="O1026" s="30" t="s">
        <v>7253</v>
      </c>
    </row>
    <row r="1027" spans="1:15" x14ac:dyDescent="0.25">
      <c r="A1027" t="s">
        <v>7254</v>
      </c>
      <c r="B1027" t="s">
        <v>704</v>
      </c>
      <c r="C1027" t="s">
        <v>7255</v>
      </c>
      <c r="D1027" t="s">
        <v>7256</v>
      </c>
      <c r="E1027" t="s">
        <v>7257</v>
      </c>
      <c r="F1027" t="s">
        <v>7258</v>
      </c>
      <c r="G1027" s="1">
        <v>45693</v>
      </c>
      <c r="H1027" s="1"/>
      <c r="I1027" t="s">
        <v>1737</v>
      </c>
      <c r="J1027" t="s">
        <v>29</v>
      </c>
      <c r="K1027" t="s">
        <v>29</v>
      </c>
      <c r="M1027">
        <v>100</v>
      </c>
      <c r="N1027" s="1">
        <v>45779</v>
      </c>
    </row>
    <row r="1028" spans="1:15" x14ac:dyDescent="0.25">
      <c r="A1028" t="s">
        <v>7259</v>
      </c>
      <c r="B1028" t="s">
        <v>704</v>
      </c>
      <c r="C1028" t="s">
        <v>7260</v>
      </c>
      <c r="D1028" t="s">
        <v>408</v>
      </c>
      <c r="E1028" t="s">
        <v>7261</v>
      </c>
      <c r="F1028" t="s">
        <v>14</v>
      </c>
      <c r="G1028" s="1">
        <v>45693</v>
      </c>
      <c r="H1028" s="1"/>
      <c r="I1028" t="s">
        <v>1737</v>
      </c>
      <c r="J1028" t="s">
        <v>29</v>
      </c>
      <c r="M1028">
        <v>100</v>
      </c>
      <c r="N1028" s="1">
        <v>45693</v>
      </c>
    </row>
    <row r="1029" spans="1:15" x14ac:dyDescent="0.25">
      <c r="A1029" t="s">
        <v>7262</v>
      </c>
      <c r="B1029" t="s">
        <v>4137</v>
      </c>
      <c r="C1029" t="s">
        <v>7263</v>
      </c>
      <c r="D1029" t="s">
        <v>7264</v>
      </c>
      <c r="E1029" t="s">
        <v>7265</v>
      </c>
      <c r="F1029" t="s">
        <v>14</v>
      </c>
      <c r="G1029" s="1">
        <v>45691</v>
      </c>
      <c r="H1029" s="1"/>
      <c r="I1029" t="s">
        <v>1737</v>
      </c>
      <c r="J1029" t="s">
        <v>29</v>
      </c>
      <c r="K1029" t="s">
        <v>29</v>
      </c>
      <c r="M1029">
        <v>100</v>
      </c>
      <c r="N1029" s="1">
        <v>45694</v>
      </c>
      <c r="O1029" s="12"/>
    </row>
    <row r="1030" spans="1:15" x14ac:dyDescent="0.25">
      <c r="A1030" t="s">
        <v>7266</v>
      </c>
      <c r="B1030" t="s">
        <v>704</v>
      </c>
      <c r="C1030" t="s">
        <v>32</v>
      </c>
      <c r="D1030" t="s">
        <v>5559</v>
      </c>
      <c r="E1030" t="s">
        <v>5015</v>
      </c>
      <c r="F1030" t="s">
        <v>5831</v>
      </c>
      <c r="G1030" s="1">
        <v>45694</v>
      </c>
      <c r="H1030" s="1"/>
      <c r="I1030" t="s">
        <v>1737</v>
      </c>
      <c r="J1030" t="s">
        <v>29</v>
      </c>
      <c r="K1030" t="s">
        <v>29</v>
      </c>
      <c r="M1030">
        <v>100</v>
      </c>
      <c r="N1030" s="1">
        <v>45765</v>
      </c>
      <c r="O1030" s="30" t="s">
        <v>7267</v>
      </c>
    </row>
    <row r="1031" spans="1:15" x14ac:dyDescent="0.25">
      <c r="A1031" t="s">
        <v>7268</v>
      </c>
      <c r="B1031" t="s">
        <v>704</v>
      </c>
      <c r="C1031" t="s">
        <v>5188</v>
      </c>
      <c r="D1031" t="s">
        <v>5338</v>
      </c>
      <c r="E1031" t="s">
        <v>7269</v>
      </c>
      <c r="F1031" t="s">
        <v>5476</v>
      </c>
      <c r="G1031" s="1">
        <v>45695</v>
      </c>
      <c r="H1031" s="1"/>
      <c r="I1031" t="s">
        <v>1737</v>
      </c>
      <c r="J1031" t="s">
        <v>29</v>
      </c>
      <c r="K1031" t="s">
        <v>29</v>
      </c>
      <c r="L1031" t="s">
        <v>7270</v>
      </c>
      <c r="M1031">
        <v>100</v>
      </c>
      <c r="N1031" s="1">
        <v>45775</v>
      </c>
    </row>
    <row r="1032" spans="1:15" x14ac:dyDescent="0.25">
      <c r="A1032" t="s">
        <v>7271</v>
      </c>
      <c r="B1032" t="s">
        <v>325</v>
      </c>
      <c r="C1032" t="s">
        <v>4203</v>
      </c>
      <c r="D1032" t="s">
        <v>4229</v>
      </c>
      <c r="E1032" t="s">
        <v>7272</v>
      </c>
      <c r="F1032" t="s">
        <v>14</v>
      </c>
      <c r="G1032" s="1">
        <v>45691</v>
      </c>
      <c r="H1032" s="1"/>
      <c r="I1032" t="s">
        <v>2952</v>
      </c>
      <c r="J1032" t="s">
        <v>29</v>
      </c>
      <c r="O1032" s="12"/>
    </row>
    <row r="1033" spans="1:15" x14ac:dyDescent="0.25">
      <c r="A1033" t="s">
        <v>7273</v>
      </c>
      <c r="B1033" t="s">
        <v>704</v>
      </c>
      <c r="C1033" t="s">
        <v>670</v>
      </c>
      <c r="D1033" t="s">
        <v>7274</v>
      </c>
      <c r="E1033" t="s">
        <v>7113</v>
      </c>
      <c r="F1033" t="s">
        <v>5413</v>
      </c>
      <c r="G1033" s="1">
        <v>45695</v>
      </c>
      <c r="H1033" s="1"/>
      <c r="I1033" t="s">
        <v>1737</v>
      </c>
      <c r="J1033" t="s">
        <v>29</v>
      </c>
      <c r="K1033" t="s">
        <v>29</v>
      </c>
      <c r="M1033">
        <v>100</v>
      </c>
      <c r="N1033" s="1">
        <v>45768</v>
      </c>
      <c r="O1033" s="30">
        <v>419142130541</v>
      </c>
    </row>
    <row r="1034" spans="1:15" x14ac:dyDescent="0.25">
      <c r="A1034" t="s">
        <v>7275</v>
      </c>
      <c r="B1034" t="s">
        <v>704</v>
      </c>
      <c r="C1034" t="s">
        <v>670</v>
      </c>
      <c r="D1034" t="s">
        <v>7274</v>
      </c>
      <c r="E1034" t="s">
        <v>4773</v>
      </c>
      <c r="F1034" t="s">
        <v>5413</v>
      </c>
      <c r="G1034" s="1">
        <v>45701</v>
      </c>
      <c r="H1034" s="1"/>
      <c r="I1034" t="s">
        <v>1737</v>
      </c>
      <c r="J1034" t="s">
        <v>29</v>
      </c>
      <c r="M1034">
        <v>100</v>
      </c>
      <c r="N1034" s="1">
        <v>45735</v>
      </c>
    </row>
    <row r="1035" spans="1:15" x14ac:dyDescent="0.25">
      <c r="A1035" t="s">
        <v>7276</v>
      </c>
      <c r="B1035" t="s">
        <v>474</v>
      </c>
      <c r="C1035" t="s">
        <v>578</v>
      </c>
      <c r="D1035" t="s">
        <v>7277</v>
      </c>
      <c r="E1035" t="s">
        <v>7278</v>
      </c>
      <c r="F1035" s="1" t="s">
        <v>5885</v>
      </c>
      <c r="G1035" s="1">
        <v>45699</v>
      </c>
      <c r="I1035" t="s">
        <v>1737</v>
      </c>
      <c r="J1035" t="s">
        <v>29</v>
      </c>
      <c r="K1035" t="s">
        <v>29</v>
      </c>
      <c r="M1035">
        <v>100</v>
      </c>
      <c r="N1035" s="1" t="s">
        <v>7279</v>
      </c>
      <c r="O1035" s="12"/>
    </row>
    <row r="1036" spans="1:15" x14ac:dyDescent="0.25">
      <c r="A1036" t="s">
        <v>7280</v>
      </c>
      <c r="B1036" t="s">
        <v>704</v>
      </c>
      <c r="C1036" t="s">
        <v>677</v>
      </c>
      <c r="D1036" t="s">
        <v>7281</v>
      </c>
      <c r="E1036" t="s">
        <v>7282</v>
      </c>
      <c r="F1036" t="s">
        <v>5821</v>
      </c>
      <c r="G1036" s="1">
        <v>45705</v>
      </c>
      <c r="H1036" s="1"/>
      <c r="I1036" t="s">
        <v>1737</v>
      </c>
      <c r="J1036" t="s">
        <v>29</v>
      </c>
      <c r="M1036">
        <v>100</v>
      </c>
      <c r="N1036" s="1">
        <v>45775</v>
      </c>
      <c r="O1036" s="30" t="s">
        <v>7283</v>
      </c>
    </row>
    <row r="1037" spans="1:15" x14ac:dyDescent="0.25">
      <c r="A1037" t="s">
        <v>7284</v>
      </c>
      <c r="B1037" t="s">
        <v>704</v>
      </c>
      <c r="C1037" t="s">
        <v>677</v>
      </c>
      <c r="D1037" t="s">
        <v>7281</v>
      </c>
      <c r="E1037" t="s">
        <v>7282</v>
      </c>
      <c r="F1037" t="s">
        <v>5821</v>
      </c>
      <c r="G1037" s="1">
        <v>45713</v>
      </c>
      <c r="H1037" s="1"/>
      <c r="I1037" t="s">
        <v>1737</v>
      </c>
      <c r="J1037" t="s">
        <v>29</v>
      </c>
      <c r="K1037" t="s">
        <v>29</v>
      </c>
      <c r="M1037">
        <v>100</v>
      </c>
      <c r="N1037" s="1">
        <v>45775</v>
      </c>
      <c r="O1037" s="30" t="s">
        <v>7285</v>
      </c>
    </row>
    <row r="1038" spans="1:15" x14ac:dyDescent="0.25">
      <c r="A1038" t="s">
        <v>7286</v>
      </c>
      <c r="B1038" t="s">
        <v>621</v>
      </c>
      <c r="C1038" t="s">
        <v>411</v>
      </c>
      <c r="D1038" t="s">
        <v>7287</v>
      </c>
      <c r="E1038" t="s">
        <v>7288</v>
      </c>
      <c r="F1038" t="s">
        <v>14</v>
      </c>
      <c r="G1038" s="1">
        <v>45705</v>
      </c>
      <c r="H1038" s="1"/>
      <c r="I1038" t="s">
        <v>1737</v>
      </c>
      <c r="J1038" t="s">
        <v>29</v>
      </c>
      <c r="M1038">
        <v>100</v>
      </c>
      <c r="N1038" s="1">
        <v>45796</v>
      </c>
      <c r="O1038" s="12"/>
    </row>
    <row r="1039" spans="1:15" x14ac:dyDescent="0.25">
      <c r="A1039" t="s">
        <v>7289</v>
      </c>
      <c r="B1039" t="s">
        <v>704</v>
      </c>
      <c r="C1039" t="s">
        <v>243</v>
      </c>
      <c r="D1039" t="s">
        <v>6247</v>
      </c>
      <c r="E1039" t="s">
        <v>7290</v>
      </c>
      <c r="F1039" t="s">
        <v>6401</v>
      </c>
      <c r="G1039" s="1">
        <v>45707</v>
      </c>
      <c r="H1039" s="1"/>
      <c r="I1039" t="s">
        <v>1737</v>
      </c>
      <c r="J1039" t="s">
        <v>29</v>
      </c>
      <c r="K1039" t="s">
        <v>29</v>
      </c>
      <c r="M1039">
        <v>100</v>
      </c>
      <c r="N1039" s="1">
        <v>45768</v>
      </c>
      <c r="O1039" s="30" t="s">
        <v>7291</v>
      </c>
    </row>
    <row r="1040" spans="1:15" x14ac:dyDescent="0.25">
      <c r="A1040" t="s">
        <v>7292</v>
      </c>
      <c r="B1040" t="s">
        <v>704</v>
      </c>
      <c r="C1040" t="s">
        <v>163</v>
      </c>
      <c r="D1040" t="s">
        <v>5184</v>
      </c>
      <c r="E1040" t="s">
        <v>4699</v>
      </c>
      <c r="F1040" t="s">
        <v>659</v>
      </c>
      <c r="G1040" s="1">
        <v>45707</v>
      </c>
      <c r="H1040" s="1"/>
      <c r="I1040" t="s">
        <v>1737</v>
      </c>
      <c r="J1040" t="s">
        <v>29</v>
      </c>
      <c r="K1040" t="s">
        <v>29</v>
      </c>
      <c r="M1040">
        <v>100</v>
      </c>
      <c r="N1040" s="1">
        <v>45771</v>
      </c>
      <c r="O1040" s="30" t="s">
        <v>7293</v>
      </c>
    </row>
    <row r="1041" spans="1:15" x14ac:dyDescent="0.25">
      <c r="A1041" t="s">
        <v>7294</v>
      </c>
      <c r="B1041" t="s">
        <v>704</v>
      </c>
      <c r="C1041" t="s">
        <v>5517</v>
      </c>
      <c r="D1041" t="s">
        <v>6748</v>
      </c>
      <c r="E1041" t="s">
        <v>7295</v>
      </c>
      <c r="F1041" t="s">
        <v>3148</v>
      </c>
      <c r="G1041" s="1">
        <v>45707</v>
      </c>
      <c r="H1041" s="1"/>
      <c r="I1041" t="s">
        <v>1737</v>
      </c>
      <c r="J1041" t="s">
        <v>29</v>
      </c>
      <c r="K1041" t="s">
        <v>29</v>
      </c>
      <c r="M1041">
        <v>100</v>
      </c>
      <c r="N1041" s="1">
        <v>45735</v>
      </c>
    </row>
    <row r="1042" spans="1:15" x14ac:dyDescent="0.25">
      <c r="A1042" t="s">
        <v>7296</v>
      </c>
      <c r="B1042" t="s">
        <v>704</v>
      </c>
      <c r="C1042" t="s">
        <v>539</v>
      </c>
      <c r="D1042" t="s">
        <v>540</v>
      </c>
      <c r="E1042" t="s">
        <v>6944</v>
      </c>
      <c r="F1042" t="s">
        <v>14</v>
      </c>
      <c r="G1042" s="1">
        <v>45708</v>
      </c>
      <c r="H1042" s="1"/>
      <c r="I1042" t="s">
        <v>1737</v>
      </c>
      <c r="J1042" t="s">
        <v>29</v>
      </c>
      <c r="K1042" t="s">
        <v>29</v>
      </c>
      <c r="M1042">
        <v>100</v>
      </c>
      <c r="N1042" s="1">
        <v>45863</v>
      </c>
      <c r="O1042" s="30" t="s">
        <v>7297</v>
      </c>
    </row>
    <row r="1043" spans="1:15" x14ac:dyDescent="0.25">
      <c r="A1043" t="s">
        <v>7298</v>
      </c>
      <c r="B1043" t="s">
        <v>704</v>
      </c>
      <c r="C1043" t="s">
        <v>163</v>
      </c>
      <c r="D1043" t="s">
        <v>7102</v>
      </c>
      <c r="E1043" t="s">
        <v>7299</v>
      </c>
      <c r="F1043" t="s">
        <v>7300</v>
      </c>
      <c r="G1043" s="1">
        <v>45708</v>
      </c>
      <c r="H1043" s="1"/>
      <c r="I1043" t="s">
        <v>1737</v>
      </c>
      <c r="J1043" t="s">
        <v>29</v>
      </c>
      <c r="K1043" t="s">
        <v>29</v>
      </c>
      <c r="M1043">
        <v>100</v>
      </c>
      <c r="N1043" s="1">
        <v>45735</v>
      </c>
      <c r="O1043" s="30" t="s">
        <v>7301</v>
      </c>
    </row>
    <row r="1044" spans="1:15" x14ac:dyDescent="0.25">
      <c r="A1044" t="s">
        <v>7302</v>
      </c>
      <c r="B1044" t="s">
        <v>704</v>
      </c>
      <c r="C1044" t="s">
        <v>670</v>
      </c>
      <c r="D1044" t="s">
        <v>671</v>
      </c>
      <c r="E1044" t="s">
        <v>7100</v>
      </c>
      <c r="F1044" t="s">
        <v>5413</v>
      </c>
      <c r="G1044" s="1">
        <v>45708</v>
      </c>
      <c r="H1044" s="1"/>
      <c r="I1044" t="s">
        <v>1737</v>
      </c>
      <c r="J1044" t="s">
        <v>29</v>
      </c>
      <c r="M1044">
        <v>100</v>
      </c>
      <c r="N1044" s="1">
        <v>45735</v>
      </c>
    </row>
    <row r="1045" spans="1:15" x14ac:dyDescent="0.25">
      <c r="A1045" t="s">
        <v>7303</v>
      </c>
      <c r="B1045" t="s">
        <v>704</v>
      </c>
      <c r="C1045" t="s">
        <v>5049</v>
      </c>
      <c r="D1045" t="s">
        <v>5050</v>
      </c>
      <c r="E1045" t="s">
        <v>6373</v>
      </c>
      <c r="F1045" t="s">
        <v>5413</v>
      </c>
      <c r="G1045" s="1">
        <v>45709</v>
      </c>
      <c r="H1045" s="1"/>
      <c r="I1045" t="s">
        <v>1737</v>
      </c>
      <c r="J1045" t="s">
        <v>29</v>
      </c>
      <c r="K1045" t="s">
        <v>29</v>
      </c>
      <c r="M1045">
        <v>100</v>
      </c>
      <c r="N1045" s="1">
        <v>45775</v>
      </c>
      <c r="O1045" s="30" t="s">
        <v>7304</v>
      </c>
    </row>
    <row r="1046" spans="1:15" x14ac:dyDescent="0.25">
      <c r="A1046" t="s">
        <v>7305</v>
      </c>
      <c r="B1046" t="s">
        <v>704</v>
      </c>
      <c r="C1046" t="s">
        <v>243</v>
      </c>
      <c r="D1046" t="s">
        <v>6247</v>
      </c>
      <c r="E1046" t="s">
        <v>7306</v>
      </c>
      <c r="F1046" t="s">
        <v>5413</v>
      </c>
      <c r="G1046" s="1">
        <v>45709</v>
      </c>
      <c r="H1046" s="1"/>
      <c r="I1046" t="s">
        <v>1737</v>
      </c>
      <c r="J1046" t="s">
        <v>29</v>
      </c>
      <c r="K1046" t="s">
        <v>29</v>
      </c>
      <c r="M1046">
        <v>100</v>
      </c>
      <c r="N1046" s="1">
        <v>45735</v>
      </c>
      <c r="O1046" s="30" t="s">
        <v>7307</v>
      </c>
    </row>
    <row r="1047" spans="1:15" ht="15.75" customHeight="1" x14ac:dyDescent="0.25">
      <c r="A1047" t="s">
        <v>7308</v>
      </c>
      <c r="B1047" t="s">
        <v>704</v>
      </c>
      <c r="C1047" t="s">
        <v>243</v>
      </c>
      <c r="D1047" t="s">
        <v>6247</v>
      </c>
      <c r="E1047" t="s">
        <v>7309</v>
      </c>
      <c r="F1047" t="s">
        <v>14</v>
      </c>
      <c r="G1047" s="1">
        <v>45709</v>
      </c>
      <c r="H1047" s="1"/>
      <c r="I1047" t="s">
        <v>1737</v>
      </c>
      <c r="J1047" t="s">
        <v>29</v>
      </c>
      <c r="K1047" t="s">
        <v>29</v>
      </c>
      <c r="M1047">
        <v>100</v>
      </c>
      <c r="N1047" s="1">
        <v>45772</v>
      </c>
    </row>
    <row r="1048" spans="1:15" x14ac:dyDescent="0.25">
      <c r="A1048" t="s">
        <v>7310</v>
      </c>
      <c r="B1048" t="s">
        <v>704</v>
      </c>
      <c r="C1048" t="s">
        <v>4737</v>
      </c>
      <c r="D1048" t="s">
        <v>5380</v>
      </c>
      <c r="E1048" t="s">
        <v>7311</v>
      </c>
      <c r="F1048" t="s">
        <v>555</v>
      </c>
      <c r="G1048" s="1">
        <v>45712</v>
      </c>
      <c r="H1048" s="1"/>
      <c r="I1048" t="s">
        <v>1737</v>
      </c>
      <c r="J1048" t="s">
        <v>29</v>
      </c>
      <c r="K1048" t="s">
        <v>29</v>
      </c>
      <c r="M1048">
        <v>100</v>
      </c>
      <c r="N1048" s="1">
        <v>45712</v>
      </c>
    </row>
    <row r="1049" spans="1:15" x14ac:dyDescent="0.25">
      <c r="A1049" t="s">
        <v>7312</v>
      </c>
      <c r="B1049" t="s">
        <v>704</v>
      </c>
      <c r="C1049" t="s">
        <v>670</v>
      </c>
      <c r="D1049" t="s">
        <v>671</v>
      </c>
      <c r="E1049" t="s">
        <v>4773</v>
      </c>
      <c r="F1049" t="s">
        <v>670</v>
      </c>
      <c r="G1049" s="1">
        <v>45712</v>
      </c>
      <c r="H1049" s="1"/>
      <c r="I1049" t="s">
        <v>1737</v>
      </c>
      <c r="J1049" t="s">
        <v>29</v>
      </c>
      <c r="K1049" t="s">
        <v>29</v>
      </c>
      <c r="M1049">
        <v>100</v>
      </c>
      <c r="N1049" s="1">
        <v>45775</v>
      </c>
      <c r="O1049" s="30" t="s">
        <v>7313</v>
      </c>
    </row>
    <row r="1050" spans="1:15" x14ac:dyDescent="0.25">
      <c r="A1050" t="s">
        <v>7314</v>
      </c>
      <c r="B1050" t="s">
        <v>135</v>
      </c>
      <c r="C1050" t="s">
        <v>997</v>
      </c>
      <c r="D1050" t="s">
        <v>150</v>
      </c>
      <c r="E1050" t="s">
        <v>7315</v>
      </c>
      <c r="F1050" t="s">
        <v>14</v>
      </c>
      <c r="G1050" s="1">
        <v>45711</v>
      </c>
      <c r="H1050" s="1"/>
      <c r="I1050" t="s">
        <v>1737</v>
      </c>
      <c r="J1050" t="s">
        <v>29</v>
      </c>
      <c r="K1050" t="s">
        <v>29</v>
      </c>
      <c r="M1050">
        <v>100</v>
      </c>
      <c r="N1050" s="1">
        <v>45805</v>
      </c>
      <c r="O1050" s="12"/>
    </row>
    <row r="1051" spans="1:15" x14ac:dyDescent="0.25">
      <c r="A1051" t="s">
        <v>7316</v>
      </c>
      <c r="B1051" t="s">
        <v>325</v>
      </c>
      <c r="C1051" t="s">
        <v>1625</v>
      </c>
      <c r="D1051" t="s">
        <v>6116</v>
      </c>
      <c r="E1051" t="s">
        <v>7317</v>
      </c>
      <c r="F1051" t="s">
        <v>14</v>
      </c>
      <c r="G1051" s="1">
        <v>45712</v>
      </c>
      <c r="H1051" s="1"/>
      <c r="I1051" t="s">
        <v>1737</v>
      </c>
      <c r="J1051" t="s">
        <v>29</v>
      </c>
      <c r="M1051">
        <v>100</v>
      </c>
      <c r="N1051" s="1">
        <v>45715</v>
      </c>
      <c r="O1051" s="12"/>
    </row>
    <row r="1052" spans="1:15" x14ac:dyDescent="0.25">
      <c r="A1052" t="s">
        <v>7318</v>
      </c>
      <c r="B1052" t="s">
        <v>704</v>
      </c>
      <c r="C1052" t="s">
        <v>677</v>
      </c>
      <c r="D1052" t="s">
        <v>7281</v>
      </c>
      <c r="E1052" t="s">
        <v>7319</v>
      </c>
      <c r="F1052" t="s">
        <v>5821</v>
      </c>
      <c r="G1052" s="1">
        <v>45713</v>
      </c>
      <c r="H1052" s="1"/>
      <c r="I1052" t="s">
        <v>1737</v>
      </c>
      <c r="J1052" t="s">
        <v>29</v>
      </c>
      <c r="K1052" t="s">
        <v>29</v>
      </c>
      <c r="M1052">
        <v>100</v>
      </c>
      <c r="N1052" s="1">
        <v>45769</v>
      </c>
      <c r="O1052" s="30" t="s">
        <v>7320</v>
      </c>
    </row>
    <row r="1053" spans="1:15" x14ac:dyDescent="0.25">
      <c r="A1053" s="13" t="s">
        <v>7321</v>
      </c>
      <c r="B1053" s="13" t="s">
        <v>704</v>
      </c>
      <c r="C1053" s="13" t="s">
        <v>677</v>
      </c>
      <c r="D1053" s="13" t="s">
        <v>7281</v>
      </c>
      <c r="E1053" s="13" t="s">
        <v>7282</v>
      </c>
      <c r="F1053" s="13" t="s">
        <v>5821</v>
      </c>
      <c r="G1053" s="14">
        <v>45713</v>
      </c>
      <c r="H1053" s="14"/>
      <c r="I1053" s="13" t="s">
        <v>5148</v>
      </c>
      <c r="J1053" s="13" t="s">
        <v>18</v>
      </c>
      <c r="K1053" s="13" t="s">
        <v>29</v>
      </c>
      <c r="L1053" s="13"/>
      <c r="M1053" s="13"/>
      <c r="N1053" s="14"/>
      <c r="O1053" s="42" t="s">
        <v>7322</v>
      </c>
    </row>
    <row r="1054" spans="1:15" x14ac:dyDescent="0.25">
      <c r="A1054" s="13" t="s">
        <v>7323</v>
      </c>
      <c r="B1054" s="13" t="s">
        <v>704</v>
      </c>
      <c r="C1054" s="13" t="s">
        <v>677</v>
      </c>
      <c r="D1054" s="13" t="s">
        <v>7281</v>
      </c>
      <c r="E1054" s="13" t="s">
        <v>7324</v>
      </c>
      <c r="F1054" s="13" t="s">
        <v>5821</v>
      </c>
      <c r="G1054" s="14">
        <v>45716</v>
      </c>
      <c r="H1054" s="14"/>
      <c r="I1054" s="13" t="s">
        <v>5148</v>
      </c>
      <c r="J1054" s="13" t="s">
        <v>18</v>
      </c>
      <c r="K1054" s="13" t="s">
        <v>29</v>
      </c>
      <c r="L1054" s="13"/>
      <c r="M1054" s="13"/>
      <c r="N1054" s="14"/>
      <c r="O1054" s="42" t="s">
        <v>7325</v>
      </c>
    </row>
    <row r="1055" spans="1:15" x14ac:dyDescent="0.25">
      <c r="A1055" t="s">
        <v>7326</v>
      </c>
      <c r="B1055" t="s">
        <v>704</v>
      </c>
      <c r="C1055" t="s">
        <v>32</v>
      </c>
      <c r="D1055" t="s">
        <v>5749</v>
      </c>
      <c r="E1055" t="s">
        <v>1169</v>
      </c>
      <c r="F1055" t="s">
        <v>5728</v>
      </c>
      <c r="G1055" s="1">
        <v>45713</v>
      </c>
      <c r="H1055" s="1"/>
      <c r="I1055" t="s">
        <v>1737</v>
      </c>
      <c r="J1055" t="s">
        <v>29</v>
      </c>
      <c r="K1055" t="s">
        <v>29</v>
      </c>
      <c r="M1055">
        <v>100</v>
      </c>
      <c r="N1055" s="1">
        <v>45722</v>
      </c>
      <c r="O1055" s="12"/>
    </row>
    <row r="1056" spans="1:15" x14ac:dyDescent="0.25">
      <c r="A1056" t="s">
        <v>7327</v>
      </c>
      <c r="B1056" t="s">
        <v>704</v>
      </c>
      <c r="C1056" t="s">
        <v>32</v>
      </c>
      <c r="D1056" t="s">
        <v>5749</v>
      </c>
      <c r="E1056" t="s">
        <v>5110</v>
      </c>
      <c r="F1056" t="s">
        <v>5704</v>
      </c>
      <c r="G1056" s="1">
        <v>45713</v>
      </c>
      <c r="H1056" s="1"/>
      <c r="I1056" t="s">
        <v>1737</v>
      </c>
      <c r="J1056" t="s">
        <v>29</v>
      </c>
      <c r="K1056" t="s">
        <v>29</v>
      </c>
      <c r="M1056">
        <v>100</v>
      </c>
      <c r="N1056" s="1" t="s">
        <v>7328</v>
      </c>
    </row>
    <row r="1057" spans="1:15" x14ac:dyDescent="0.25">
      <c r="A1057" t="s">
        <v>7329</v>
      </c>
      <c r="B1057" t="s">
        <v>13</v>
      </c>
      <c r="C1057" t="s">
        <v>997</v>
      </c>
      <c r="D1057" t="s">
        <v>150</v>
      </c>
      <c r="E1057" t="s">
        <v>7330</v>
      </c>
      <c r="F1057" t="s">
        <v>14</v>
      </c>
      <c r="G1057" s="1">
        <v>45713</v>
      </c>
      <c r="H1057" s="1"/>
      <c r="I1057" t="s">
        <v>1737</v>
      </c>
      <c r="J1057" t="s">
        <v>29</v>
      </c>
      <c r="M1057">
        <v>100</v>
      </c>
      <c r="N1057" s="1">
        <v>45777</v>
      </c>
      <c r="O1057" s="12"/>
    </row>
    <row r="1058" spans="1:15" x14ac:dyDescent="0.25">
      <c r="A1058" t="s">
        <v>7331</v>
      </c>
      <c r="B1058" t="s">
        <v>13</v>
      </c>
      <c r="C1058" t="s">
        <v>1579</v>
      </c>
      <c r="D1058" t="s">
        <v>1580</v>
      </c>
      <c r="E1058" t="s">
        <v>7332</v>
      </c>
      <c r="F1058" t="s">
        <v>14</v>
      </c>
      <c r="G1058" s="1">
        <v>45714</v>
      </c>
      <c r="H1058" s="1"/>
      <c r="I1058" t="s">
        <v>1737</v>
      </c>
      <c r="J1058" t="s">
        <v>29</v>
      </c>
      <c r="M1058">
        <v>100</v>
      </c>
      <c r="N1058" s="1">
        <v>45793</v>
      </c>
      <c r="O1058" s="12"/>
    </row>
    <row r="1059" spans="1:15" ht="14.25" customHeight="1" x14ac:dyDescent="0.25">
      <c r="A1059" t="s">
        <v>7333</v>
      </c>
      <c r="B1059" t="s">
        <v>704</v>
      </c>
      <c r="C1059" t="s">
        <v>4737</v>
      </c>
      <c r="D1059" t="s">
        <v>5380</v>
      </c>
      <c r="E1059" t="s">
        <v>4715</v>
      </c>
      <c r="F1059" t="s">
        <v>555</v>
      </c>
      <c r="G1059" s="1">
        <v>45715</v>
      </c>
      <c r="H1059" s="1"/>
      <c r="I1059" t="s">
        <v>1737</v>
      </c>
      <c r="J1059" t="s">
        <v>29</v>
      </c>
      <c r="K1059" t="s">
        <v>29</v>
      </c>
      <c r="M1059">
        <v>100</v>
      </c>
      <c r="N1059" s="1">
        <v>45715</v>
      </c>
      <c r="O1059" s="30" t="s">
        <v>7334</v>
      </c>
    </row>
    <row r="1060" spans="1:15" x14ac:dyDescent="0.25">
      <c r="A1060" t="s">
        <v>7335</v>
      </c>
      <c r="B1060" t="s">
        <v>704</v>
      </c>
      <c r="C1060" t="s">
        <v>32</v>
      </c>
      <c r="D1060" t="s">
        <v>5749</v>
      </c>
      <c r="E1060" t="s">
        <v>7336</v>
      </c>
      <c r="F1060" t="s">
        <v>7337</v>
      </c>
      <c r="G1060" s="1">
        <v>45716</v>
      </c>
      <c r="H1060" s="1"/>
      <c r="I1060" t="s">
        <v>1737</v>
      </c>
      <c r="J1060" t="s">
        <v>29</v>
      </c>
      <c r="K1060" t="s">
        <v>29</v>
      </c>
      <c r="M1060">
        <v>100</v>
      </c>
      <c r="N1060" s="1">
        <v>45765</v>
      </c>
    </row>
    <row r="1061" spans="1:15" x14ac:dyDescent="0.25">
      <c r="A1061" t="s">
        <v>7338</v>
      </c>
      <c r="B1061" t="s">
        <v>704</v>
      </c>
      <c r="C1061" t="s">
        <v>6399</v>
      </c>
      <c r="D1061" t="s">
        <v>7017</v>
      </c>
      <c r="E1061" t="s">
        <v>4699</v>
      </c>
      <c r="F1061" t="s">
        <v>5646</v>
      </c>
      <c r="G1061" s="1">
        <v>45716</v>
      </c>
      <c r="H1061" s="1"/>
      <c r="I1061" t="s">
        <v>1737</v>
      </c>
      <c r="J1061" t="s">
        <v>29</v>
      </c>
      <c r="K1061" t="s">
        <v>29</v>
      </c>
      <c r="M1061">
        <v>100</v>
      </c>
      <c r="N1061" s="1">
        <v>45777</v>
      </c>
      <c r="O1061" s="30" t="s">
        <v>7304</v>
      </c>
    </row>
    <row r="1062" spans="1:15" x14ac:dyDescent="0.25">
      <c r="A1062" t="s">
        <v>7339</v>
      </c>
      <c r="B1062" t="s">
        <v>704</v>
      </c>
      <c r="C1062" t="s">
        <v>243</v>
      </c>
      <c r="D1062" t="s">
        <v>6247</v>
      </c>
      <c r="E1062" t="s">
        <v>7340</v>
      </c>
      <c r="F1062" t="s">
        <v>7341</v>
      </c>
      <c r="G1062" s="1">
        <v>45716</v>
      </c>
      <c r="H1062" s="1"/>
      <c r="I1062" t="s">
        <v>1737</v>
      </c>
      <c r="J1062" t="s">
        <v>29</v>
      </c>
      <c r="K1062" t="s">
        <v>29</v>
      </c>
      <c r="M1062">
        <v>100</v>
      </c>
      <c r="N1062" s="1">
        <v>45768</v>
      </c>
      <c r="O1062" s="30" t="s">
        <v>7342</v>
      </c>
    </row>
    <row r="1063" spans="1:15" x14ac:dyDescent="0.25">
      <c r="A1063" t="s">
        <v>7343</v>
      </c>
      <c r="B1063" t="s">
        <v>704</v>
      </c>
      <c r="C1063" t="s">
        <v>243</v>
      </c>
      <c r="D1063" t="s">
        <v>6247</v>
      </c>
      <c r="E1063" t="s">
        <v>7344</v>
      </c>
      <c r="F1063" t="s">
        <v>14</v>
      </c>
      <c r="G1063" s="1">
        <v>45716</v>
      </c>
      <c r="H1063" s="1"/>
      <c r="I1063" t="s">
        <v>1737</v>
      </c>
      <c r="J1063" t="s">
        <v>29</v>
      </c>
      <c r="K1063" t="s">
        <v>29</v>
      </c>
      <c r="M1063">
        <v>100</v>
      </c>
      <c r="N1063" s="1">
        <v>45720</v>
      </c>
      <c r="O1063" s="12"/>
    </row>
    <row r="1064" spans="1:15" x14ac:dyDescent="0.25">
      <c r="A1064" t="s">
        <v>7345</v>
      </c>
      <c r="B1064" t="s">
        <v>704</v>
      </c>
      <c r="C1064" t="s">
        <v>243</v>
      </c>
      <c r="D1064" t="s">
        <v>6247</v>
      </c>
      <c r="E1064" t="s">
        <v>7346</v>
      </c>
      <c r="F1064" t="s">
        <v>5454</v>
      </c>
      <c r="G1064" s="1">
        <v>45716</v>
      </c>
      <c r="H1064" s="1"/>
      <c r="I1064" t="s">
        <v>1737</v>
      </c>
      <c r="J1064" t="s">
        <v>29</v>
      </c>
      <c r="K1064" t="s">
        <v>29</v>
      </c>
      <c r="M1064">
        <v>100</v>
      </c>
      <c r="N1064" s="1">
        <v>45768</v>
      </c>
      <c r="O1064" s="30" t="s">
        <v>7347</v>
      </c>
    </row>
    <row r="1065" spans="1:15" ht="18" customHeight="1" x14ac:dyDescent="0.25">
      <c r="A1065" t="s">
        <v>7348</v>
      </c>
      <c r="B1065" t="s">
        <v>704</v>
      </c>
      <c r="C1065" t="s">
        <v>677</v>
      </c>
      <c r="D1065" t="s">
        <v>7281</v>
      </c>
      <c r="E1065" t="s">
        <v>7349</v>
      </c>
      <c r="F1065" t="s">
        <v>5821</v>
      </c>
      <c r="G1065" s="1">
        <v>45716</v>
      </c>
      <c r="H1065" s="1"/>
      <c r="I1065" t="s">
        <v>1737</v>
      </c>
      <c r="J1065" t="s">
        <v>29</v>
      </c>
      <c r="K1065" t="s">
        <v>29</v>
      </c>
      <c r="M1065">
        <v>100</v>
      </c>
      <c r="N1065" s="1">
        <v>45770</v>
      </c>
      <c r="O1065" s="30" t="s">
        <v>7350</v>
      </c>
    </row>
    <row r="1066" spans="1:15" x14ac:dyDescent="0.25">
      <c r="A1066" t="s">
        <v>7351</v>
      </c>
      <c r="B1066" t="s">
        <v>704</v>
      </c>
      <c r="C1066" t="s">
        <v>7352</v>
      </c>
      <c r="D1066" t="s">
        <v>7353</v>
      </c>
      <c r="E1066" t="s">
        <v>7354</v>
      </c>
      <c r="F1066" t="s">
        <v>5646</v>
      </c>
      <c r="G1066" s="1">
        <v>45719</v>
      </c>
      <c r="H1066" s="1"/>
      <c r="I1066" t="s">
        <v>1737</v>
      </c>
      <c r="J1066" t="s">
        <v>29</v>
      </c>
      <c r="K1066" t="s">
        <v>29</v>
      </c>
      <c r="M1066" s="5">
        <v>1</v>
      </c>
      <c r="N1066" s="1">
        <v>45720</v>
      </c>
      <c r="O1066" s="30" t="s">
        <v>7355</v>
      </c>
    </row>
    <row r="1067" spans="1:15" x14ac:dyDescent="0.25">
      <c r="A1067" t="s">
        <v>7356</v>
      </c>
      <c r="B1067" t="s">
        <v>704</v>
      </c>
      <c r="C1067" t="s">
        <v>32</v>
      </c>
      <c r="D1067" t="s">
        <v>5106</v>
      </c>
      <c r="E1067" t="s">
        <v>7357</v>
      </c>
      <c r="F1067" t="s">
        <v>5504</v>
      </c>
      <c r="G1067" s="1">
        <v>45719</v>
      </c>
      <c r="H1067" s="1"/>
      <c r="I1067" t="s">
        <v>1737</v>
      </c>
      <c r="J1067" t="s">
        <v>29</v>
      </c>
      <c r="K1067" t="s">
        <v>29</v>
      </c>
      <c r="M1067" s="5">
        <v>1</v>
      </c>
      <c r="N1067" s="1">
        <v>45814</v>
      </c>
      <c r="O1067" s="30" t="s">
        <v>7358</v>
      </c>
    </row>
    <row r="1068" spans="1:15" x14ac:dyDescent="0.25">
      <c r="A1068" t="s">
        <v>7359</v>
      </c>
      <c r="B1068" t="s">
        <v>704</v>
      </c>
      <c r="C1068" t="s">
        <v>243</v>
      </c>
      <c r="D1068" t="s">
        <v>244</v>
      </c>
      <c r="E1068" t="s">
        <v>7360</v>
      </c>
      <c r="F1068" t="s">
        <v>555</v>
      </c>
      <c r="G1068" s="1">
        <v>45721</v>
      </c>
      <c r="H1068" s="1"/>
      <c r="I1068" t="s">
        <v>1737</v>
      </c>
      <c r="J1068" t="s">
        <v>29</v>
      </c>
      <c r="K1068" t="s">
        <v>29</v>
      </c>
      <c r="M1068">
        <v>100</v>
      </c>
      <c r="N1068" s="1">
        <v>45768</v>
      </c>
      <c r="O1068" s="30" t="s">
        <v>7361</v>
      </c>
    </row>
    <row r="1069" spans="1:15" x14ac:dyDescent="0.25">
      <c r="A1069" t="s">
        <v>7362</v>
      </c>
      <c r="B1069" t="s">
        <v>3932</v>
      </c>
      <c r="C1069" t="s">
        <v>578</v>
      </c>
      <c r="D1069" t="s">
        <v>921</v>
      </c>
      <c r="E1069" t="s">
        <v>7363</v>
      </c>
      <c r="F1069" t="s">
        <v>14</v>
      </c>
      <c r="G1069" s="1">
        <v>45721</v>
      </c>
      <c r="H1069" s="1"/>
      <c r="I1069" t="s">
        <v>1737</v>
      </c>
      <c r="J1069" t="s">
        <v>29</v>
      </c>
      <c r="K1069" t="s">
        <v>29</v>
      </c>
      <c r="L1069" s="34" t="s">
        <v>1292</v>
      </c>
      <c r="M1069">
        <v>100</v>
      </c>
      <c r="N1069" s="1">
        <v>45776</v>
      </c>
      <c r="O1069" s="12"/>
    </row>
    <row r="1070" spans="1:15" x14ac:dyDescent="0.25">
      <c r="A1070" t="s">
        <v>7364</v>
      </c>
      <c r="B1070" t="s">
        <v>325</v>
      </c>
      <c r="C1070" t="s">
        <v>539</v>
      </c>
      <c r="D1070" t="s">
        <v>7365</v>
      </c>
      <c r="E1070" t="s">
        <v>7366</v>
      </c>
      <c r="F1070" t="s">
        <v>14</v>
      </c>
      <c r="G1070" s="1">
        <v>45726</v>
      </c>
      <c r="H1070" s="1"/>
      <c r="I1070" t="s">
        <v>1737</v>
      </c>
      <c r="J1070" t="s">
        <v>29</v>
      </c>
      <c r="M1070">
        <v>100</v>
      </c>
      <c r="N1070" s="1">
        <v>45775</v>
      </c>
      <c r="O1070" s="12"/>
    </row>
    <row r="1071" spans="1:15" x14ac:dyDescent="0.25">
      <c r="A1071" t="s">
        <v>7367</v>
      </c>
      <c r="B1071" t="s">
        <v>474</v>
      </c>
      <c r="C1071" t="s">
        <v>177</v>
      </c>
      <c r="D1071" t="s">
        <v>7020</v>
      </c>
      <c r="E1071" t="s">
        <v>7368</v>
      </c>
      <c r="F1071" t="s">
        <v>7022</v>
      </c>
      <c r="G1071" s="1">
        <v>45706</v>
      </c>
      <c r="H1071" s="1"/>
      <c r="I1071" t="s">
        <v>1737</v>
      </c>
      <c r="J1071" t="s">
        <v>29</v>
      </c>
      <c r="M1071">
        <v>100</v>
      </c>
      <c r="N1071" s="1">
        <v>45827</v>
      </c>
      <c r="O1071" s="12"/>
    </row>
    <row r="1072" spans="1:15" ht="14.25" customHeight="1" x14ac:dyDescent="0.25">
      <c r="A1072" t="s">
        <v>7369</v>
      </c>
      <c r="B1072" t="s">
        <v>474</v>
      </c>
      <c r="C1072" t="s">
        <v>177</v>
      </c>
      <c r="D1072" t="s">
        <v>7370</v>
      </c>
      <c r="E1072" t="s">
        <v>7371</v>
      </c>
      <c r="F1072" t="s">
        <v>7022</v>
      </c>
      <c r="G1072" s="1">
        <v>45716</v>
      </c>
      <c r="H1072" s="1"/>
      <c r="I1072" t="s">
        <v>1737</v>
      </c>
      <c r="J1072" t="s">
        <v>29</v>
      </c>
      <c r="M1072">
        <v>100</v>
      </c>
      <c r="N1072" s="1">
        <v>45979</v>
      </c>
      <c r="O1072" s="12"/>
    </row>
    <row r="1073" spans="1:15" x14ac:dyDescent="0.25">
      <c r="A1073" t="s">
        <v>7372</v>
      </c>
      <c r="B1073" t="s">
        <v>704</v>
      </c>
      <c r="C1073" t="s">
        <v>32</v>
      </c>
      <c r="D1073" t="s">
        <v>5749</v>
      </c>
      <c r="E1073" t="s">
        <v>7074</v>
      </c>
      <c r="F1073" t="s">
        <v>6109</v>
      </c>
      <c r="G1073" s="1">
        <v>45727</v>
      </c>
      <c r="H1073" s="1"/>
      <c r="I1073" t="s">
        <v>1737</v>
      </c>
      <c r="J1073" t="s">
        <v>29</v>
      </c>
      <c r="K1073" t="s">
        <v>29</v>
      </c>
      <c r="M1073" s="5">
        <v>1</v>
      </c>
      <c r="N1073" s="1">
        <v>45765</v>
      </c>
      <c r="O1073" s="29">
        <v>45737</v>
      </c>
    </row>
    <row r="1074" spans="1:15" ht="13.5" customHeight="1" x14ac:dyDescent="0.25">
      <c r="A1074" t="s">
        <v>7373</v>
      </c>
      <c r="B1074" t="s">
        <v>704</v>
      </c>
      <c r="C1074" t="s">
        <v>670</v>
      </c>
      <c r="D1074" t="s">
        <v>671</v>
      </c>
      <c r="E1074" t="s">
        <v>5047</v>
      </c>
      <c r="F1074" t="s">
        <v>5413</v>
      </c>
      <c r="G1074" s="1">
        <v>45727</v>
      </c>
      <c r="H1074" s="1"/>
      <c r="I1074" t="s">
        <v>1737</v>
      </c>
      <c r="J1074" t="s">
        <v>29</v>
      </c>
      <c r="K1074" t="s">
        <v>29</v>
      </c>
      <c r="M1074">
        <v>100</v>
      </c>
      <c r="N1074" s="1">
        <v>45775</v>
      </c>
      <c r="O1074" s="12" t="s">
        <v>7374</v>
      </c>
    </row>
    <row r="1075" spans="1:15" x14ac:dyDescent="0.25">
      <c r="A1075" t="s">
        <v>7375</v>
      </c>
      <c r="B1075" t="s">
        <v>704</v>
      </c>
      <c r="C1075" t="s">
        <v>32</v>
      </c>
      <c r="D1075" t="s">
        <v>5749</v>
      </c>
      <c r="E1075" t="s">
        <v>6321</v>
      </c>
      <c r="F1075" t="s">
        <v>5728</v>
      </c>
      <c r="G1075" s="1">
        <v>45730</v>
      </c>
      <c r="H1075" s="1"/>
      <c r="I1075" t="s">
        <v>1737</v>
      </c>
      <c r="J1075" t="s">
        <v>29</v>
      </c>
      <c r="K1075" t="s">
        <v>29</v>
      </c>
      <c r="M1075" s="5">
        <v>1</v>
      </c>
      <c r="N1075" s="1">
        <v>45765</v>
      </c>
      <c r="O1075" s="12" t="s">
        <v>7376</v>
      </c>
    </row>
    <row r="1076" spans="1:15" x14ac:dyDescent="0.25">
      <c r="A1076" t="s">
        <v>7377</v>
      </c>
      <c r="B1076" t="s">
        <v>13</v>
      </c>
      <c r="C1076" t="s">
        <v>32</v>
      </c>
      <c r="D1076" t="s">
        <v>7378</v>
      </c>
      <c r="E1076" t="s">
        <v>7379</v>
      </c>
      <c r="F1076" t="s">
        <v>7380</v>
      </c>
      <c r="G1076" s="1">
        <v>45728</v>
      </c>
      <c r="H1076" s="1"/>
      <c r="I1076" t="s">
        <v>1737</v>
      </c>
      <c r="J1076" t="s">
        <v>29</v>
      </c>
      <c r="M1076">
        <v>100</v>
      </c>
      <c r="N1076" s="1">
        <v>45776</v>
      </c>
      <c r="O1076" s="12"/>
    </row>
    <row r="1077" spans="1:15" x14ac:dyDescent="0.25">
      <c r="A1077" t="s">
        <v>7381</v>
      </c>
      <c r="B1077" t="s">
        <v>704</v>
      </c>
      <c r="C1077" t="s">
        <v>677</v>
      </c>
      <c r="D1077" t="s">
        <v>6877</v>
      </c>
      <c r="E1077" t="s">
        <v>4715</v>
      </c>
      <c r="F1077" t="s">
        <v>555</v>
      </c>
      <c r="G1077" s="1">
        <v>45730</v>
      </c>
      <c r="H1077" s="1"/>
      <c r="I1077" t="s">
        <v>1737</v>
      </c>
      <c r="J1077" t="s">
        <v>29</v>
      </c>
      <c r="K1077" t="s">
        <v>29</v>
      </c>
      <c r="M1077">
        <v>100</v>
      </c>
      <c r="N1077" s="1">
        <v>45771</v>
      </c>
      <c r="O1077" s="12" t="s">
        <v>7382</v>
      </c>
    </row>
    <row r="1078" spans="1:15" x14ac:dyDescent="0.25">
      <c r="A1078" t="s">
        <v>7383</v>
      </c>
      <c r="B1078" t="s">
        <v>704</v>
      </c>
      <c r="C1078" t="s">
        <v>670</v>
      </c>
      <c r="D1078" t="s">
        <v>671</v>
      </c>
      <c r="E1078" t="s">
        <v>7384</v>
      </c>
      <c r="F1078" t="s">
        <v>5413</v>
      </c>
      <c r="G1078" s="1">
        <v>45730</v>
      </c>
      <c r="H1078" s="1"/>
      <c r="I1078" t="s">
        <v>1737</v>
      </c>
      <c r="J1078" t="s">
        <v>29</v>
      </c>
      <c r="K1078" t="s">
        <v>29</v>
      </c>
      <c r="M1078">
        <v>100</v>
      </c>
      <c r="N1078" s="1">
        <v>45775</v>
      </c>
      <c r="O1078" s="12" t="s">
        <v>7385</v>
      </c>
    </row>
    <row r="1079" spans="1:15" x14ac:dyDescent="0.25">
      <c r="A1079" t="s">
        <v>7386</v>
      </c>
      <c r="B1079" t="s">
        <v>704</v>
      </c>
      <c r="C1079" t="s">
        <v>243</v>
      </c>
      <c r="D1079" t="s">
        <v>244</v>
      </c>
      <c r="E1079" t="s">
        <v>7387</v>
      </c>
      <c r="F1079" t="s">
        <v>7388</v>
      </c>
      <c r="G1079" s="1">
        <v>45733</v>
      </c>
      <c r="H1079" s="1"/>
      <c r="I1079" t="s">
        <v>1737</v>
      </c>
      <c r="J1079" t="s">
        <v>29</v>
      </c>
      <c r="K1079" t="s">
        <v>29</v>
      </c>
      <c r="M1079">
        <v>100</v>
      </c>
      <c r="N1079" s="1">
        <v>45790</v>
      </c>
      <c r="O1079" s="39"/>
    </row>
    <row r="1080" spans="1:15" x14ac:dyDescent="0.25">
      <c r="A1080" t="s">
        <v>7389</v>
      </c>
      <c r="B1080" t="s">
        <v>704</v>
      </c>
      <c r="C1080" t="s">
        <v>32</v>
      </c>
      <c r="D1080" t="s">
        <v>475</v>
      </c>
      <c r="E1080" t="s">
        <v>7390</v>
      </c>
      <c r="F1080" t="s">
        <v>3148</v>
      </c>
      <c r="G1080" s="1">
        <v>45733</v>
      </c>
      <c r="H1080" s="1"/>
      <c r="I1080" t="s">
        <v>1737</v>
      </c>
      <c r="J1080" t="s">
        <v>29</v>
      </c>
      <c r="K1080" t="s">
        <v>29</v>
      </c>
      <c r="M1080" s="5">
        <v>1</v>
      </c>
      <c r="N1080" s="1">
        <v>45765</v>
      </c>
      <c r="O1080" s="12" t="s">
        <v>7304</v>
      </c>
    </row>
    <row r="1081" spans="1:15" x14ac:dyDescent="0.25">
      <c r="A1081" t="s">
        <v>7391</v>
      </c>
      <c r="B1081" t="s">
        <v>704</v>
      </c>
      <c r="C1081" t="s">
        <v>243</v>
      </c>
      <c r="D1081" t="s">
        <v>6247</v>
      </c>
      <c r="E1081" t="s">
        <v>7392</v>
      </c>
      <c r="F1081" t="s">
        <v>7393</v>
      </c>
      <c r="G1081" s="1">
        <v>45734</v>
      </c>
      <c r="H1081" s="1"/>
      <c r="I1081" t="s">
        <v>2762</v>
      </c>
      <c r="J1081" t="s">
        <v>29</v>
      </c>
      <c r="K1081" t="s">
        <v>29</v>
      </c>
      <c r="M1081">
        <v>100</v>
      </c>
      <c r="N1081" s="1">
        <v>45769</v>
      </c>
      <c r="O1081" s="12" t="s">
        <v>7382</v>
      </c>
    </row>
    <row r="1082" spans="1:15" x14ac:dyDescent="0.25">
      <c r="A1082" t="s">
        <v>7394</v>
      </c>
      <c r="B1082" t="s">
        <v>704</v>
      </c>
      <c r="C1082" t="s">
        <v>677</v>
      </c>
      <c r="D1082" t="s">
        <v>7395</v>
      </c>
      <c r="E1082" t="s">
        <v>7396</v>
      </c>
      <c r="F1082" t="s">
        <v>555</v>
      </c>
      <c r="G1082" s="1">
        <v>45737</v>
      </c>
      <c r="H1082" s="1"/>
      <c r="I1082" t="s">
        <v>1737</v>
      </c>
      <c r="J1082" t="s">
        <v>29</v>
      </c>
      <c r="K1082" t="s">
        <v>29</v>
      </c>
      <c r="M1082">
        <v>100</v>
      </c>
      <c r="N1082" s="1">
        <v>45769</v>
      </c>
      <c r="O1082" s="12" t="s">
        <v>7397</v>
      </c>
    </row>
    <row r="1083" spans="1:15" x14ac:dyDescent="0.25">
      <c r="A1083" t="s">
        <v>7398</v>
      </c>
      <c r="B1083" t="s">
        <v>704</v>
      </c>
      <c r="C1083" t="s">
        <v>677</v>
      </c>
      <c r="D1083" t="s">
        <v>7395</v>
      </c>
      <c r="E1083" t="s">
        <v>4699</v>
      </c>
      <c r="F1083" t="s">
        <v>5821</v>
      </c>
      <c r="G1083" s="1">
        <v>45737</v>
      </c>
      <c r="H1083" s="1"/>
      <c r="I1083" t="s">
        <v>1737</v>
      </c>
      <c r="J1083" t="s">
        <v>29</v>
      </c>
      <c r="K1083" t="s">
        <v>29</v>
      </c>
      <c r="M1083">
        <v>100</v>
      </c>
      <c r="N1083" s="1">
        <v>45770</v>
      </c>
      <c r="O1083" s="12"/>
    </row>
    <row r="1084" spans="1:15" x14ac:dyDescent="0.25">
      <c r="A1084" t="s">
        <v>7399</v>
      </c>
      <c r="B1084" t="s">
        <v>704</v>
      </c>
      <c r="C1084" t="s">
        <v>32</v>
      </c>
      <c r="D1084" t="s">
        <v>475</v>
      </c>
      <c r="E1084" t="s">
        <v>7400</v>
      </c>
      <c r="F1084" t="s">
        <v>6109</v>
      </c>
      <c r="G1084" s="1">
        <v>45741</v>
      </c>
      <c r="H1084" s="1"/>
      <c r="I1084" t="s">
        <v>1737</v>
      </c>
      <c r="J1084" t="s">
        <v>29</v>
      </c>
      <c r="K1084" t="s">
        <v>29</v>
      </c>
      <c r="M1084" s="5">
        <v>1</v>
      </c>
      <c r="N1084" s="1">
        <v>45765</v>
      </c>
      <c r="O1084" s="12" t="s">
        <v>7401</v>
      </c>
    </row>
    <row r="1085" spans="1:15" ht="15.75" customHeight="1" x14ac:dyDescent="0.25">
      <c r="A1085" t="s">
        <v>7402</v>
      </c>
      <c r="B1085" t="s">
        <v>704</v>
      </c>
      <c r="C1085" t="s">
        <v>670</v>
      </c>
      <c r="D1085" t="s">
        <v>5102</v>
      </c>
      <c r="E1085" t="s">
        <v>7403</v>
      </c>
      <c r="F1085" t="s">
        <v>7404</v>
      </c>
      <c r="G1085" s="1">
        <v>45741</v>
      </c>
      <c r="H1085" s="1"/>
      <c r="I1085" t="s">
        <v>1737</v>
      </c>
      <c r="J1085" t="s">
        <v>29</v>
      </c>
      <c r="K1085" t="s">
        <v>29</v>
      </c>
      <c r="M1085">
        <v>100</v>
      </c>
      <c r="N1085" s="1">
        <v>45769</v>
      </c>
      <c r="O1085" s="12" t="s">
        <v>7405</v>
      </c>
    </row>
    <row r="1086" spans="1:15" x14ac:dyDescent="0.25">
      <c r="A1086" t="s">
        <v>7406</v>
      </c>
      <c r="B1086" t="s">
        <v>704</v>
      </c>
      <c r="C1086" t="s">
        <v>32</v>
      </c>
      <c r="D1086" t="s">
        <v>5749</v>
      </c>
      <c r="E1086" t="s">
        <v>7407</v>
      </c>
      <c r="F1086" t="s">
        <v>5728</v>
      </c>
      <c r="G1086" s="1">
        <v>45743</v>
      </c>
      <c r="H1086" s="1"/>
      <c r="I1086" t="s">
        <v>1737</v>
      </c>
      <c r="J1086" t="s">
        <v>29</v>
      </c>
      <c r="K1086" t="s">
        <v>29</v>
      </c>
      <c r="M1086">
        <v>100</v>
      </c>
      <c r="N1086" s="1">
        <v>45768</v>
      </c>
      <c r="O1086" s="12" t="s">
        <v>7405</v>
      </c>
    </row>
    <row r="1087" spans="1:15" x14ac:dyDescent="0.25">
      <c r="A1087" t="s">
        <v>7408</v>
      </c>
      <c r="B1087" t="s">
        <v>704</v>
      </c>
      <c r="C1087" t="s">
        <v>7352</v>
      </c>
      <c r="D1087" t="s">
        <v>7409</v>
      </c>
      <c r="E1087" t="s">
        <v>7410</v>
      </c>
      <c r="F1087" t="s">
        <v>14</v>
      </c>
      <c r="G1087" s="1">
        <v>45743</v>
      </c>
      <c r="H1087" s="1"/>
      <c r="I1087" t="s">
        <v>1737</v>
      </c>
      <c r="J1087" t="s">
        <v>29</v>
      </c>
      <c r="K1087" t="s">
        <v>29</v>
      </c>
      <c r="M1087" s="5"/>
      <c r="O1087" s="12" t="s">
        <v>7411</v>
      </c>
    </row>
    <row r="1088" spans="1:15" x14ac:dyDescent="0.25">
      <c r="A1088" t="s">
        <v>7412</v>
      </c>
      <c r="B1088" t="s">
        <v>704</v>
      </c>
      <c r="C1088" t="s">
        <v>677</v>
      </c>
      <c r="D1088" t="s">
        <v>7413</v>
      </c>
      <c r="E1088" t="s">
        <v>7414</v>
      </c>
      <c r="F1088" t="s">
        <v>555</v>
      </c>
      <c r="G1088" s="1">
        <v>45748</v>
      </c>
      <c r="H1088" s="1"/>
      <c r="I1088" t="s">
        <v>1737</v>
      </c>
      <c r="J1088" t="s">
        <v>29</v>
      </c>
      <c r="K1088" t="s">
        <v>29</v>
      </c>
      <c r="M1088">
        <v>100</v>
      </c>
      <c r="N1088" s="1">
        <v>45777</v>
      </c>
      <c r="O1088" s="12" t="s">
        <v>7415</v>
      </c>
    </row>
    <row r="1089" spans="1:15" x14ac:dyDescent="0.25">
      <c r="A1089" t="s">
        <v>7416</v>
      </c>
      <c r="B1089" t="s">
        <v>704</v>
      </c>
      <c r="C1089" s="13" t="s">
        <v>4737</v>
      </c>
      <c r="D1089" s="13" t="s">
        <v>5380</v>
      </c>
      <c r="E1089" s="13" t="s">
        <v>4715</v>
      </c>
      <c r="F1089" s="13" t="s">
        <v>555</v>
      </c>
      <c r="G1089" s="1">
        <v>45749</v>
      </c>
      <c r="H1089" s="1"/>
      <c r="I1089" t="s">
        <v>2762</v>
      </c>
      <c r="J1089" t="s">
        <v>29</v>
      </c>
      <c r="K1089" t="s">
        <v>29</v>
      </c>
      <c r="O1089" s="12" t="s">
        <v>7417</v>
      </c>
    </row>
    <row r="1090" spans="1:15" x14ac:dyDescent="0.25">
      <c r="A1090" t="s">
        <v>7418</v>
      </c>
      <c r="B1090" t="s">
        <v>704</v>
      </c>
      <c r="C1090" t="s">
        <v>243</v>
      </c>
      <c r="D1090" t="s">
        <v>244</v>
      </c>
      <c r="E1090" t="s">
        <v>7419</v>
      </c>
      <c r="F1090" t="s">
        <v>7388</v>
      </c>
      <c r="G1090" s="1">
        <v>45751</v>
      </c>
      <c r="H1090" s="1"/>
      <c r="I1090" t="s">
        <v>1737</v>
      </c>
      <c r="J1090" t="s">
        <v>29</v>
      </c>
      <c r="K1090" t="s">
        <v>29</v>
      </c>
      <c r="M1090">
        <v>100</v>
      </c>
      <c r="N1090" s="1">
        <v>45778</v>
      </c>
      <c r="O1090" s="12"/>
    </row>
    <row r="1091" spans="1:15" x14ac:dyDescent="0.25">
      <c r="A1091" t="s">
        <v>7420</v>
      </c>
      <c r="B1091" t="s">
        <v>4137</v>
      </c>
      <c r="C1091" t="s">
        <v>243</v>
      </c>
      <c r="D1091" t="s">
        <v>244</v>
      </c>
      <c r="E1091" t="s">
        <v>7421</v>
      </c>
      <c r="F1091" t="s">
        <v>14</v>
      </c>
      <c r="G1091" s="1">
        <v>45754</v>
      </c>
      <c r="H1091" s="1"/>
      <c r="I1091" t="s">
        <v>1737</v>
      </c>
      <c r="J1091" t="s">
        <v>29</v>
      </c>
      <c r="K1091" t="s">
        <v>29</v>
      </c>
      <c r="M1091">
        <v>100</v>
      </c>
      <c r="N1091" s="1">
        <v>45778</v>
      </c>
      <c r="O1091" s="12" t="s">
        <v>7422</v>
      </c>
    </row>
    <row r="1092" spans="1:15" s="13" customFormat="1" x14ac:dyDescent="0.25">
      <c r="A1092" s="13" t="s">
        <v>7423</v>
      </c>
      <c r="B1092" s="13" t="s">
        <v>474</v>
      </c>
      <c r="C1092" s="13" t="s">
        <v>539</v>
      </c>
      <c r="D1092" s="13" t="s">
        <v>7424</v>
      </c>
      <c r="E1092" s="13" t="s">
        <v>7425</v>
      </c>
      <c r="F1092" s="13" t="s">
        <v>7426</v>
      </c>
      <c r="G1092" s="14">
        <v>45755</v>
      </c>
      <c r="H1092" s="14"/>
      <c r="I1092" s="13" t="s">
        <v>2762</v>
      </c>
      <c r="N1092" s="14"/>
      <c r="O1092" s="12" t="s">
        <v>7427</v>
      </c>
    </row>
    <row r="1093" spans="1:15" x14ac:dyDescent="0.25">
      <c r="A1093" t="s">
        <v>7428</v>
      </c>
      <c r="B1093" t="s">
        <v>704</v>
      </c>
      <c r="C1093" t="s">
        <v>243</v>
      </c>
      <c r="D1093" t="s">
        <v>6247</v>
      </c>
      <c r="E1093" t="s">
        <v>7429</v>
      </c>
      <c r="F1093" t="s">
        <v>7430</v>
      </c>
      <c r="G1093" s="1">
        <v>45757</v>
      </c>
      <c r="H1093" s="1"/>
      <c r="I1093" t="s">
        <v>1737</v>
      </c>
      <c r="J1093" t="s">
        <v>29</v>
      </c>
      <c r="K1093" t="s">
        <v>29</v>
      </c>
      <c r="M1093">
        <v>100</v>
      </c>
      <c r="N1093" s="1">
        <v>45821</v>
      </c>
      <c r="O1093" s="12" t="s">
        <v>7431</v>
      </c>
    </row>
    <row r="1094" spans="1:15" x14ac:dyDescent="0.25">
      <c r="A1094" s="13" t="s">
        <v>7432</v>
      </c>
      <c r="B1094" s="13" t="s">
        <v>704</v>
      </c>
      <c r="C1094" t="s">
        <v>578</v>
      </c>
      <c r="D1094" s="13" t="s">
        <v>284</v>
      </c>
      <c r="E1094" s="13" t="s">
        <v>7433</v>
      </c>
      <c r="F1094" s="13" t="s">
        <v>14</v>
      </c>
      <c r="G1094" s="14">
        <v>45755</v>
      </c>
      <c r="H1094" s="14"/>
      <c r="I1094" s="13" t="s">
        <v>2762</v>
      </c>
      <c r="J1094" s="13" t="s">
        <v>29</v>
      </c>
      <c r="K1094" s="13" t="s">
        <v>29</v>
      </c>
      <c r="L1094" s="13"/>
      <c r="M1094" s="13"/>
      <c r="N1094" s="14"/>
      <c r="O1094" s="44" t="s">
        <v>7434</v>
      </c>
    </row>
    <row r="1095" spans="1:15" x14ac:dyDescent="0.25">
      <c r="A1095" t="s">
        <v>7435</v>
      </c>
      <c r="B1095" t="s">
        <v>704</v>
      </c>
      <c r="C1095" t="s">
        <v>677</v>
      </c>
      <c r="D1095" t="s">
        <v>7413</v>
      </c>
      <c r="E1095" t="s">
        <v>705</v>
      </c>
      <c r="F1095" t="s">
        <v>5646</v>
      </c>
      <c r="G1095" s="1">
        <v>45756</v>
      </c>
      <c r="H1095" s="1"/>
      <c r="I1095" t="s">
        <v>1737</v>
      </c>
      <c r="J1095" t="s">
        <v>29</v>
      </c>
      <c r="K1095" t="s">
        <v>29</v>
      </c>
      <c r="M1095">
        <v>100</v>
      </c>
      <c r="N1095" s="1">
        <v>45779</v>
      </c>
      <c r="O1095" s="12" t="s">
        <v>7436</v>
      </c>
    </row>
    <row r="1096" spans="1:15" x14ac:dyDescent="0.25">
      <c r="A1096" t="s">
        <v>7437</v>
      </c>
      <c r="G1096" s="1"/>
      <c r="H1096" s="1"/>
      <c r="O1096" s="12"/>
    </row>
    <row r="1097" spans="1:15" x14ac:dyDescent="0.25">
      <c r="A1097" t="s">
        <v>7438</v>
      </c>
      <c r="B1097" t="s">
        <v>704</v>
      </c>
      <c r="C1097" t="s">
        <v>243</v>
      </c>
      <c r="D1097" t="s">
        <v>6247</v>
      </c>
      <c r="E1097" t="s">
        <v>7439</v>
      </c>
      <c r="F1097" t="s">
        <v>6485</v>
      </c>
      <c r="G1097" s="1">
        <v>45757</v>
      </c>
      <c r="H1097" s="1"/>
      <c r="I1097" t="s">
        <v>1737</v>
      </c>
      <c r="J1097" t="s">
        <v>29</v>
      </c>
      <c r="M1097">
        <v>100</v>
      </c>
      <c r="N1097" s="1">
        <v>45783</v>
      </c>
      <c r="O1097" s="12" t="s">
        <v>7440</v>
      </c>
    </row>
    <row r="1098" spans="1:15" x14ac:dyDescent="0.25">
      <c r="A1098" t="s">
        <v>7441</v>
      </c>
      <c r="B1098" t="s">
        <v>704</v>
      </c>
      <c r="C1098" t="s">
        <v>7442</v>
      </c>
      <c r="D1098" t="s">
        <v>7264</v>
      </c>
      <c r="E1098" t="s">
        <v>7443</v>
      </c>
      <c r="F1098" t="s">
        <v>14</v>
      </c>
      <c r="G1098" s="1">
        <v>45758</v>
      </c>
      <c r="H1098" s="1"/>
      <c r="I1098" t="s">
        <v>1737</v>
      </c>
      <c r="J1098" t="s">
        <v>29</v>
      </c>
      <c r="K1098" t="s">
        <v>29</v>
      </c>
      <c r="M1098">
        <v>100</v>
      </c>
      <c r="N1098" s="1">
        <v>45764</v>
      </c>
      <c r="O1098" s="12" t="s">
        <v>7444</v>
      </c>
    </row>
    <row r="1099" spans="1:15" x14ac:dyDescent="0.25">
      <c r="A1099" t="s">
        <v>7445</v>
      </c>
      <c r="B1099" t="s">
        <v>325</v>
      </c>
      <c r="C1099" t="s">
        <v>539</v>
      </c>
      <c r="D1099" t="s">
        <v>7424</v>
      </c>
      <c r="E1099" t="s">
        <v>7446</v>
      </c>
      <c r="F1099" s="38" t="s">
        <v>7447</v>
      </c>
      <c r="G1099" s="1">
        <v>45758</v>
      </c>
      <c r="H1099" s="1"/>
      <c r="I1099" t="s">
        <v>1737</v>
      </c>
      <c r="J1099" t="s">
        <v>29</v>
      </c>
      <c r="M1099">
        <v>100</v>
      </c>
      <c r="N1099" s="1">
        <v>45776</v>
      </c>
      <c r="O1099" s="38" t="s">
        <v>7448</v>
      </c>
    </row>
    <row r="1100" spans="1:15" ht="15" customHeight="1" x14ac:dyDescent="0.25">
      <c r="A1100" t="s">
        <v>7449</v>
      </c>
      <c r="B1100" t="s">
        <v>325</v>
      </c>
      <c r="C1100" t="s">
        <v>7352</v>
      </c>
      <c r="D1100" t="s">
        <v>7450</v>
      </c>
      <c r="E1100" t="s">
        <v>7451</v>
      </c>
      <c r="F1100" t="s">
        <v>14</v>
      </c>
      <c r="G1100" s="1">
        <v>45758</v>
      </c>
      <c r="H1100" s="1"/>
      <c r="I1100" t="s">
        <v>1737</v>
      </c>
      <c r="J1100" t="s">
        <v>29</v>
      </c>
      <c r="M1100">
        <v>100</v>
      </c>
      <c r="N1100" s="1">
        <v>45764</v>
      </c>
      <c r="O1100" s="12"/>
    </row>
    <row r="1101" spans="1:15" x14ac:dyDescent="0.25">
      <c r="A1101" t="s">
        <v>7452</v>
      </c>
      <c r="B1101" t="s">
        <v>325</v>
      </c>
      <c r="C1101" t="s">
        <v>7352</v>
      </c>
      <c r="D1101" t="s">
        <v>7450</v>
      </c>
      <c r="E1101" t="s">
        <v>7453</v>
      </c>
      <c r="F1101" t="s">
        <v>5646</v>
      </c>
      <c r="G1101" s="1">
        <v>45758</v>
      </c>
      <c r="H1101" s="1"/>
      <c r="I1101" t="s">
        <v>1737</v>
      </c>
      <c r="J1101" t="s">
        <v>29</v>
      </c>
      <c r="M1101">
        <v>100</v>
      </c>
      <c r="N1101" s="1">
        <v>45764</v>
      </c>
      <c r="O1101" s="12"/>
    </row>
    <row r="1102" spans="1:15" ht="30" x14ac:dyDescent="0.25">
      <c r="A1102" t="s">
        <v>7454</v>
      </c>
      <c r="B1102" t="s">
        <v>773</v>
      </c>
      <c r="C1102" t="s">
        <v>539</v>
      </c>
      <c r="D1102" t="s">
        <v>7365</v>
      </c>
      <c r="E1102" t="s">
        <v>7455</v>
      </c>
      <c r="F1102" t="s">
        <v>7456</v>
      </c>
      <c r="G1102" s="1">
        <v>45758</v>
      </c>
      <c r="H1102" s="1">
        <v>45759</v>
      </c>
      <c r="I1102" t="s">
        <v>1737</v>
      </c>
      <c r="J1102" t="s">
        <v>29</v>
      </c>
      <c r="K1102" t="s">
        <v>29</v>
      </c>
      <c r="M1102">
        <v>100</v>
      </c>
      <c r="N1102" s="1">
        <v>45778</v>
      </c>
      <c r="O1102" s="39" t="s">
        <v>7457</v>
      </c>
    </row>
    <row r="1103" spans="1:15" ht="13.5" customHeight="1" x14ac:dyDescent="0.25">
      <c r="A1103" t="s">
        <v>7458</v>
      </c>
      <c r="B1103" t="s">
        <v>325</v>
      </c>
      <c r="C1103" t="s">
        <v>243</v>
      </c>
      <c r="D1103" t="s">
        <v>7459</v>
      </c>
      <c r="E1103" s="34" t="s">
        <v>7460</v>
      </c>
      <c r="F1103" t="s">
        <v>14</v>
      </c>
      <c r="G1103" s="1">
        <v>45761</v>
      </c>
      <c r="H1103" s="1">
        <v>45761</v>
      </c>
      <c r="I1103" t="s">
        <v>5148</v>
      </c>
      <c r="J1103" t="s">
        <v>29</v>
      </c>
      <c r="O1103" s="12"/>
    </row>
    <row r="1104" spans="1:15" x14ac:dyDescent="0.25">
      <c r="A1104" t="s">
        <v>7461</v>
      </c>
      <c r="B1104" t="s">
        <v>704</v>
      </c>
      <c r="C1104" t="s">
        <v>670</v>
      </c>
      <c r="D1104" t="s">
        <v>7462</v>
      </c>
      <c r="E1104" t="s">
        <v>6181</v>
      </c>
      <c r="F1104" t="s">
        <v>5413</v>
      </c>
      <c r="G1104" s="1">
        <v>45762</v>
      </c>
      <c r="H1104" s="1"/>
      <c r="I1104" t="s">
        <v>1737</v>
      </c>
      <c r="J1104" t="s">
        <v>29</v>
      </c>
      <c r="K1104" t="s">
        <v>29</v>
      </c>
      <c r="M1104">
        <v>100</v>
      </c>
      <c r="N1104" s="1">
        <v>45824</v>
      </c>
      <c r="O1104" s="12" t="s">
        <v>7463</v>
      </c>
    </row>
    <row r="1105" spans="1:15" x14ac:dyDescent="0.25">
      <c r="A1105" t="s">
        <v>7464</v>
      </c>
      <c r="B1105" t="s">
        <v>24</v>
      </c>
      <c r="C1105" t="s">
        <v>7465</v>
      </c>
      <c r="D1105" t="s">
        <v>7466</v>
      </c>
      <c r="E1105" t="s">
        <v>7467</v>
      </c>
      <c r="F1105" t="s">
        <v>7468</v>
      </c>
      <c r="G1105" s="1">
        <v>45763</v>
      </c>
      <c r="H1105" s="1"/>
      <c r="I1105" t="s">
        <v>1737</v>
      </c>
      <c r="J1105" t="s">
        <v>29</v>
      </c>
      <c r="K1105" t="s">
        <v>29</v>
      </c>
      <c r="M1105">
        <v>100</v>
      </c>
      <c r="N1105" s="1">
        <v>45783</v>
      </c>
      <c r="O1105" s="41" t="s">
        <v>7469</v>
      </c>
    </row>
    <row r="1106" spans="1:15" x14ac:dyDescent="0.25">
      <c r="A1106" t="s">
        <v>7470</v>
      </c>
      <c r="B1106" t="s">
        <v>704</v>
      </c>
      <c r="C1106" t="s">
        <v>7442</v>
      </c>
      <c r="D1106" t="s">
        <v>7264</v>
      </c>
      <c r="E1106" t="s">
        <v>7471</v>
      </c>
      <c r="F1106" t="s">
        <v>14</v>
      </c>
      <c r="G1106" s="1">
        <v>45764</v>
      </c>
      <c r="H1106" s="1"/>
      <c r="I1106" t="s">
        <v>1737</v>
      </c>
      <c r="J1106" t="s">
        <v>29</v>
      </c>
      <c r="K1106" t="s">
        <v>29</v>
      </c>
      <c r="M1106">
        <v>100</v>
      </c>
      <c r="N1106" s="1">
        <v>45764</v>
      </c>
      <c r="O1106" s="12"/>
    </row>
    <row r="1107" spans="1:15" x14ac:dyDescent="0.25">
      <c r="A1107" t="s">
        <v>7472</v>
      </c>
      <c r="B1107" t="s">
        <v>704</v>
      </c>
      <c r="C1107" t="s">
        <v>677</v>
      </c>
      <c r="D1107" t="s">
        <v>7395</v>
      </c>
      <c r="E1107" t="s">
        <v>4761</v>
      </c>
      <c r="F1107" t="s">
        <v>555</v>
      </c>
      <c r="G1107" s="1">
        <v>45765</v>
      </c>
      <c r="H1107" s="1"/>
      <c r="I1107" t="s">
        <v>1737</v>
      </c>
      <c r="J1107" t="s">
        <v>29</v>
      </c>
      <c r="K1107" t="s">
        <v>29</v>
      </c>
      <c r="M1107">
        <v>100</v>
      </c>
      <c r="N1107" s="1">
        <v>45796</v>
      </c>
      <c r="O1107" s="12" t="s">
        <v>7473</v>
      </c>
    </row>
    <row r="1108" spans="1:15" x14ac:dyDescent="0.25">
      <c r="A1108" t="s">
        <v>7474</v>
      </c>
      <c r="B1108" t="s">
        <v>704</v>
      </c>
      <c r="C1108" t="s">
        <v>32</v>
      </c>
      <c r="D1108" t="s">
        <v>475</v>
      </c>
      <c r="E1108" t="s">
        <v>7475</v>
      </c>
      <c r="F1108" t="s">
        <v>5504</v>
      </c>
      <c r="G1108" s="1">
        <v>45765</v>
      </c>
      <c r="H1108" s="1"/>
      <c r="I1108" t="s">
        <v>1737</v>
      </c>
      <c r="J1108" t="s">
        <v>29</v>
      </c>
      <c r="K1108" t="s">
        <v>29</v>
      </c>
      <c r="M1108">
        <v>100</v>
      </c>
      <c r="N1108" s="1">
        <v>45825</v>
      </c>
      <c r="O1108" s="12" t="s">
        <v>7476</v>
      </c>
    </row>
    <row r="1109" spans="1:15" x14ac:dyDescent="0.25">
      <c r="A1109" t="s">
        <v>7477</v>
      </c>
      <c r="B1109" t="s">
        <v>704</v>
      </c>
      <c r="C1109" t="s">
        <v>5188</v>
      </c>
      <c r="D1109" t="s">
        <v>5338</v>
      </c>
      <c r="E1109" t="s">
        <v>7478</v>
      </c>
      <c r="F1109" t="s">
        <v>5340</v>
      </c>
      <c r="G1109" s="1">
        <v>45768</v>
      </c>
      <c r="H1109" s="1"/>
      <c r="I1109" t="s">
        <v>5148</v>
      </c>
      <c r="J1109" t="s">
        <v>29</v>
      </c>
      <c r="K1109" t="s">
        <v>29</v>
      </c>
      <c r="O1109" s="12" t="s">
        <v>7479</v>
      </c>
    </row>
    <row r="1110" spans="1:15" x14ac:dyDescent="0.25">
      <c r="A1110" t="s">
        <v>7480</v>
      </c>
      <c r="B1110" t="s">
        <v>24</v>
      </c>
      <c r="C1110" t="s">
        <v>126</v>
      </c>
      <c r="D1110" t="s">
        <v>746</v>
      </c>
      <c r="E1110" t="s">
        <v>7481</v>
      </c>
      <c r="F1110" t="s">
        <v>7482</v>
      </c>
      <c r="G1110" s="1">
        <v>45768</v>
      </c>
      <c r="H1110" s="1"/>
      <c r="I1110" t="s">
        <v>1737</v>
      </c>
      <c r="J1110" t="s">
        <v>29</v>
      </c>
      <c r="K1110" t="s">
        <v>29</v>
      </c>
      <c r="M1110">
        <v>100</v>
      </c>
      <c r="N1110" s="1">
        <v>45792</v>
      </c>
      <c r="O1110" s="12"/>
    </row>
    <row r="1111" spans="1:15" x14ac:dyDescent="0.25">
      <c r="A1111" t="s">
        <v>7483</v>
      </c>
      <c r="B1111" t="s">
        <v>704</v>
      </c>
      <c r="C1111" t="s">
        <v>14</v>
      </c>
      <c r="D1111" t="s">
        <v>7484</v>
      </c>
      <c r="E1111" t="s">
        <v>7485</v>
      </c>
      <c r="F1111" t="s">
        <v>7388</v>
      </c>
      <c r="G1111" s="1">
        <v>45769</v>
      </c>
      <c r="H1111" s="1"/>
      <c r="I1111" t="s">
        <v>2762</v>
      </c>
      <c r="J1111" t="s">
        <v>29</v>
      </c>
      <c r="K1111" t="s">
        <v>29</v>
      </c>
      <c r="O1111" s="12" t="s">
        <v>7486</v>
      </c>
    </row>
    <row r="1112" spans="1:15" x14ac:dyDescent="0.25">
      <c r="A1112" t="s">
        <v>7487</v>
      </c>
      <c r="B1112" t="s">
        <v>325</v>
      </c>
      <c r="C1112" t="s">
        <v>32</v>
      </c>
      <c r="D1112" t="s">
        <v>475</v>
      </c>
      <c r="E1112" t="s">
        <v>7488</v>
      </c>
      <c r="F1112" t="s">
        <v>659</v>
      </c>
      <c r="G1112" s="1">
        <v>45770</v>
      </c>
      <c r="H1112" s="1"/>
      <c r="I1112" t="s">
        <v>1737</v>
      </c>
      <c r="J1112" t="s">
        <v>29</v>
      </c>
      <c r="M1112">
        <v>100</v>
      </c>
      <c r="N1112" s="1">
        <v>45832</v>
      </c>
      <c r="O1112" s="12"/>
    </row>
    <row r="1113" spans="1:15" ht="15.75" x14ac:dyDescent="0.25">
      <c r="A1113" t="s">
        <v>7489</v>
      </c>
      <c r="B1113" t="s">
        <v>13</v>
      </c>
      <c r="C1113" s="40" t="s">
        <v>611</v>
      </c>
      <c r="D1113" t="s">
        <v>5425</v>
      </c>
      <c r="E1113" s="40" t="s">
        <v>7490</v>
      </c>
      <c r="F1113" t="s">
        <v>7491</v>
      </c>
      <c r="G1113" s="1">
        <v>45770</v>
      </c>
      <c r="H1113" s="1"/>
      <c r="I1113" t="s">
        <v>1737</v>
      </c>
      <c r="J1113" t="s">
        <v>29</v>
      </c>
      <c r="L1113" t="s">
        <v>1397</v>
      </c>
      <c r="M1113">
        <v>100</v>
      </c>
      <c r="N1113" s="1">
        <v>45805</v>
      </c>
      <c r="O1113" s="12"/>
    </row>
    <row r="1114" spans="1:15" x14ac:dyDescent="0.25">
      <c r="A1114" t="s">
        <v>7492</v>
      </c>
      <c r="B1114" t="s">
        <v>325</v>
      </c>
      <c r="C1114" t="s">
        <v>32</v>
      </c>
      <c r="D1114" t="s">
        <v>475</v>
      </c>
      <c r="E1114" t="s">
        <v>4359</v>
      </c>
      <c r="F1114" t="s">
        <v>7493</v>
      </c>
      <c r="G1114" s="1">
        <v>45770</v>
      </c>
      <c r="H1114" s="1"/>
      <c r="I1114" t="s">
        <v>2762</v>
      </c>
      <c r="J1114" t="s">
        <v>29</v>
      </c>
      <c r="O1114" s="12" t="s">
        <v>7494</v>
      </c>
    </row>
    <row r="1115" spans="1:15" x14ac:dyDescent="0.25">
      <c r="A1115" t="s">
        <v>7495</v>
      </c>
      <c r="B1115" t="s">
        <v>704</v>
      </c>
      <c r="C1115" t="s">
        <v>243</v>
      </c>
      <c r="D1115" t="s">
        <v>6247</v>
      </c>
      <c r="E1115" t="s">
        <v>7496</v>
      </c>
      <c r="F1115" t="s">
        <v>7497</v>
      </c>
      <c r="G1115" s="1">
        <v>45771</v>
      </c>
      <c r="H1115" s="1"/>
      <c r="I1115" t="s">
        <v>1737</v>
      </c>
      <c r="J1115" t="s">
        <v>29</v>
      </c>
      <c r="K1115" t="s">
        <v>29</v>
      </c>
      <c r="M1115">
        <v>100</v>
      </c>
      <c r="N1115" s="1">
        <v>45805</v>
      </c>
      <c r="O1115" s="12" t="s">
        <v>7498</v>
      </c>
    </row>
    <row r="1116" spans="1:15" x14ac:dyDescent="0.25">
      <c r="A1116" t="s">
        <v>7499</v>
      </c>
      <c r="B1116" t="s">
        <v>4209</v>
      </c>
      <c r="C1116" t="s">
        <v>32</v>
      </c>
      <c r="D1116" t="s">
        <v>397</v>
      </c>
      <c r="E1116" t="s">
        <v>7500</v>
      </c>
      <c r="F1116" t="s">
        <v>14</v>
      </c>
      <c r="G1116" s="1">
        <v>45771</v>
      </c>
      <c r="H1116" s="1"/>
      <c r="I1116" t="s">
        <v>1737</v>
      </c>
      <c r="J1116" t="s">
        <v>29</v>
      </c>
      <c r="K1116" t="s">
        <v>29</v>
      </c>
      <c r="M1116">
        <v>100</v>
      </c>
      <c r="N1116" s="1">
        <v>45775</v>
      </c>
      <c r="O1116" s="12" t="s">
        <v>7501</v>
      </c>
    </row>
    <row r="1117" spans="1:15" x14ac:dyDescent="0.25">
      <c r="A1117" t="s">
        <v>7502</v>
      </c>
      <c r="B1117" t="s">
        <v>704</v>
      </c>
      <c r="C1117" t="s">
        <v>6416</v>
      </c>
      <c r="D1117" t="s">
        <v>7503</v>
      </c>
      <c r="E1117" t="s">
        <v>7504</v>
      </c>
      <c r="F1117" t="s">
        <v>5413</v>
      </c>
      <c r="G1117" s="1">
        <v>45771</v>
      </c>
      <c r="H1117" s="1"/>
      <c r="I1117" t="s">
        <v>1737</v>
      </c>
      <c r="J1117" t="s">
        <v>29</v>
      </c>
      <c r="K1117" t="s">
        <v>29</v>
      </c>
      <c r="M1117">
        <v>100</v>
      </c>
      <c r="N1117" s="1">
        <v>45805</v>
      </c>
      <c r="O1117" s="12"/>
    </row>
    <row r="1118" spans="1:15" x14ac:dyDescent="0.25">
      <c r="A1118" t="s">
        <v>7505</v>
      </c>
      <c r="B1118" t="s">
        <v>704</v>
      </c>
      <c r="C1118" t="s">
        <v>670</v>
      </c>
      <c r="D1118" t="s">
        <v>5102</v>
      </c>
      <c r="E1118" t="s">
        <v>5103</v>
      </c>
      <c r="F1118" t="s">
        <v>3148</v>
      </c>
      <c r="G1118" s="1">
        <v>45772</v>
      </c>
      <c r="H1118" s="1"/>
      <c r="I1118" t="s">
        <v>1737</v>
      </c>
      <c r="J1118" t="s">
        <v>29</v>
      </c>
      <c r="K1118" t="s">
        <v>29</v>
      </c>
      <c r="M1118">
        <v>100</v>
      </c>
      <c r="N1118" s="1">
        <v>45790</v>
      </c>
      <c r="O1118" s="12" t="s">
        <v>7506</v>
      </c>
    </row>
    <row r="1119" spans="1:15" x14ac:dyDescent="0.25">
      <c r="A1119" t="s">
        <v>7507</v>
      </c>
      <c r="B1119" t="s">
        <v>704</v>
      </c>
      <c r="C1119" t="s">
        <v>677</v>
      </c>
      <c r="D1119" t="s">
        <v>7508</v>
      </c>
      <c r="E1119" t="s">
        <v>7509</v>
      </c>
      <c r="F1119" t="s">
        <v>5821</v>
      </c>
      <c r="G1119" s="1">
        <v>45771</v>
      </c>
      <c r="H1119" s="1"/>
      <c r="I1119" t="s">
        <v>1737</v>
      </c>
      <c r="J1119" t="s">
        <v>29</v>
      </c>
      <c r="K1119" t="s">
        <v>29</v>
      </c>
      <c r="M1119">
        <v>100</v>
      </c>
      <c r="N1119" s="1">
        <v>45777</v>
      </c>
      <c r="O1119" s="12"/>
    </row>
    <row r="1120" spans="1:15" x14ac:dyDescent="0.25">
      <c r="A1120" t="s">
        <v>7510</v>
      </c>
      <c r="B1120" t="s">
        <v>325</v>
      </c>
      <c r="C1120" t="s">
        <v>253</v>
      </c>
      <c r="D1120" t="s">
        <v>7511</v>
      </c>
      <c r="E1120" t="s">
        <v>7512</v>
      </c>
      <c r="F1120" t="s">
        <v>7513</v>
      </c>
      <c r="G1120" s="1">
        <v>45775</v>
      </c>
      <c r="H1120" s="1"/>
      <c r="I1120" t="s">
        <v>1737</v>
      </c>
      <c r="J1120" t="s">
        <v>29</v>
      </c>
      <c r="M1120">
        <v>100</v>
      </c>
      <c r="N1120" s="1">
        <v>45800</v>
      </c>
      <c r="O1120" s="12"/>
    </row>
    <row r="1121" spans="1:15" x14ac:dyDescent="0.25">
      <c r="A1121" t="s">
        <v>7514</v>
      </c>
      <c r="B1121" t="s">
        <v>704</v>
      </c>
      <c r="C1121" t="s">
        <v>32</v>
      </c>
      <c r="D1121" t="s">
        <v>475</v>
      </c>
      <c r="E1121" t="s">
        <v>7515</v>
      </c>
      <c r="F1121" t="s">
        <v>3148</v>
      </c>
      <c r="G1121" s="1">
        <v>45775</v>
      </c>
      <c r="H1121" s="1"/>
      <c r="I1121" t="s">
        <v>1737</v>
      </c>
      <c r="J1121" t="s">
        <v>29</v>
      </c>
      <c r="K1121" t="s">
        <v>29</v>
      </c>
      <c r="M1121">
        <v>100</v>
      </c>
      <c r="N1121" s="1">
        <v>45786</v>
      </c>
      <c r="O1121" s="12" t="s">
        <v>7516</v>
      </c>
    </row>
    <row r="1122" spans="1:15" x14ac:dyDescent="0.25">
      <c r="A1122" t="s">
        <v>7517</v>
      </c>
      <c r="B1122" t="s">
        <v>13</v>
      </c>
      <c r="C1122" t="s">
        <v>611</v>
      </c>
      <c r="D1122" t="s">
        <v>7518</v>
      </c>
      <c r="E1122" t="s">
        <v>7519</v>
      </c>
      <c r="F1122" t="s">
        <v>7520</v>
      </c>
      <c r="G1122" s="1">
        <v>45775</v>
      </c>
      <c r="H1122" s="1"/>
      <c r="I1122" t="s">
        <v>1737</v>
      </c>
      <c r="J1122" t="s">
        <v>29</v>
      </c>
      <c r="M1122">
        <v>100</v>
      </c>
      <c r="N1122" s="1">
        <v>45783</v>
      </c>
      <c r="O1122" s="12"/>
    </row>
    <row r="1123" spans="1:15" x14ac:dyDescent="0.25">
      <c r="A1123" t="s">
        <v>7521</v>
      </c>
      <c r="B1123" t="s">
        <v>474</v>
      </c>
      <c r="C1123" t="s">
        <v>411</v>
      </c>
      <c r="D1123" t="s">
        <v>3929</v>
      </c>
      <c r="E1123" t="s">
        <v>1394</v>
      </c>
      <c r="F1123" t="s">
        <v>4966</v>
      </c>
      <c r="G1123" s="1">
        <v>45777</v>
      </c>
      <c r="H1123" s="1"/>
      <c r="I1123" t="s">
        <v>1737</v>
      </c>
      <c r="J1123" t="s">
        <v>29</v>
      </c>
      <c r="M1123">
        <v>100</v>
      </c>
      <c r="N1123" s="1">
        <v>45796</v>
      </c>
      <c r="O1123" s="12"/>
    </row>
    <row r="1124" spans="1:15" x14ac:dyDescent="0.25">
      <c r="A1124" t="s">
        <v>7522</v>
      </c>
      <c r="B1124" t="s">
        <v>704</v>
      </c>
      <c r="C1124" t="s">
        <v>243</v>
      </c>
      <c r="D1124" t="s">
        <v>6247</v>
      </c>
      <c r="E1124" t="s">
        <v>7523</v>
      </c>
      <c r="F1124" t="s">
        <v>7524</v>
      </c>
      <c r="G1124" s="1">
        <v>45778</v>
      </c>
      <c r="H1124" s="1"/>
      <c r="I1124" t="s">
        <v>1737</v>
      </c>
      <c r="J1124" t="s">
        <v>29</v>
      </c>
      <c r="K1124" t="s">
        <v>29</v>
      </c>
      <c r="M1124">
        <v>100</v>
      </c>
      <c r="N1124" s="1">
        <v>45805</v>
      </c>
      <c r="O1124" s="12"/>
    </row>
    <row r="1125" spans="1:15" x14ac:dyDescent="0.25">
      <c r="A1125" t="s">
        <v>7525</v>
      </c>
      <c r="B1125" t="s">
        <v>704</v>
      </c>
      <c r="C1125" t="s">
        <v>7526</v>
      </c>
      <c r="D1125" t="s">
        <v>7527</v>
      </c>
      <c r="E1125" t="s">
        <v>7528</v>
      </c>
      <c r="F1125" t="s">
        <v>14</v>
      </c>
      <c r="G1125" s="1">
        <v>45778</v>
      </c>
      <c r="H1125" s="1"/>
      <c r="I1125" t="s">
        <v>1737</v>
      </c>
      <c r="J1125" s="76" t="s">
        <v>29</v>
      </c>
      <c r="K1125" t="s">
        <v>29</v>
      </c>
      <c r="O1125" s="12" t="s">
        <v>7529</v>
      </c>
    </row>
    <row r="1126" spans="1:15" ht="13.5" customHeight="1" x14ac:dyDescent="0.25">
      <c r="A1126" t="s">
        <v>7530</v>
      </c>
      <c r="B1126" t="s">
        <v>704</v>
      </c>
      <c r="C1126" t="s">
        <v>7531</v>
      </c>
      <c r="D1126" t="s">
        <v>7532</v>
      </c>
      <c r="E1126" t="s">
        <v>7533</v>
      </c>
      <c r="F1126" t="s">
        <v>14</v>
      </c>
      <c r="G1126" s="1">
        <v>45782</v>
      </c>
      <c r="H1126" s="1"/>
      <c r="I1126" t="s">
        <v>1737</v>
      </c>
      <c r="J1126" t="s">
        <v>29</v>
      </c>
      <c r="K1126" t="s">
        <v>18</v>
      </c>
      <c r="O1126" s="12" t="s">
        <v>7534</v>
      </c>
    </row>
    <row r="1127" spans="1:15" x14ac:dyDescent="0.25">
      <c r="A1127" t="s">
        <v>7535</v>
      </c>
      <c r="B1127" t="s">
        <v>4599</v>
      </c>
      <c r="C1127" t="s">
        <v>411</v>
      </c>
      <c r="E1127" t="s">
        <v>7536</v>
      </c>
      <c r="F1127" t="s">
        <v>893</v>
      </c>
      <c r="G1127" s="1">
        <v>45784</v>
      </c>
      <c r="H1127" s="1"/>
      <c r="I1127" t="s">
        <v>2952</v>
      </c>
      <c r="J1127" t="s">
        <v>29</v>
      </c>
      <c r="K1127" t="s">
        <v>29</v>
      </c>
      <c r="O1127" s="12" t="s">
        <v>7537</v>
      </c>
    </row>
    <row r="1128" spans="1:15" x14ac:dyDescent="0.25">
      <c r="A1128" t="s">
        <v>7538</v>
      </c>
      <c r="B1128" t="s">
        <v>704</v>
      </c>
      <c r="C1128" t="s">
        <v>7539</v>
      </c>
      <c r="D1128" t="s">
        <v>7540</v>
      </c>
      <c r="E1128" t="s">
        <v>7541</v>
      </c>
      <c r="F1128" t="s">
        <v>14</v>
      </c>
      <c r="G1128" s="1">
        <v>45785</v>
      </c>
      <c r="H1128" s="1"/>
      <c r="I1128" t="s">
        <v>1737</v>
      </c>
      <c r="J1128" t="s">
        <v>29</v>
      </c>
      <c r="K1128" t="s">
        <v>18</v>
      </c>
      <c r="M1128">
        <v>100</v>
      </c>
      <c r="N1128" s="1">
        <v>45785</v>
      </c>
      <c r="O1128" s="12"/>
    </row>
    <row r="1129" spans="1:15" x14ac:dyDescent="0.25">
      <c r="A1129" t="s">
        <v>7542</v>
      </c>
      <c r="B1129" t="s">
        <v>704</v>
      </c>
      <c r="C1129" t="s">
        <v>7352</v>
      </c>
      <c r="D1129" t="s">
        <v>7409</v>
      </c>
      <c r="E1129" t="s">
        <v>7543</v>
      </c>
      <c r="F1129" t="s">
        <v>14</v>
      </c>
      <c r="G1129" s="1">
        <v>45785</v>
      </c>
      <c r="H1129" s="1"/>
      <c r="I1129" t="s">
        <v>1737</v>
      </c>
      <c r="J1129" t="s">
        <v>29</v>
      </c>
      <c r="K1129" t="s">
        <v>29</v>
      </c>
      <c r="O1129" s="12"/>
    </row>
    <row r="1130" spans="1:15" x14ac:dyDescent="0.25">
      <c r="A1130" t="s">
        <v>7544</v>
      </c>
      <c r="B1130" t="s">
        <v>704</v>
      </c>
      <c r="C1130" t="s">
        <v>243</v>
      </c>
      <c r="D1130" t="s">
        <v>244</v>
      </c>
      <c r="E1130" t="s">
        <v>7545</v>
      </c>
      <c r="F1130" t="s">
        <v>5413</v>
      </c>
      <c r="G1130" s="1">
        <v>45785</v>
      </c>
      <c r="H1130" s="1"/>
      <c r="I1130" t="s">
        <v>1737</v>
      </c>
      <c r="J1130" s="43" t="s">
        <v>29</v>
      </c>
      <c r="K1130" t="s">
        <v>29</v>
      </c>
      <c r="M1130">
        <v>100</v>
      </c>
      <c r="N1130" s="1">
        <v>45789</v>
      </c>
      <c r="O1130" s="12"/>
    </row>
    <row r="1131" spans="1:15" x14ac:dyDescent="0.25">
      <c r="A1131" t="s">
        <v>7546</v>
      </c>
      <c r="B1131" t="s">
        <v>704</v>
      </c>
      <c r="C1131" t="s">
        <v>32</v>
      </c>
      <c r="D1131" t="s">
        <v>475</v>
      </c>
      <c r="E1131" t="s">
        <v>7547</v>
      </c>
      <c r="F1131" t="s">
        <v>5844</v>
      </c>
      <c r="G1131" s="1">
        <v>45786</v>
      </c>
      <c r="H1131" s="1"/>
      <c r="I1131" t="s">
        <v>1737</v>
      </c>
      <c r="J1131" t="s">
        <v>29</v>
      </c>
      <c r="K1131" t="s">
        <v>29</v>
      </c>
      <c r="M1131">
        <v>100</v>
      </c>
      <c r="N1131" s="1">
        <v>45817</v>
      </c>
      <c r="O1131" s="12" t="s">
        <v>7548</v>
      </c>
    </row>
    <row r="1132" spans="1:15" x14ac:dyDescent="0.25">
      <c r="A1132" t="s">
        <v>7549</v>
      </c>
      <c r="B1132" t="s">
        <v>704</v>
      </c>
      <c r="C1132" t="s">
        <v>243</v>
      </c>
      <c r="D1132" t="s">
        <v>244</v>
      </c>
      <c r="E1132" t="s">
        <v>7550</v>
      </c>
      <c r="F1132" t="s">
        <v>3148</v>
      </c>
      <c r="G1132" s="1">
        <v>45786</v>
      </c>
      <c r="H1132" s="1"/>
      <c r="I1132" t="s">
        <v>1737</v>
      </c>
      <c r="J1132" t="s">
        <v>29</v>
      </c>
      <c r="K1132" t="s">
        <v>29</v>
      </c>
      <c r="M1132">
        <v>100</v>
      </c>
      <c r="N1132" s="1">
        <v>45798</v>
      </c>
      <c r="O1132" s="12" t="s">
        <v>7551</v>
      </c>
    </row>
    <row r="1133" spans="1:15" x14ac:dyDescent="0.25">
      <c r="A1133" t="s">
        <v>7552</v>
      </c>
      <c r="B1133" t="s">
        <v>704</v>
      </c>
      <c r="C1133" t="s">
        <v>677</v>
      </c>
      <c r="D1133" t="s">
        <v>6877</v>
      </c>
      <c r="E1133" t="s">
        <v>4715</v>
      </c>
      <c r="F1133" t="s">
        <v>555</v>
      </c>
      <c r="G1133" s="1">
        <v>45790</v>
      </c>
      <c r="H1133" s="1"/>
      <c r="I1133" t="s">
        <v>1737</v>
      </c>
      <c r="J1133" t="s">
        <v>29</v>
      </c>
      <c r="K1133" t="s">
        <v>29</v>
      </c>
      <c r="M1133">
        <v>100</v>
      </c>
      <c r="N1133" s="1">
        <v>45791</v>
      </c>
      <c r="O1133" s="12"/>
    </row>
    <row r="1134" spans="1:15" ht="11.25" customHeight="1" x14ac:dyDescent="0.25">
      <c r="A1134" t="s">
        <v>7553</v>
      </c>
      <c r="B1134" t="s">
        <v>704</v>
      </c>
      <c r="C1134" t="s">
        <v>7092</v>
      </c>
      <c r="D1134" t="s">
        <v>5071</v>
      </c>
      <c r="E1134" t="s">
        <v>7554</v>
      </c>
      <c r="F1134" t="s">
        <v>7341</v>
      </c>
      <c r="G1134" s="1">
        <v>45791</v>
      </c>
      <c r="H1134" s="1"/>
      <c r="I1134" t="s">
        <v>1737</v>
      </c>
      <c r="J1134" t="s">
        <v>29</v>
      </c>
      <c r="K1134" t="s">
        <v>29</v>
      </c>
      <c r="M1134">
        <v>100</v>
      </c>
      <c r="N1134" s="1">
        <v>45824</v>
      </c>
      <c r="O1134" s="12" t="s">
        <v>7463</v>
      </c>
    </row>
    <row r="1135" spans="1:15" x14ac:dyDescent="0.25">
      <c r="A1135" t="s">
        <v>7555</v>
      </c>
      <c r="B1135" t="s">
        <v>704</v>
      </c>
      <c r="C1135" t="s">
        <v>6416</v>
      </c>
      <c r="D1135" t="s">
        <v>7503</v>
      </c>
      <c r="E1135" t="s">
        <v>7556</v>
      </c>
      <c r="F1135" t="s">
        <v>5944</v>
      </c>
      <c r="G1135" s="1">
        <v>45792</v>
      </c>
      <c r="H1135" s="1"/>
      <c r="I1135" t="s">
        <v>1737</v>
      </c>
      <c r="J1135" t="s">
        <v>29</v>
      </c>
      <c r="K1135" t="s">
        <v>29</v>
      </c>
      <c r="M1135">
        <v>100</v>
      </c>
      <c r="N1135" s="1">
        <v>45798</v>
      </c>
      <c r="O1135" s="12"/>
    </row>
    <row r="1136" spans="1:15" x14ac:dyDescent="0.25">
      <c r="A1136" t="s">
        <v>7557</v>
      </c>
      <c r="B1136" t="s">
        <v>704</v>
      </c>
      <c r="C1136" t="s">
        <v>25</v>
      </c>
      <c r="D1136" t="s">
        <v>225</v>
      </c>
      <c r="E1136" t="s">
        <v>7558</v>
      </c>
      <c r="F1136" t="s">
        <v>555</v>
      </c>
      <c r="G1136" s="1">
        <v>45792</v>
      </c>
      <c r="H1136" s="1"/>
      <c r="I1136" t="s">
        <v>1737</v>
      </c>
      <c r="J1136" t="s">
        <v>29</v>
      </c>
      <c r="K1136" t="s">
        <v>29</v>
      </c>
      <c r="M1136">
        <v>100</v>
      </c>
      <c r="N1136" s="1">
        <v>45860</v>
      </c>
      <c r="O1136" s="12"/>
    </row>
    <row r="1137" spans="1:15" x14ac:dyDescent="0.25">
      <c r="A1137" t="s">
        <v>7559</v>
      </c>
      <c r="B1137" t="s">
        <v>704</v>
      </c>
      <c r="C1137" t="s">
        <v>677</v>
      </c>
      <c r="D1137" t="s">
        <v>7281</v>
      </c>
      <c r="E1137" t="s">
        <v>7560</v>
      </c>
      <c r="F1137" t="s">
        <v>5821</v>
      </c>
      <c r="G1137" s="1">
        <v>45792</v>
      </c>
      <c r="H1137" s="1"/>
      <c r="I1137" t="s">
        <v>1737</v>
      </c>
      <c r="J1137" t="s">
        <v>29</v>
      </c>
      <c r="K1137" t="s">
        <v>29</v>
      </c>
      <c r="M1137">
        <v>100</v>
      </c>
      <c r="N1137" s="1">
        <v>45804</v>
      </c>
      <c r="O1137" s="12"/>
    </row>
    <row r="1138" spans="1:15" x14ac:dyDescent="0.25">
      <c r="A1138" t="s">
        <v>7561</v>
      </c>
      <c r="B1138" t="s">
        <v>474</v>
      </c>
      <c r="C1138" t="s">
        <v>7562</v>
      </c>
      <c r="D1138" t="s">
        <v>7563</v>
      </c>
      <c r="E1138" t="s">
        <v>7564</v>
      </c>
      <c r="F1138" t="s">
        <v>14</v>
      </c>
      <c r="G1138" s="1">
        <v>45793</v>
      </c>
      <c r="H1138" s="1"/>
      <c r="I1138" t="s">
        <v>1737</v>
      </c>
      <c r="J1138" t="s">
        <v>29</v>
      </c>
      <c r="M1138">
        <v>100</v>
      </c>
      <c r="N1138" s="1">
        <v>45821</v>
      </c>
      <c r="O1138" s="12"/>
    </row>
    <row r="1139" spans="1:15" x14ac:dyDescent="0.25">
      <c r="A1139" t="s">
        <v>7565</v>
      </c>
      <c r="B1139" t="s">
        <v>825</v>
      </c>
      <c r="C1139" t="s">
        <v>177</v>
      </c>
      <c r="D1139" t="s">
        <v>7566</v>
      </c>
      <c r="E1139" t="s">
        <v>7567</v>
      </c>
      <c r="F1139" t="s">
        <v>7568</v>
      </c>
      <c r="G1139" s="1">
        <v>45799</v>
      </c>
      <c r="H1139" s="1"/>
      <c r="I1139" t="s">
        <v>1737</v>
      </c>
      <c r="J1139" t="s">
        <v>29</v>
      </c>
      <c r="M1139">
        <v>100</v>
      </c>
      <c r="N1139" s="1">
        <v>45811</v>
      </c>
      <c r="O1139" s="12"/>
    </row>
    <row r="1140" spans="1:15" x14ac:dyDescent="0.25">
      <c r="A1140" t="s">
        <v>7569</v>
      </c>
      <c r="B1140" t="s">
        <v>621</v>
      </c>
      <c r="C1140" t="s">
        <v>997</v>
      </c>
      <c r="D1140" t="s">
        <v>150</v>
      </c>
      <c r="E1140" t="s">
        <v>7570</v>
      </c>
      <c r="F1140" t="s">
        <v>14</v>
      </c>
      <c r="G1140" s="1">
        <v>45799</v>
      </c>
      <c r="H1140" s="1"/>
      <c r="I1140" t="s">
        <v>1737</v>
      </c>
      <c r="J1140" t="s">
        <v>29</v>
      </c>
      <c r="M1140">
        <v>100</v>
      </c>
      <c r="N1140" s="1">
        <v>45834</v>
      </c>
      <c r="O1140" s="12"/>
    </row>
    <row r="1141" spans="1:15" x14ac:dyDescent="0.25">
      <c r="A1141" t="s">
        <v>7571</v>
      </c>
      <c r="B1141" t="s">
        <v>704</v>
      </c>
      <c r="C1141" t="s">
        <v>677</v>
      </c>
      <c r="D1141" t="s">
        <v>6877</v>
      </c>
      <c r="E1141" t="s">
        <v>7572</v>
      </c>
      <c r="F1141" t="s">
        <v>555</v>
      </c>
      <c r="G1141" s="1">
        <v>45804</v>
      </c>
      <c r="H1141" s="1"/>
      <c r="I1141" t="s">
        <v>1737</v>
      </c>
      <c r="J1141" t="s">
        <v>29</v>
      </c>
      <c r="K1141" t="s">
        <v>29</v>
      </c>
      <c r="M1141">
        <v>100</v>
      </c>
      <c r="N1141" s="1">
        <v>45827</v>
      </c>
      <c r="O1141" s="12"/>
    </row>
    <row r="1142" spans="1:15" x14ac:dyDescent="0.25">
      <c r="A1142" t="s">
        <v>7573</v>
      </c>
      <c r="B1142" t="s">
        <v>704</v>
      </c>
      <c r="C1142" t="s">
        <v>5046</v>
      </c>
      <c r="D1142" t="s">
        <v>7574</v>
      </c>
      <c r="E1142" t="s">
        <v>4792</v>
      </c>
      <c r="F1142" t="s">
        <v>5944</v>
      </c>
      <c r="G1142" s="1">
        <v>45804</v>
      </c>
      <c r="H1142" s="1"/>
      <c r="I1142" t="s">
        <v>1737</v>
      </c>
      <c r="J1142" t="s">
        <v>29</v>
      </c>
      <c r="K1142" t="s">
        <v>29</v>
      </c>
      <c r="M1142">
        <v>100</v>
      </c>
      <c r="N1142" s="1">
        <v>45817</v>
      </c>
      <c r="O1142" s="12"/>
    </row>
    <row r="1143" spans="1:15" x14ac:dyDescent="0.25">
      <c r="A1143" t="s">
        <v>7575</v>
      </c>
      <c r="B1143" t="s">
        <v>704</v>
      </c>
      <c r="C1143" t="s">
        <v>243</v>
      </c>
      <c r="D1143" t="s">
        <v>6247</v>
      </c>
      <c r="E1143" t="s">
        <v>5727</v>
      </c>
      <c r="F1143" t="s">
        <v>5728</v>
      </c>
      <c r="G1143" s="1">
        <v>45804</v>
      </c>
      <c r="H1143" s="1"/>
      <c r="I1143" t="s">
        <v>1737</v>
      </c>
      <c r="J1143" t="s">
        <v>29</v>
      </c>
      <c r="K1143" t="s">
        <v>29</v>
      </c>
      <c r="M1143">
        <v>100</v>
      </c>
      <c r="N1143" s="1">
        <v>45824</v>
      </c>
      <c r="O1143" s="12"/>
    </row>
    <row r="1144" spans="1:15" x14ac:dyDescent="0.25">
      <c r="A1144" s="22" t="s">
        <v>7576</v>
      </c>
      <c r="B1144" t="s">
        <v>704</v>
      </c>
      <c r="C1144" t="s">
        <v>243</v>
      </c>
      <c r="D1144" t="s">
        <v>244</v>
      </c>
      <c r="E1144" t="s">
        <v>7577</v>
      </c>
      <c r="F1144" t="s">
        <v>5646</v>
      </c>
      <c r="G1144" s="1">
        <v>45806</v>
      </c>
      <c r="H1144" s="1"/>
      <c r="I1144" t="s">
        <v>1737</v>
      </c>
      <c r="J1144" t="s">
        <v>29</v>
      </c>
      <c r="K1144" t="s">
        <v>29</v>
      </c>
      <c r="M1144">
        <v>100</v>
      </c>
      <c r="N1144" s="1">
        <v>45866</v>
      </c>
      <c r="O1144" s="12"/>
    </row>
    <row r="1145" spans="1:15" x14ac:dyDescent="0.25">
      <c r="A1145" t="s">
        <v>7578</v>
      </c>
      <c r="B1145" t="s">
        <v>621</v>
      </c>
      <c r="C1145" t="s">
        <v>6858</v>
      </c>
      <c r="D1145" t="s">
        <v>633</v>
      </c>
      <c r="E1145" t="s">
        <v>7579</v>
      </c>
      <c r="F1145" t="s">
        <v>14</v>
      </c>
      <c r="G1145" s="1">
        <v>45804</v>
      </c>
      <c r="H1145" s="1"/>
      <c r="I1145" t="s">
        <v>1737</v>
      </c>
      <c r="J1145" t="s">
        <v>29</v>
      </c>
      <c r="K1145" t="s">
        <v>29</v>
      </c>
      <c r="M1145">
        <v>100</v>
      </c>
      <c r="N1145" s="1">
        <v>45827</v>
      </c>
      <c r="O1145" s="12"/>
    </row>
    <row r="1146" spans="1:15" x14ac:dyDescent="0.25">
      <c r="A1146" s="22" t="s">
        <v>7580</v>
      </c>
      <c r="B1146" t="s">
        <v>704</v>
      </c>
      <c r="C1146" t="s">
        <v>1598</v>
      </c>
      <c r="D1146" t="s">
        <v>7581</v>
      </c>
      <c r="E1146" t="s">
        <v>7582</v>
      </c>
      <c r="F1146" t="s">
        <v>7583</v>
      </c>
      <c r="G1146" s="1">
        <v>45810</v>
      </c>
      <c r="H1146" s="1"/>
      <c r="I1146" t="s">
        <v>1737</v>
      </c>
      <c r="J1146" t="s">
        <v>29</v>
      </c>
      <c r="K1146" t="s">
        <v>29</v>
      </c>
      <c r="M1146">
        <v>100</v>
      </c>
      <c r="N1146" s="1">
        <v>45859</v>
      </c>
      <c r="O1146" s="12" t="s">
        <v>7584</v>
      </c>
    </row>
    <row r="1147" spans="1:15" x14ac:dyDescent="0.25">
      <c r="A1147" s="22" t="s">
        <v>7585</v>
      </c>
      <c r="B1147" s="22" t="s">
        <v>704</v>
      </c>
      <c r="C1147" s="22" t="s">
        <v>4242</v>
      </c>
      <c r="D1147" s="22" t="s">
        <v>475</v>
      </c>
      <c r="E1147" s="22" t="s">
        <v>7586</v>
      </c>
      <c r="F1147" s="22" t="s">
        <v>5646</v>
      </c>
      <c r="G1147" s="52">
        <v>45810</v>
      </c>
      <c r="H1147" s="52"/>
      <c r="I1147" s="22" t="s">
        <v>1737</v>
      </c>
      <c r="J1147" s="22" t="s">
        <v>29</v>
      </c>
      <c r="K1147" s="22" t="s">
        <v>29</v>
      </c>
      <c r="L1147" s="22"/>
      <c r="M1147" s="22">
        <v>100</v>
      </c>
      <c r="N1147" s="52">
        <v>45820</v>
      </c>
      <c r="O1147" s="53"/>
    </row>
    <row r="1148" spans="1:15" x14ac:dyDescent="0.25">
      <c r="A1148" s="22" t="s">
        <v>7587</v>
      </c>
      <c r="B1148" t="s">
        <v>704</v>
      </c>
      <c r="C1148" t="s">
        <v>243</v>
      </c>
      <c r="D1148" t="s">
        <v>244</v>
      </c>
      <c r="E1148" t="s">
        <v>7588</v>
      </c>
      <c r="F1148" t="s">
        <v>7589</v>
      </c>
      <c r="G1148" s="1">
        <v>45811</v>
      </c>
      <c r="H1148" s="1"/>
      <c r="I1148" t="s">
        <v>1737</v>
      </c>
      <c r="J1148" t="s">
        <v>29</v>
      </c>
      <c r="K1148" t="s">
        <v>29</v>
      </c>
      <c r="M1148">
        <v>100</v>
      </c>
      <c r="N1148" s="1">
        <v>45825</v>
      </c>
      <c r="O1148" s="12"/>
    </row>
    <row r="1149" spans="1:15" x14ac:dyDescent="0.25">
      <c r="A1149" t="s">
        <v>7590</v>
      </c>
      <c r="B1149" t="s">
        <v>704</v>
      </c>
      <c r="C1149" t="s">
        <v>7591</v>
      </c>
      <c r="D1149" t="s">
        <v>7503</v>
      </c>
      <c r="E1149" t="s">
        <v>7592</v>
      </c>
      <c r="F1149" t="s">
        <v>5413</v>
      </c>
      <c r="G1149" s="1">
        <v>45812</v>
      </c>
      <c r="H1149" s="1"/>
      <c r="I1149" t="s">
        <v>1737</v>
      </c>
      <c r="J1149" t="s">
        <v>29</v>
      </c>
      <c r="K1149" t="s">
        <v>29</v>
      </c>
      <c r="M1149">
        <v>100</v>
      </c>
      <c r="N1149" s="1">
        <v>45845</v>
      </c>
      <c r="O1149" s="12" t="s">
        <v>7593</v>
      </c>
    </row>
    <row r="1150" spans="1:15" x14ac:dyDescent="0.25">
      <c r="A1150" t="s">
        <v>7594</v>
      </c>
      <c r="B1150" t="s">
        <v>704</v>
      </c>
      <c r="C1150" t="s">
        <v>4737</v>
      </c>
      <c r="D1150" t="s">
        <v>5380</v>
      </c>
      <c r="E1150" t="s">
        <v>5908</v>
      </c>
      <c r="F1150" t="s">
        <v>555</v>
      </c>
      <c r="G1150" s="1">
        <v>45813</v>
      </c>
      <c r="H1150" s="1"/>
      <c r="I1150" t="s">
        <v>1737</v>
      </c>
      <c r="J1150" t="s">
        <v>29</v>
      </c>
      <c r="K1150" t="s">
        <v>29</v>
      </c>
      <c r="M1150">
        <v>100</v>
      </c>
      <c r="N1150" s="1">
        <v>45813</v>
      </c>
      <c r="O1150" s="12"/>
    </row>
    <row r="1151" spans="1:15" x14ac:dyDescent="0.25">
      <c r="A1151" s="22" t="s">
        <v>7595</v>
      </c>
      <c r="B1151" t="s">
        <v>704</v>
      </c>
      <c r="C1151" t="s">
        <v>32</v>
      </c>
      <c r="D1151" t="s">
        <v>475</v>
      </c>
      <c r="E1151" t="s">
        <v>7596</v>
      </c>
      <c r="F1151" t="s">
        <v>7388</v>
      </c>
      <c r="G1151" s="1">
        <v>45813</v>
      </c>
      <c r="H1151" s="1"/>
      <c r="I1151" t="s">
        <v>1737</v>
      </c>
      <c r="J1151" t="s">
        <v>29</v>
      </c>
      <c r="K1151" t="s">
        <v>29</v>
      </c>
      <c r="M1151">
        <v>100</v>
      </c>
      <c r="N1151" s="1">
        <v>45838</v>
      </c>
      <c r="O1151" s="12"/>
    </row>
    <row r="1152" spans="1:15" x14ac:dyDescent="0.25">
      <c r="A1152" t="s">
        <v>7597</v>
      </c>
      <c r="B1152" t="s">
        <v>704</v>
      </c>
      <c r="C1152" t="s">
        <v>32</v>
      </c>
      <c r="D1152" t="s">
        <v>475</v>
      </c>
      <c r="E1152" t="s">
        <v>7598</v>
      </c>
      <c r="F1152" t="s">
        <v>7388</v>
      </c>
      <c r="G1152" s="1">
        <v>45813</v>
      </c>
      <c r="H1152" s="1"/>
      <c r="I1152" t="s">
        <v>1737</v>
      </c>
      <c r="J1152" t="s">
        <v>29</v>
      </c>
      <c r="K1152" t="s">
        <v>29</v>
      </c>
      <c r="M1152">
        <v>100</v>
      </c>
      <c r="N1152" s="1">
        <v>45895</v>
      </c>
      <c r="O1152" s="12" t="s">
        <v>7599</v>
      </c>
    </row>
    <row r="1153" spans="1:15" x14ac:dyDescent="0.25">
      <c r="A1153" t="s">
        <v>7600</v>
      </c>
      <c r="B1153" t="s">
        <v>13</v>
      </c>
      <c r="C1153" t="s">
        <v>997</v>
      </c>
      <c r="D1153" t="s">
        <v>150</v>
      </c>
      <c r="E1153" t="s">
        <v>7601</v>
      </c>
      <c r="F1153" t="s">
        <v>14</v>
      </c>
      <c r="G1153" s="1">
        <v>45813</v>
      </c>
      <c r="H1153" s="1"/>
      <c r="I1153" t="s">
        <v>1737</v>
      </c>
      <c r="J1153" t="s">
        <v>29</v>
      </c>
      <c r="K1153" t="s">
        <v>29</v>
      </c>
      <c r="M1153">
        <v>100</v>
      </c>
      <c r="N1153" s="1">
        <v>45813</v>
      </c>
      <c r="O1153" s="12"/>
    </row>
    <row r="1154" spans="1:15" x14ac:dyDescent="0.25">
      <c r="A1154" t="s">
        <v>7602</v>
      </c>
      <c r="B1154" t="s">
        <v>704</v>
      </c>
      <c r="C1154" t="s">
        <v>243</v>
      </c>
      <c r="D1154" t="s">
        <v>244</v>
      </c>
      <c r="E1154" t="s">
        <v>7603</v>
      </c>
      <c r="F1154" t="s">
        <v>6019</v>
      </c>
      <c r="G1154" s="1">
        <v>45814</v>
      </c>
      <c r="H1154" s="1"/>
      <c r="I1154" t="s">
        <v>1737</v>
      </c>
      <c r="J1154" t="s">
        <v>29</v>
      </c>
      <c r="K1154" t="s">
        <v>29</v>
      </c>
      <c r="M1154">
        <v>100</v>
      </c>
      <c r="N1154" s="1">
        <v>45824</v>
      </c>
      <c r="O1154" s="12"/>
    </row>
    <row r="1155" spans="1:15" x14ac:dyDescent="0.25">
      <c r="A1155" t="s">
        <v>7604</v>
      </c>
      <c r="B1155" t="s">
        <v>704</v>
      </c>
      <c r="C1155" t="s">
        <v>243</v>
      </c>
      <c r="D1155" t="s">
        <v>244</v>
      </c>
      <c r="E1155" t="s">
        <v>7605</v>
      </c>
      <c r="F1155" t="s">
        <v>7404</v>
      </c>
      <c r="G1155" s="1">
        <v>45814</v>
      </c>
      <c r="H1155" s="1"/>
      <c r="I1155" t="s">
        <v>1737</v>
      </c>
      <c r="J1155" t="s">
        <v>29</v>
      </c>
      <c r="K1155" t="s">
        <v>29</v>
      </c>
      <c r="M1155">
        <v>100</v>
      </c>
      <c r="N1155" s="1">
        <v>45821</v>
      </c>
      <c r="O1155" s="12"/>
    </row>
    <row r="1156" spans="1:15" x14ac:dyDescent="0.25">
      <c r="A1156" t="s">
        <v>7606</v>
      </c>
      <c r="B1156" t="s">
        <v>704</v>
      </c>
      <c r="C1156" t="s">
        <v>677</v>
      </c>
      <c r="D1156" t="s">
        <v>7281</v>
      </c>
      <c r="E1156" t="s">
        <v>5820</v>
      </c>
      <c r="F1156" t="s">
        <v>5821</v>
      </c>
      <c r="G1156" s="1">
        <v>45817</v>
      </c>
      <c r="H1156" s="1"/>
      <c r="I1156" t="s">
        <v>1737</v>
      </c>
      <c r="J1156" t="s">
        <v>29</v>
      </c>
      <c r="K1156" t="s">
        <v>29</v>
      </c>
      <c r="M1156">
        <v>100</v>
      </c>
      <c r="N1156" s="1">
        <v>45820</v>
      </c>
      <c r="O1156" s="12"/>
    </row>
    <row r="1157" spans="1:15" x14ac:dyDescent="0.25">
      <c r="A1157" t="s">
        <v>7607</v>
      </c>
      <c r="B1157" t="s">
        <v>704</v>
      </c>
      <c r="C1157" t="s">
        <v>32</v>
      </c>
      <c r="D1157" t="s">
        <v>5156</v>
      </c>
      <c r="E1157" t="s">
        <v>6706</v>
      </c>
      <c r="F1157" t="s">
        <v>5728</v>
      </c>
      <c r="G1157" s="1">
        <v>45817</v>
      </c>
      <c r="H1157" s="1"/>
      <c r="I1157" t="s">
        <v>1737</v>
      </c>
      <c r="J1157" t="s">
        <v>29</v>
      </c>
      <c r="K1157" t="s">
        <v>29</v>
      </c>
      <c r="M1157">
        <v>100</v>
      </c>
      <c r="N1157" s="1">
        <v>45826</v>
      </c>
      <c r="O1157" s="12"/>
    </row>
    <row r="1158" spans="1:15" x14ac:dyDescent="0.25">
      <c r="A1158" t="s">
        <v>7608</v>
      </c>
      <c r="B1158" t="s">
        <v>135</v>
      </c>
      <c r="C1158" t="s">
        <v>766</v>
      </c>
      <c r="D1158" t="s">
        <v>1266</v>
      </c>
      <c r="E1158" t="s">
        <v>7609</v>
      </c>
      <c r="F1158" t="s">
        <v>14</v>
      </c>
      <c r="G1158" s="1">
        <v>45817</v>
      </c>
      <c r="H1158" s="1"/>
      <c r="I1158" t="s">
        <v>1737</v>
      </c>
      <c r="J1158" t="s">
        <v>29</v>
      </c>
      <c r="K1158" t="s">
        <v>29</v>
      </c>
      <c r="M1158">
        <v>100</v>
      </c>
      <c r="N1158" s="1">
        <v>45845</v>
      </c>
      <c r="O1158" s="12"/>
    </row>
    <row r="1159" spans="1:15" x14ac:dyDescent="0.25">
      <c r="A1159" t="s">
        <v>7610</v>
      </c>
      <c r="B1159" t="s">
        <v>13</v>
      </c>
      <c r="C1159" t="s">
        <v>243</v>
      </c>
      <c r="D1159" t="s">
        <v>244</v>
      </c>
      <c r="E1159" t="s">
        <v>7611</v>
      </c>
      <c r="F1159" t="s">
        <v>14</v>
      </c>
      <c r="G1159" s="1">
        <v>45817</v>
      </c>
      <c r="H1159" s="1"/>
      <c r="I1159" t="s">
        <v>1737</v>
      </c>
      <c r="J1159" s="78" t="s">
        <v>29</v>
      </c>
      <c r="K1159" t="s">
        <v>29</v>
      </c>
      <c r="M1159">
        <v>100</v>
      </c>
      <c r="N1159" s="1">
        <v>45946</v>
      </c>
      <c r="O1159" s="12" t="s">
        <v>4994</v>
      </c>
    </row>
    <row r="1160" spans="1:15" x14ac:dyDescent="0.25">
      <c r="A1160" t="s">
        <v>7612</v>
      </c>
      <c r="B1160" t="s">
        <v>704</v>
      </c>
      <c r="C1160" t="s">
        <v>243</v>
      </c>
      <c r="D1160" t="s">
        <v>244</v>
      </c>
      <c r="E1160" t="s">
        <v>7613</v>
      </c>
      <c r="F1160" t="s">
        <v>7404</v>
      </c>
      <c r="G1160" s="1">
        <v>45819</v>
      </c>
      <c r="H1160" s="1"/>
      <c r="I1160" t="s">
        <v>1737</v>
      </c>
      <c r="J1160" t="s">
        <v>29</v>
      </c>
      <c r="K1160" t="s">
        <v>29</v>
      </c>
      <c r="M1160">
        <v>100</v>
      </c>
      <c r="N1160" s="1">
        <v>45827</v>
      </c>
      <c r="O1160" s="12"/>
    </row>
    <row r="1161" spans="1:15" x14ac:dyDescent="0.25">
      <c r="A1161" t="s">
        <v>7614</v>
      </c>
      <c r="B1161" t="s">
        <v>704</v>
      </c>
      <c r="C1161" t="s">
        <v>4737</v>
      </c>
      <c r="D1161" t="s">
        <v>5380</v>
      </c>
      <c r="E1161" t="s">
        <v>4715</v>
      </c>
      <c r="F1161" t="s">
        <v>555</v>
      </c>
      <c r="G1161" s="1">
        <v>45820</v>
      </c>
      <c r="H1161" s="1"/>
      <c r="I1161" t="s">
        <v>1737</v>
      </c>
      <c r="J1161" t="s">
        <v>29</v>
      </c>
      <c r="K1161" t="s">
        <v>29</v>
      </c>
      <c r="M1161" t="s">
        <v>7615</v>
      </c>
      <c r="N1161" s="1">
        <v>45820</v>
      </c>
      <c r="O1161" s="12"/>
    </row>
    <row r="1162" spans="1:15" x14ac:dyDescent="0.25">
      <c r="A1162" t="s">
        <v>7616</v>
      </c>
      <c r="B1162" t="s">
        <v>704</v>
      </c>
      <c r="C1162" t="s">
        <v>243</v>
      </c>
      <c r="D1162" t="s">
        <v>6247</v>
      </c>
      <c r="E1162" t="s">
        <v>6403</v>
      </c>
      <c r="F1162" t="s">
        <v>5413</v>
      </c>
      <c r="G1162" s="1">
        <v>45821</v>
      </c>
      <c r="H1162" s="1"/>
      <c r="I1162" t="s">
        <v>1737</v>
      </c>
      <c r="J1162" t="s">
        <v>29</v>
      </c>
      <c r="K1162" t="s">
        <v>29</v>
      </c>
      <c r="M1162">
        <v>100</v>
      </c>
      <c r="N1162" s="1">
        <v>45833</v>
      </c>
      <c r="O1162" s="12"/>
    </row>
    <row r="1163" spans="1:15" x14ac:dyDescent="0.25">
      <c r="A1163" t="s">
        <v>7617</v>
      </c>
      <c r="B1163" t="s">
        <v>704</v>
      </c>
      <c r="C1163" t="s">
        <v>243</v>
      </c>
      <c r="D1163" t="s">
        <v>244</v>
      </c>
      <c r="E1163" t="s">
        <v>7618</v>
      </c>
      <c r="F1163" t="s">
        <v>6019</v>
      </c>
      <c r="G1163" s="1">
        <v>45821</v>
      </c>
      <c r="H1163" s="1"/>
      <c r="I1163" t="s">
        <v>1737</v>
      </c>
      <c r="J1163" t="s">
        <v>29</v>
      </c>
      <c r="K1163" t="s">
        <v>29</v>
      </c>
      <c r="M1163">
        <v>100</v>
      </c>
      <c r="N1163" s="1">
        <v>45835</v>
      </c>
      <c r="O1163" s="12"/>
    </row>
    <row r="1164" spans="1:15" x14ac:dyDescent="0.25">
      <c r="A1164" t="s">
        <v>7619</v>
      </c>
      <c r="B1164" t="s">
        <v>24</v>
      </c>
      <c r="C1164" t="s">
        <v>159</v>
      </c>
      <c r="D1164" t="s">
        <v>1266</v>
      </c>
      <c r="E1164" t="s">
        <v>1662</v>
      </c>
      <c r="F1164" t="s">
        <v>5821</v>
      </c>
      <c r="G1164" s="1">
        <v>45824</v>
      </c>
      <c r="H1164" s="1"/>
      <c r="I1164" t="s">
        <v>1737</v>
      </c>
      <c r="J1164" t="s">
        <v>29</v>
      </c>
      <c r="K1164" t="s">
        <v>29</v>
      </c>
      <c r="M1164">
        <v>100</v>
      </c>
      <c r="N1164" s="1">
        <v>45845</v>
      </c>
      <c r="O1164" s="12"/>
    </row>
    <row r="1165" spans="1:15" x14ac:dyDescent="0.25">
      <c r="A1165" t="s">
        <v>7620</v>
      </c>
      <c r="B1165" t="s">
        <v>704</v>
      </c>
      <c r="C1165" t="s">
        <v>670</v>
      </c>
      <c r="D1165" t="s">
        <v>671</v>
      </c>
      <c r="E1165" t="s">
        <v>5567</v>
      </c>
      <c r="F1165" t="s">
        <v>5413</v>
      </c>
      <c r="G1165" s="1">
        <v>45824</v>
      </c>
      <c r="H1165" s="1"/>
      <c r="I1165" t="s">
        <v>1737</v>
      </c>
      <c r="J1165" t="s">
        <v>29</v>
      </c>
      <c r="K1165" t="s">
        <v>29</v>
      </c>
      <c r="M1165">
        <v>100</v>
      </c>
      <c r="N1165" s="1">
        <v>45853</v>
      </c>
      <c r="O1165" s="12"/>
    </row>
    <row r="1166" spans="1:15" x14ac:dyDescent="0.25">
      <c r="A1166" t="s">
        <v>7621</v>
      </c>
      <c r="B1166" t="s">
        <v>24</v>
      </c>
      <c r="C1166" t="s">
        <v>1126</v>
      </c>
      <c r="D1166" t="s">
        <v>1017</v>
      </c>
      <c r="E1166" t="s">
        <v>7622</v>
      </c>
      <c r="F1166" t="s">
        <v>659</v>
      </c>
      <c r="G1166" s="1">
        <v>45824</v>
      </c>
      <c r="H1166" s="1"/>
      <c r="I1166" t="s">
        <v>1737</v>
      </c>
      <c r="J1166" t="s">
        <v>29</v>
      </c>
      <c r="K1166" t="s">
        <v>29</v>
      </c>
      <c r="M1166">
        <v>100</v>
      </c>
      <c r="N1166" s="1">
        <v>45832</v>
      </c>
      <c r="O1166" s="12"/>
    </row>
    <row r="1167" spans="1:15" x14ac:dyDescent="0.25">
      <c r="A1167" t="s">
        <v>7623</v>
      </c>
      <c r="B1167" t="s">
        <v>704</v>
      </c>
      <c r="C1167" t="s">
        <v>670</v>
      </c>
      <c r="D1167" t="s">
        <v>671</v>
      </c>
      <c r="E1167" t="s">
        <v>5567</v>
      </c>
      <c r="F1167" t="s">
        <v>5413</v>
      </c>
      <c r="G1167" s="1">
        <v>45826</v>
      </c>
      <c r="H1167" s="1"/>
      <c r="I1167" t="s">
        <v>1737</v>
      </c>
      <c r="J1167" t="s">
        <v>29</v>
      </c>
      <c r="K1167" t="s">
        <v>29</v>
      </c>
      <c r="M1167">
        <v>100</v>
      </c>
      <c r="N1167" s="1">
        <v>45856</v>
      </c>
      <c r="O1167" s="12"/>
    </row>
    <row r="1168" spans="1:15" x14ac:dyDescent="0.25">
      <c r="A1168" t="s">
        <v>7624</v>
      </c>
      <c r="B1168" t="s">
        <v>704</v>
      </c>
      <c r="C1168" t="s">
        <v>4698</v>
      </c>
      <c r="D1168" t="s">
        <v>5691</v>
      </c>
      <c r="E1168" t="s">
        <v>7625</v>
      </c>
      <c r="F1168" t="s">
        <v>5413</v>
      </c>
      <c r="G1168" s="1">
        <v>45826</v>
      </c>
      <c r="H1168" s="1"/>
      <c r="I1168" t="s">
        <v>1737</v>
      </c>
      <c r="J1168" t="s">
        <v>29</v>
      </c>
      <c r="K1168" t="s">
        <v>29</v>
      </c>
      <c r="M1168">
        <v>100</v>
      </c>
      <c r="N1168" s="1">
        <v>45831</v>
      </c>
      <c r="O1168" s="12"/>
    </row>
    <row r="1169" spans="1:15" x14ac:dyDescent="0.25">
      <c r="A1169" t="s">
        <v>7626</v>
      </c>
      <c r="B1169" t="s">
        <v>1203</v>
      </c>
      <c r="C1169" t="s">
        <v>177</v>
      </c>
      <c r="D1169" t="s">
        <v>704</v>
      </c>
      <c r="E1169" t="s">
        <v>7627</v>
      </c>
      <c r="F1169" t="s">
        <v>7022</v>
      </c>
      <c r="G1169" s="1">
        <v>45817</v>
      </c>
      <c r="H1169" s="1"/>
      <c r="I1169" t="s">
        <v>1737</v>
      </c>
      <c r="J1169" t="s">
        <v>29</v>
      </c>
      <c r="M1169">
        <v>100</v>
      </c>
      <c r="N1169" s="1">
        <v>45853</v>
      </c>
      <c r="O1169" s="29"/>
    </row>
    <row r="1170" spans="1:15" x14ac:dyDescent="0.25">
      <c r="A1170" t="s">
        <v>7628</v>
      </c>
      <c r="B1170" t="s">
        <v>13</v>
      </c>
      <c r="C1170" t="s">
        <v>1229</v>
      </c>
      <c r="D1170" t="s">
        <v>1230</v>
      </c>
      <c r="E1170" t="s">
        <v>7629</v>
      </c>
      <c r="F1170" t="s">
        <v>14</v>
      </c>
      <c r="G1170" s="1">
        <v>45827</v>
      </c>
      <c r="H1170" s="1"/>
      <c r="I1170" t="s">
        <v>1737</v>
      </c>
      <c r="J1170" t="s">
        <v>29</v>
      </c>
      <c r="M1170">
        <v>100</v>
      </c>
      <c r="N1170" s="1">
        <v>45835</v>
      </c>
      <c r="O1170" s="12"/>
    </row>
    <row r="1171" spans="1:15" x14ac:dyDescent="0.25">
      <c r="A1171" t="s">
        <v>7630</v>
      </c>
      <c r="B1171" t="s">
        <v>704</v>
      </c>
      <c r="C1171" t="s">
        <v>5762</v>
      </c>
      <c r="D1171" t="s">
        <v>671</v>
      </c>
      <c r="E1171" t="s">
        <v>7631</v>
      </c>
      <c r="F1171" t="s">
        <v>3148</v>
      </c>
      <c r="G1171" s="1">
        <v>45827</v>
      </c>
      <c r="H1171" s="1"/>
      <c r="I1171" t="s">
        <v>1737</v>
      </c>
      <c r="J1171" t="s">
        <v>29</v>
      </c>
      <c r="K1171" t="s">
        <v>29</v>
      </c>
      <c r="M1171">
        <v>100</v>
      </c>
      <c r="N1171" s="1">
        <v>45852</v>
      </c>
      <c r="O1171" s="12" t="s">
        <v>7632</v>
      </c>
    </row>
    <row r="1172" spans="1:15" x14ac:dyDescent="0.25">
      <c r="A1172" t="s">
        <v>7633</v>
      </c>
      <c r="B1172" t="s">
        <v>325</v>
      </c>
      <c r="C1172" t="s">
        <v>539</v>
      </c>
      <c r="D1172" t="s">
        <v>540</v>
      </c>
      <c r="E1172" t="s">
        <v>7634</v>
      </c>
      <c r="F1172" t="s">
        <v>14</v>
      </c>
      <c r="G1172" s="1">
        <v>45831</v>
      </c>
      <c r="H1172" s="1"/>
      <c r="I1172" t="s">
        <v>1737</v>
      </c>
      <c r="J1172" t="s">
        <v>29</v>
      </c>
      <c r="M1172">
        <v>100</v>
      </c>
      <c r="N1172" s="1">
        <v>45832</v>
      </c>
      <c r="O1172" s="12"/>
    </row>
    <row r="1173" spans="1:15" x14ac:dyDescent="0.25">
      <c r="A1173" t="s">
        <v>7635</v>
      </c>
      <c r="B1173" t="s">
        <v>325</v>
      </c>
      <c r="C1173" t="s">
        <v>539</v>
      </c>
      <c r="D1173" t="s">
        <v>540</v>
      </c>
      <c r="E1173" t="s">
        <v>7636</v>
      </c>
      <c r="F1173" t="s">
        <v>14</v>
      </c>
      <c r="G1173" s="1">
        <v>45831</v>
      </c>
      <c r="H1173" s="1"/>
      <c r="I1173" t="s">
        <v>1737</v>
      </c>
      <c r="J1173" t="s">
        <v>29</v>
      </c>
      <c r="M1173">
        <v>100</v>
      </c>
      <c r="N1173" s="1">
        <v>45829</v>
      </c>
      <c r="O1173" s="12"/>
    </row>
    <row r="1174" spans="1:15" x14ac:dyDescent="0.25">
      <c r="A1174" t="s">
        <v>7637</v>
      </c>
      <c r="B1174" t="s">
        <v>7638</v>
      </c>
      <c r="C1174" t="s">
        <v>539</v>
      </c>
      <c r="D1174" t="s">
        <v>540</v>
      </c>
      <c r="E1174" t="s">
        <v>7639</v>
      </c>
      <c r="F1174" t="s">
        <v>14</v>
      </c>
      <c r="G1174" s="1">
        <v>45831</v>
      </c>
      <c r="H1174" s="1"/>
      <c r="I1174" t="s">
        <v>1737</v>
      </c>
      <c r="J1174" t="s">
        <v>29</v>
      </c>
      <c r="M1174">
        <v>100</v>
      </c>
      <c r="N1174" s="1">
        <v>45975</v>
      </c>
      <c r="O1174" s="12" t="s">
        <v>4994</v>
      </c>
    </row>
    <row r="1175" spans="1:15" x14ac:dyDescent="0.25">
      <c r="A1175" t="s">
        <v>7640</v>
      </c>
      <c r="B1175" t="s">
        <v>704</v>
      </c>
      <c r="C1175" t="s">
        <v>7641</v>
      </c>
      <c r="D1175" t="s">
        <v>7642</v>
      </c>
      <c r="E1175" t="s">
        <v>7643</v>
      </c>
      <c r="F1175" t="s">
        <v>5413</v>
      </c>
      <c r="G1175" s="1">
        <v>45832</v>
      </c>
      <c r="H1175" s="1"/>
      <c r="I1175" t="s">
        <v>1737</v>
      </c>
      <c r="J1175" t="s">
        <v>29</v>
      </c>
      <c r="K1175" t="s">
        <v>29</v>
      </c>
      <c r="M1175">
        <v>100</v>
      </c>
      <c r="N1175" s="1">
        <v>45862</v>
      </c>
      <c r="O1175" s="12"/>
    </row>
    <row r="1176" spans="1:15" x14ac:dyDescent="0.25">
      <c r="A1176" t="s">
        <v>7644</v>
      </c>
      <c r="B1176" t="s">
        <v>704</v>
      </c>
      <c r="C1176" t="s">
        <v>677</v>
      </c>
      <c r="D1176" t="s">
        <v>7645</v>
      </c>
      <c r="E1176" t="s">
        <v>6610</v>
      </c>
      <c r="F1176" t="s">
        <v>555</v>
      </c>
      <c r="G1176" s="1">
        <v>45833</v>
      </c>
      <c r="H1176" s="1"/>
      <c r="I1176" t="s">
        <v>1737</v>
      </c>
      <c r="J1176" t="s">
        <v>29</v>
      </c>
      <c r="K1176" t="s">
        <v>29</v>
      </c>
      <c r="M1176">
        <v>100</v>
      </c>
      <c r="N1176" s="1">
        <v>45838</v>
      </c>
      <c r="O1176" s="12"/>
    </row>
    <row r="1177" spans="1:15" x14ac:dyDescent="0.25">
      <c r="A1177" t="s">
        <v>7646</v>
      </c>
      <c r="B1177" t="s">
        <v>704</v>
      </c>
      <c r="C1177" t="s">
        <v>578</v>
      </c>
      <c r="D1177" t="s">
        <v>284</v>
      </c>
      <c r="E1177" t="s">
        <v>7647</v>
      </c>
      <c r="F1177" t="s">
        <v>5970</v>
      </c>
      <c r="G1177" s="1">
        <v>45834</v>
      </c>
      <c r="H1177" s="1"/>
      <c r="I1177" t="s">
        <v>1737</v>
      </c>
      <c r="J1177" t="s">
        <v>29</v>
      </c>
      <c r="K1177" t="s">
        <v>29</v>
      </c>
      <c r="M1177">
        <v>100</v>
      </c>
      <c r="N1177" s="1">
        <v>45862</v>
      </c>
      <c r="O1177" s="79"/>
    </row>
    <row r="1178" spans="1:15" x14ac:dyDescent="0.25">
      <c r="A1178" t="s">
        <v>7648</v>
      </c>
      <c r="B1178" t="s">
        <v>704</v>
      </c>
      <c r="C1178" t="s">
        <v>539</v>
      </c>
      <c r="D1178" t="s">
        <v>540</v>
      </c>
      <c r="E1178" t="s">
        <v>7649</v>
      </c>
      <c r="F1178" t="s">
        <v>14</v>
      </c>
      <c r="G1178" s="1">
        <v>45833</v>
      </c>
      <c r="H1178" s="1"/>
      <c r="I1178" t="s">
        <v>1737</v>
      </c>
      <c r="J1178" t="s">
        <v>29</v>
      </c>
      <c r="K1178" t="s">
        <v>29</v>
      </c>
      <c r="M1178">
        <v>100</v>
      </c>
      <c r="N1178" s="1">
        <v>45839</v>
      </c>
      <c r="O1178" s="12"/>
    </row>
    <row r="1179" spans="1:15" x14ac:dyDescent="0.25">
      <c r="A1179" t="s">
        <v>7650</v>
      </c>
      <c r="B1179" t="s">
        <v>4144</v>
      </c>
      <c r="C1179" t="s">
        <v>7562</v>
      </c>
      <c r="D1179" t="s">
        <v>7563</v>
      </c>
      <c r="E1179" t="s">
        <v>7651</v>
      </c>
      <c r="F1179" t="s">
        <v>14</v>
      </c>
      <c r="G1179" s="1">
        <v>45833</v>
      </c>
      <c r="H1179" s="1"/>
      <c r="I1179" t="s">
        <v>1737</v>
      </c>
      <c r="J1179" t="s">
        <v>29</v>
      </c>
      <c r="M1179">
        <v>100</v>
      </c>
      <c r="N1179" s="1">
        <v>45875</v>
      </c>
      <c r="O1179" s="12" t="s">
        <v>4994</v>
      </c>
    </row>
    <row r="1180" spans="1:15" x14ac:dyDescent="0.25">
      <c r="A1180" t="s">
        <v>7652</v>
      </c>
      <c r="B1180" t="s">
        <v>704</v>
      </c>
      <c r="C1180" t="s">
        <v>4698</v>
      </c>
      <c r="D1180" t="s">
        <v>5478</v>
      </c>
      <c r="E1180" t="s">
        <v>6403</v>
      </c>
      <c r="F1180" t="s">
        <v>5413</v>
      </c>
      <c r="G1180" s="1">
        <v>45835</v>
      </c>
      <c r="H1180" s="1"/>
      <c r="I1180" t="s">
        <v>1737</v>
      </c>
      <c r="J1180" t="s">
        <v>29</v>
      </c>
      <c r="K1180" t="s">
        <v>29</v>
      </c>
      <c r="M1180">
        <v>100</v>
      </c>
      <c r="N1180" s="1">
        <v>45849</v>
      </c>
      <c r="O1180" s="12"/>
    </row>
    <row r="1181" spans="1:15" x14ac:dyDescent="0.25">
      <c r="A1181" t="s">
        <v>7653</v>
      </c>
      <c r="B1181" t="s">
        <v>135</v>
      </c>
      <c r="C1181" t="s">
        <v>539</v>
      </c>
      <c r="D1181" t="s">
        <v>540</v>
      </c>
      <c r="E1181" t="s">
        <v>7654</v>
      </c>
      <c r="F1181" t="s">
        <v>14</v>
      </c>
      <c r="G1181" s="1">
        <v>45831</v>
      </c>
      <c r="H1181" s="1"/>
      <c r="I1181" t="s">
        <v>1737</v>
      </c>
      <c r="J1181" t="s">
        <v>29</v>
      </c>
      <c r="K1181" t="s">
        <v>29</v>
      </c>
      <c r="M1181">
        <v>100</v>
      </c>
      <c r="N1181" s="1">
        <v>45838</v>
      </c>
      <c r="O1181" s="12" t="s">
        <v>4994</v>
      </c>
    </row>
    <row r="1182" spans="1:15" x14ac:dyDescent="0.25">
      <c r="A1182" t="s">
        <v>7655</v>
      </c>
      <c r="B1182" t="s">
        <v>7656</v>
      </c>
      <c r="C1182" t="s">
        <v>539</v>
      </c>
      <c r="D1182" t="s">
        <v>540</v>
      </c>
      <c r="E1182" t="s">
        <v>7657</v>
      </c>
      <c r="F1182" t="s">
        <v>14</v>
      </c>
      <c r="G1182" s="1">
        <v>45831</v>
      </c>
      <c r="H1182" s="1"/>
      <c r="I1182" t="s">
        <v>1737</v>
      </c>
      <c r="J1182" t="s">
        <v>29</v>
      </c>
      <c r="M1182">
        <v>100</v>
      </c>
      <c r="N1182" s="1">
        <v>45975</v>
      </c>
      <c r="O1182" s="12" t="s">
        <v>4994</v>
      </c>
    </row>
    <row r="1183" spans="1:15" x14ac:dyDescent="0.25">
      <c r="A1183" t="s">
        <v>7658</v>
      </c>
      <c r="B1183" t="s">
        <v>7656</v>
      </c>
      <c r="C1183" t="s">
        <v>411</v>
      </c>
      <c r="D1183" t="s">
        <v>817</v>
      </c>
      <c r="E1183" t="s">
        <v>7659</v>
      </c>
      <c r="F1183" t="s">
        <v>14</v>
      </c>
      <c r="G1183" s="1">
        <v>45835</v>
      </c>
      <c r="H1183" s="1"/>
      <c r="I1183" t="s">
        <v>1737</v>
      </c>
      <c r="J1183" t="s">
        <v>29</v>
      </c>
      <c r="M1183">
        <v>100</v>
      </c>
      <c r="N1183" s="1">
        <v>45849</v>
      </c>
      <c r="O1183" s="12" t="s">
        <v>4994</v>
      </c>
    </row>
    <row r="1184" spans="1:15" x14ac:dyDescent="0.25">
      <c r="A1184" t="s">
        <v>7660</v>
      </c>
      <c r="B1184" t="s">
        <v>704</v>
      </c>
      <c r="C1184" t="s">
        <v>4698</v>
      </c>
      <c r="D1184" t="s">
        <v>5691</v>
      </c>
      <c r="E1184" t="s">
        <v>6403</v>
      </c>
      <c r="F1184" t="s">
        <v>5413</v>
      </c>
      <c r="G1184" s="1">
        <v>45839</v>
      </c>
      <c r="H1184" s="1"/>
      <c r="I1184" t="s">
        <v>1737</v>
      </c>
      <c r="J1184" t="s">
        <v>29</v>
      </c>
      <c r="K1184" t="s">
        <v>29</v>
      </c>
      <c r="M1184">
        <v>100</v>
      </c>
      <c r="N1184" s="1">
        <v>45894</v>
      </c>
      <c r="O1184" s="12" t="s">
        <v>7661</v>
      </c>
    </row>
    <row r="1185" spans="1:15" x14ac:dyDescent="0.25">
      <c r="A1185" t="s">
        <v>7662</v>
      </c>
      <c r="B1185" t="s">
        <v>704</v>
      </c>
      <c r="C1185" t="s">
        <v>5517</v>
      </c>
      <c r="D1185" t="s">
        <v>6047</v>
      </c>
      <c r="E1185" t="s">
        <v>7663</v>
      </c>
      <c r="F1185" t="s">
        <v>3148</v>
      </c>
      <c r="G1185" s="1">
        <v>45839</v>
      </c>
      <c r="H1185" s="1"/>
      <c r="I1185" t="s">
        <v>1737</v>
      </c>
      <c r="J1185" t="s">
        <v>29</v>
      </c>
      <c r="K1185" t="s">
        <v>29</v>
      </c>
      <c r="M1185">
        <v>100</v>
      </c>
      <c r="N1185" s="1">
        <v>45883</v>
      </c>
      <c r="O1185" s="12" t="s">
        <v>7664</v>
      </c>
    </row>
    <row r="1186" spans="1:15" x14ac:dyDescent="0.25">
      <c r="A1186" t="s">
        <v>7665</v>
      </c>
      <c r="B1186" t="s">
        <v>474</v>
      </c>
      <c r="C1186" t="s">
        <v>2852</v>
      </c>
      <c r="D1186" t="s">
        <v>7666</v>
      </c>
      <c r="E1186" t="s">
        <v>7667</v>
      </c>
      <c r="F1186" t="s">
        <v>5747</v>
      </c>
      <c r="G1186" s="1">
        <v>45840</v>
      </c>
      <c r="H1186" s="1"/>
      <c r="I1186" t="s">
        <v>1737</v>
      </c>
      <c r="J1186" t="s">
        <v>29</v>
      </c>
      <c r="M1186">
        <v>100</v>
      </c>
      <c r="N1186" s="1">
        <v>45860</v>
      </c>
      <c r="O1186" s="12"/>
    </row>
    <row r="1187" spans="1:15" x14ac:dyDescent="0.25">
      <c r="A1187" t="s">
        <v>7668</v>
      </c>
      <c r="B1187" t="s">
        <v>325</v>
      </c>
      <c r="C1187" t="s">
        <v>32</v>
      </c>
      <c r="D1187" t="s">
        <v>7669</v>
      </c>
      <c r="E1187" t="s">
        <v>7670</v>
      </c>
      <c r="F1187" t="s">
        <v>659</v>
      </c>
      <c r="G1187" s="1">
        <v>45846</v>
      </c>
      <c r="H1187" s="1"/>
      <c r="I1187" t="s">
        <v>1737</v>
      </c>
      <c r="J1187" t="s">
        <v>29</v>
      </c>
      <c r="M1187">
        <v>100</v>
      </c>
      <c r="N1187" s="1">
        <v>45919</v>
      </c>
      <c r="O1187" s="12" t="s">
        <v>7671</v>
      </c>
    </row>
    <row r="1188" spans="1:15" x14ac:dyDescent="0.25">
      <c r="A1188" t="s">
        <v>7672</v>
      </c>
      <c r="B1188" t="s">
        <v>325</v>
      </c>
      <c r="C1188" t="s">
        <v>32</v>
      </c>
      <c r="D1188" t="s">
        <v>1563</v>
      </c>
      <c r="E1188" t="s">
        <v>7673</v>
      </c>
      <c r="F1188" t="s">
        <v>7674</v>
      </c>
      <c r="G1188" s="1">
        <v>45846</v>
      </c>
      <c r="H1188" s="1"/>
      <c r="I1188" t="s">
        <v>1737</v>
      </c>
      <c r="J1188" t="s">
        <v>29</v>
      </c>
      <c r="M1188">
        <v>100</v>
      </c>
      <c r="N1188" s="1">
        <v>45863</v>
      </c>
      <c r="O1188" s="12"/>
    </row>
    <row r="1189" spans="1:15" x14ac:dyDescent="0.25">
      <c r="A1189" t="s">
        <v>7675</v>
      </c>
      <c r="B1189" t="s">
        <v>24</v>
      </c>
      <c r="C1189" t="s">
        <v>43</v>
      </c>
      <c r="D1189" t="s">
        <v>5089</v>
      </c>
      <c r="E1189" t="s">
        <v>1469</v>
      </c>
      <c r="F1189" t="s">
        <v>7676</v>
      </c>
      <c r="G1189" s="1">
        <v>45847</v>
      </c>
      <c r="H1189" s="1"/>
      <c r="I1189" t="s">
        <v>1737</v>
      </c>
      <c r="J1189" t="s">
        <v>29</v>
      </c>
      <c r="M1189">
        <v>100</v>
      </c>
      <c r="N1189" s="1">
        <v>45922</v>
      </c>
      <c r="O1189" s="12" t="s">
        <v>7677</v>
      </c>
    </row>
    <row r="1190" spans="1:15" x14ac:dyDescent="0.25">
      <c r="A1190" t="s">
        <v>7678</v>
      </c>
      <c r="B1190" t="s">
        <v>325</v>
      </c>
      <c r="C1190" t="s">
        <v>7679</v>
      </c>
      <c r="D1190" t="s">
        <v>7680</v>
      </c>
      <c r="E1190" t="s">
        <v>7681</v>
      </c>
      <c r="F1190" t="s">
        <v>14</v>
      </c>
      <c r="G1190" s="1">
        <v>45847</v>
      </c>
      <c r="H1190" s="1"/>
      <c r="I1190" t="s">
        <v>1737</v>
      </c>
      <c r="J1190" t="s">
        <v>29</v>
      </c>
      <c r="M1190">
        <v>100</v>
      </c>
      <c r="N1190" s="1">
        <v>45853</v>
      </c>
      <c r="O1190" s="12"/>
    </row>
    <row r="1191" spans="1:15" x14ac:dyDescent="0.25">
      <c r="A1191" t="s">
        <v>7682</v>
      </c>
      <c r="B1191" t="s">
        <v>704</v>
      </c>
      <c r="C1191" t="s">
        <v>4698</v>
      </c>
      <c r="D1191" t="s">
        <v>7683</v>
      </c>
      <c r="E1191" t="s">
        <v>7684</v>
      </c>
      <c r="F1191" t="s">
        <v>5413</v>
      </c>
      <c r="G1191" s="1">
        <v>45852</v>
      </c>
      <c r="H1191" s="1"/>
      <c r="I1191" t="s">
        <v>1737</v>
      </c>
      <c r="J1191" t="s">
        <v>29</v>
      </c>
      <c r="K1191" t="s">
        <v>29</v>
      </c>
      <c r="M1191">
        <v>100</v>
      </c>
      <c r="N1191" s="1">
        <v>45859</v>
      </c>
      <c r="O1191" s="12" t="s">
        <v>7685</v>
      </c>
    </row>
    <row r="1192" spans="1:15" x14ac:dyDescent="0.25">
      <c r="A1192" t="s">
        <v>7686</v>
      </c>
      <c r="B1192" t="s">
        <v>704</v>
      </c>
      <c r="C1192" t="s">
        <v>243</v>
      </c>
      <c r="D1192" t="s">
        <v>6247</v>
      </c>
      <c r="E1192" t="s">
        <v>4715</v>
      </c>
      <c r="F1192" t="s">
        <v>555</v>
      </c>
      <c r="G1192" s="1">
        <v>45853</v>
      </c>
      <c r="H1192" s="1"/>
      <c r="I1192" t="s">
        <v>1737</v>
      </c>
      <c r="J1192" t="s">
        <v>29</v>
      </c>
      <c r="K1192" t="s">
        <v>29</v>
      </c>
      <c r="M1192">
        <v>100</v>
      </c>
      <c r="N1192" s="1">
        <v>45856</v>
      </c>
      <c r="O1192" s="12"/>
    </row>
    <row r="1193" spans="1:15" x14ac:dyDescent="0.25">
      <c r="A1193" t="s">
        <v>7687</v>
      </c>
      <c r="B1193" t="s">
        <v>325</v>
      </c>
      <c r="C1193" t="s">
        <v>70</v>
      </c>
      <c r="D1193" t="s">
        <v>7688</v>
      </c>
      <c r="E1193" t="s">
        <v>7689</v>
      </c>
      <c r="F1193" t="s">
        <v>14</v>
      </c>
      <c r="G1193" s="1">
        <v>45866</v>
      </c>
      <c r="H1193" s="1"/>
      <c r="I1193" t="s">
        <v>1737</v>
      </c>
      <c r="J1193" t="s">
        <v>29</v>
      </c>
      <c r="M1193">
        <v>100</v>
      </c>
      <c r="N1193" s="1">
        <v>45873</v>
      </c>
      <c r="O1193" s="80" t="s">
        <v>4994</v>
      </c>
    </row>
    <row r="1194" spans="1:15" x14ac:dyDescent="0.25">
      <c r="A1194" t="s">
        <v>7690</v>
      </c>
      <c r="B1194" t="s">
        <v>704</v>
      </c>
      <c r="C1194" t="s">
        <v>6399</v>
      </c>
      <c r="D1194" t="s">
        <v>7691</v>
      </c>
      <c r="E1194" t="s">
        <v>7692</v>
      </c>
      <c r="F1194" t="s">
        <v>14</v>
      </c>
      <c r="G1194" s="1">
        <v>45854</v>
      </c>
      <c r="H1194" s="1"/>
      <c r="I1194" t="s">
        <v>1737</v>
      </c>
      <c r="J1194" t="s">
        <v>29</v>
      </c>
      <c r="K1194" t="s">
        <v>29</v>
      </c>
      <c r="M1194">
        <v>100</v>
      </c>
      <c r="N1194" s="1">
        <v>45856</v>
      </c>
      <c r="O1194" s="12"/>
    </row>
    <row r="1195" spans="1:15" x14ac:dyDescent="0.25">
      <c r="A1195" t="s">
        <v>7693</v>
      </c>
      <c r="B1195" t="s">
        <v>704</v>
      </c>
      <c r="C1195" t="s">
        <v>25</v>
      </c>
      <c r="D1195" t="s">
        <v>225</v>
      </c>
      <c r="E1195" t="s">
        <v>7694</v>
      </c>
      <c r="F1195" t="s">
        <v>555</v>
      </c>
      <c r="G1195" s="1">
        <v>45855</v>
      </c>
      <c r="H1195" s="1"/>
      <c r="I1195" t="s">
        <v>1737</v>
      </c>
      <c r="J1195" t="s">
        <v>29</v>
      </c>
      <c r="K1195" t="s">
        <v>29</v>
      </c>
      <c r="O1195" s="83" t="s">
        <v>7695</v>
      </c>
    </row>
    <row r="1196" spans="1:15" x14ac:dyDescent="0.25">
      <c r="A1196" t="s">
        <v>7696</v>
      </c>
      <c r="B1196" t="s">
        <v>474</v>
      </c>
      <c r="C1196" t="s">
        <v>578</v>
      </c>
      <c r="D1196" t="s">
        <v>960</v>
      </c>
      <c r="E1196" t="s">
        <v>7697</v>
      </c>
      <c r="F1196" t="s">
        <v>14</v>
      </c>
      <c r="G1196" s="1">
        <v>45848</v>
      </c>
      <c r="H1196" s="1"/>
      <c r="I1196" t="s">
        <v>1737</v>
      </c>
      <c r="J1196" t="s">
        <v>29</v>
      </c>
      <c r="M1196">
        <v>100</v>
      </c>
      <c r="N1196" s="1">
        <v>45869</v>
      </c>
      <c r="O1196" s="80" t="s">
        <v>4994</v>
      </c>
    </row>
    <row r="1197" spans="1:15" x14ac:dyDescent="0.25">
      <c r="A1197" t="s">
        <v>7698</v>
      </c>
      <c r="B1197" t="s">
        <v>704</v>
      </c>
      <c r="C1197" t="s">
        <v>243</v>
      </c>
      <c r="D1197" t="s">
        <v>1198</v>
      </c>
      <c r="E1197" t="s">
        <v>7699</v>
      </c>
      <c r="F1197" t="s">
        <v>3148</v>
      </c>
      <c r="G1197" s="1">
        <v>45855</v>
      </c>
      <c r="H1197" s="1"/>
      <c r="I1197" t="s">
        <v>1737</v>
      </c>
      <c r="J1197" t="s">
        <v>29</v>
      </c>
      <c r="K1197" t="s">
        <v>29</v>
      </c>
      <c r="M1197">
        <v>100</v>
      </c>
      <c r="N1197" s="1">
        <v>45866</v>
      </c>
      <c r="O1197" s="12"/>
    </row>
    <row r="1198" spans="1:15" x14ac:dyDescent="0.25">
      <c r="A1198" t="s">
        <v>7700</v>
      </c>
      <c r="B1198" t="s">
        <v>621</v>
      </c>
      <c r="C1198" t="s">
        <v>7701</v>
      </c>
      <c r="D1198" t="s">
        <v>311</v>
      </c>
      <c r="E1198" t="s">
        <v>7702</v>
      </c>
      <c r="F1198" t="s">
        <v>14</v>
      </c>
      <c r="G1198" s="1">
        <v>45855</v>
      </c>
      <c r="H1198" s="1"/>
      <c r="I1198" t="s">
        <v>1737</v>
      </c>
      <c r="J1198" t="s">
        <v>29</v>
      </c>
      <c r="M1198">
        <v>100</v>
      </c>
      <c r="N1198" s="1">
        <v>45861</v>
      </c>
      <c r="O1198" s="80"/>
    </row>
    <row r="1199" spans="1:15" x14ac:dyDescent="0.25">
      <c r="A1199" t="s">
        <v>7703</v>
      </c>
      <c r="B1199" t="s">
        <v>704</v>
      </c>
      <c r="C1199" t="s">
        <v>677</v>
      </c>
      <c r="D1199" t="s">
        <v>7645</v>
      </c>
      <c r="E1199" t="s">
        <v>5908</v>
      </c>
      <c r="F1199" t="s">
        <v>555</v>
      </c>
      <c r="G1199" s="1">
        <v>45860</v>
      </c>
      <c r="H1199" s="1"/>
      <c r="I1199" t="s">
        <v>1737</v>
      </c>
      <c r="J1199" t="s">
        <v>29</v>
      </c>
      <c r="K1199" t="s">
        <v>29</v>
      </c>
      <c r="M1199">
        <v>100</v>
      </c>
      <c r="N1199" s="1">
        <v>45862</v>
      </c>
      <c r="O1199" s="12"/>
    </row>
    <row r="1200" spans="1:15" x14ac:dyDescent="0.25">
      <c r="A1200" t="s">
        <v>7704</v>
      </c>
      <c r="B1200" t="s">
        <v>7217</v>
      </c>
      <c r="C1200" t="s">
        <v>253</v>
      </c>
      <c r="D1200" t="s">
        <v>7139</v>
      </c>
      <c r="E1200" t="s">
        <v>7705</v>
      </c>
      <c r="F1200" t="s">
        <v>3148</v>
      </c>
      <c r="G1200" s="1">
        <v>45860</v>
      </c>
      <c r="H1200" s="1"/>
      <c r="I1200" t="s">
        <v>1737</v>
      </c>
      <c r="J1200" t="s">
        <v>29</v>
      </c>
      <c r="K1200" t="s">
        <v>29</v>
      </c>
      <c r="M1200">
        <v>100</v>
      </c>
      <c r="N1200" s="1">
        <v>45860</v>
      </c>
      <c r="O1200" s="12"/>
    </row>
    <row r="1201" spans="1:15" x14ac:dyDescent="0.25">
      <c r="A1201" t="s">
        <v>7706</v>
      </c>
      <c r="B1201" t="s">
        <v>325</v>
      </c>
      <c r="C1201" t="s">
        <v>4203</v>
      </c>
      <c r="D1201" t="s">
        <v>7707</v>
      </c>
      <c r="E1201" t="s">
        <v>7708</v>
      </c>
      <c r="F1201" t="s">
        <v>14</v>
      </c>
      <c r="G1201" s="1">
        <v>45860</v>
      </c>
      <c r="H1201" s="1"/>
      <c r="I1201" t="s">
        <v>1737</v>
      </c>
      <c r="J1201" t="s">
        <v>29</v>
      </c>
      <c r="M1201">
        <v>100</v>
      </c>
      <c r="N1201" s="1">
        <v>45860</v>
      </c>
      <c r="O1201" s="12"/>
    </row>
    <row r="1202" spans="1:15" x14ac:dyDescent="0.25">
      <c r="A1202" t="s">
        <v>7709</v>
      </c>
      <c r="B1202" t="s">
        <v>704</v>
      </c>
      <c r="C1202" t="s">
        <v>243</v>
      </c>
      <c r="D1202" t="s">
        <v>244</v>
      </c>
      <c r="E1202" t="s">
        <v>4668</v>
      </c>
      <c r="F1202" t="s">
        <v>3148</v>
      </c>
      <c r="G1202" s="1">
        <v>45860</v>
      </c>
      <c r="H1202" s="1"/>
      <c r="I1202" t="s">
        <v>1737</v>
      </c>
      <c r="J1202" t="s">
        <v>29</v>
      </c>
      <c r="K1202" t="s">
        <v>29</v>
      </c>
      <c r="M1202">
        <v>100</v>
      </c>
      <c r="N1202" s="1">
        <v>45873</v>
      </c>
      <c r="O1202" s="12" t="s">
        <v>7710</v>
      </c>
    </row>
    <row r="1203" spans="1:15" x14ac:dyDescent="0.25">
      <c r="A1203" t="s">
        <v>7711</v>
      </c>
      <c r="B1203" t="s">
        <v>474</v>
      </c>
      <c r="C1203" t="s">
        <v>43</v>
      </c>
      <c r="D1203" t="s">
        <v>44</v>
      </c>
      <c r="E1203" t="s">
        <v>7712</v>
      </c>
      <c r="F1203" t="s">
        <v>5885</v>
      </c>
      <c r="G1203" s="1">
        <v>45861</v>
      </c>
      <c r="H1203" s="1"/>
      <c r="I1203" t="s">
        <v>2952</v>
      </c>
      <c r="J1203" t="s">
        <v>29</v>
      </c>
      <c r="O1203" s="12" t="s">
        <v>7713</v>
      </c>
    </row>
    <row r="1204" spans="1:15" x14ac:dyDescent="0.25">
      <c r="A1204" t="s">
        <v>7714</v>
      </c>
      <c r="B1204" t="s">
        <v>325</v>
      </c>
      <c r="C1204" t="s">
        <v>253</v>
      </c>
      <c r="D1204" t="s">
        <v>254</v>
      </c>
      <c r="E1204" t="s">
        <v>7715</v>
      </c>
      <c r="F1204" t="s">
        <v>14</v>
      </c>
      <c r="G1204" s="1">
        <v>45861</v>
      </c>
      <c r="H1204" s="1"/>
      <c r="I1204" t="s">
        <v>1737</v>
      </c>
      <c r="J1204" t="s">
        <v>29</v>
      </c>
      <c r="M1204">
        <v>100</v>
      </c>
      <c r="N1204" s="1">
        <v>45922</v>
      </c>
      <c r="O1204" s="80" t="s">
        <v>4994</v>
      </c>
    </row>
    <row r="1205" spans="1:15" x14ac:dyDescent="0.25">
      <c r="A1205" t="s">
        <v>7716</v>
      </c>
      <c r="B1205" t="s">
        <v>704</v>
      </c>
      <c r="C1205" t="s">
        <v>243</v>
      </c>
      <c r="D1205" t="s">
        <v>6247</v>
      </c>
      <c r="E1205" t="s">
        <v>7717</v>
      </c>
      <c r="F1205" t="s">
        <v>14</v>
      </c>
      <c r="G1205" s="1">
        <v>45861</v>
      </c>
      <c r="H1205" s="1"/>
      <c r="I1205" t="s">
        <v>1737</v>
      </c>
      <c r="J1205" t="s">
        <v>29</v>
      </c>
      <c r="K1205" t="s">
        <v>29</v>
      </c>
      <c r="M1205">
        <v>100</v>
      </c>
      <c r="N1205" s="1">
        <v>45863</v>
      </c>
      <c r="O1205" s="12"/>
    </row>
    <row r="1206" spans="1:15" x14ac:dyDescent="0.25">
      <c r="A1206" t="s">
        <v>7718</v>
      </c>
      <c r="B1206" t="s">
        <v>325</v>
      </c>
      <c r="C1206" t="s">
        <v>1598</v>
      </c>
      <c r="D1206" t="s">
        <v>3971</v>
      </c>
      <c r="E1206" t="s">
        <v>7719</v>
      </c>
      <c r="F1206" t="s">
        <v>14</v>
      </c>
      <c r="G1206" s="1">
        <v>45863</v>
      </c>
      <c r="H1206" s="1"/>
      <c r="I1206" t="s">
        <v>1737</v>
      </c>
      <c r="J1206" t="s">
        <v>29</v>
      </c>
      <c r="M1206">
        <v>100</v>
      </c>
      <c r="N1206" s="1">
        <v>45868</v>
      </c>
      <c r="O1206" s="12" t="s">
        <v>7720</v>
      </c>
    </row>
    <row r="1207" spans="1:15" ht="15.75" x14ac:dyDescent="0.25">
      <c r="A1207" t="s">
        <v>7721</v>
      </c>
      <c r="B1207" t="s">
        <v>325</v>
      </c>
      <c r="C1207" t="s">
        <v>7722</v>
      </c>
      <c r="D1207" t="s">
        <v>7723</v>
      </c>
      <c r="E1207" s="81" t="s">
        <v>7724</v>
      </c>
      <c r="F1207" t="s">
        <v>14</v>
      </c>
      <c r="G1207" s="1">
        <v>45863</v>
      </c>
      <c r="H1207" s="1"/>
      <c r="I1207" t="s">
        <v>1737</v>
      </c>
      <c r="J1207" t="s">
        <v>29</v>
      </c>
      <c r="M1207">
        <v>100</v>
      </c>
      <c r="N1207" s="1">
        <v>45863</v>
      </c>
      <c r="O1207" s="12" t="s">
        <v>7725</v>
      </c>
    </row>
    <row r="1208" spans="1:15" x14ac:dyDescent="0.25">
      <c r="A1208" t="s">
        <v>7726</v>
      </c>
      <c r="B1208" t="s">
        <v>704</v>
      </c>
      <c r="C1208" t="s">
        <v>7727</v>
      </c>
      <c r="D1208" t="s">
        <v>7645</v>
      </c>
      <c r="E1208" t="s">
        <v>7728</v>
      </c>
      <c r="F1208" t="s">
        <v>555</v>
      </c>
      <c r="G1208" s="1">
        <v>45863</v>
      </c>
      <c r="H1208" s="1"/>
      <c r="I1208" t="s">
        <v>1737</v>
      </c>
      <c r="J1208" t="s">
        <v>29</v>
      </c>
      <c r="M1208">
        <v>100</v>
      </c>
      <c r="N1208" s="1">
        <v>45897</v>
      </c>
      <c r="O1208" s="12" t="s">
        <v>7729</v>
      </c>
    </row>
    <row r="1209" spans="1:15" x14ac:dyDescent="0.25">
      <c r="A1209" t="s">
        <v>7730</v>
      </c>
      <c r="B1209" t="s">
        <v>704</v>
      </c>
      <c r="C1209" t="s">
        <v>243</v>
      </c>
      <c r="D1209" t="s">
        <v>6247</v>
      </c>
      <c r="E1209" t="s">
        <v>7731</v>
      </c>
      <c r="F1209" t="s">
        <v>670</v>
      </c>
      <c r="G1209" s="1">
        <v>45866</v>
      </c>
      <c r="H1209" s="1"/>
      <c r="I1209" t="s">
        <v>1737</v>
      </c>
      <c r="J1209" t="s">
        <v>29</v>
      </c>
      <c r="K1209" t="s">
        <v>29</v>
      </c>
      <c r="M1209">
        <v>100</v>
      </c>
      <c r="N1209" s="1">
        <v>45870</v>
      </c>
      <c r="O1209" s="12" t="s">
        <v>7732</v>
      </c>
    </row>
    <row r="1210" spans="1:15" x14ac:dyDescent="0.25">
      <c r="A1210" t="s">
        <v>7733</v>
      </c>
      <c r="B1210" t="s">
        <v>704</v>
      </c>
      <c r="C1210" t="s">
        <v>677</v>
      </c>
      <c r="D1210" t="s">
        <v>7508</v>
      </c>
      <c r="E1210" t="s">
        <v>7734</v>
      </c>
      <c r="F1210" t="s">
        <v>7735</v>
      </c>
      <c r="G1210" s="1">
        <v>45867</v>
      </c>
      <c r="H1210" s="1"/>
      <c r="I1210" t="s">
        <v>1737</v>
      </c>
      <c r="J1210" t="s">
        <v>29</v>
      </c>
      <c r="K1210" t="s">
        <v>29</v>
      </c>
      <c r="M1210">
        <v>100</v>
      </c>
      <c r="N1210" s="1">
        <v>45895</v>
      </c>
      <c r="O1210" s="12" t="s">
        <v>7671</v>
      </c>
    </row>
    <row r="1211" spans="1:15" x14ac:dyDescent="0.25">
      <c r="A1211" t="s">
        <v>7736</v>
      </c>
      <c r="B1211" t="s">
        <v>704</v>
      </c>
      <c r="C1211" t="s">
        <v>677</v>
      </c>
      <c r="D1211" t="s">
        <v>7508</v>
      </c>
      <c r="E1211" t="s">
        <v>7734</v>
      </c>
      <c r="F1211" t="s">
        <v>7735</v>
      </c>
      <c r="G1211" s="1">
        <v>45867</v>
      </c>
      <c r="H1211" s="1"/>
      <c r="I1211" t="s">
        <v>1737</v>
      </c>
      <c r="J1211" t="s">
        <v>29</v>
      </c>
      <c r="K1211" t="s">
        <v>29</v>
      </c>
      <c r="M1211">
        <v>100</v>
      </c>
      <c r="N1211" s="1">
        <v>45895</v>
      </c>
      <c r="O1211" s="12" t="s">
        <v>7671</v>
      </c>
    </row>
    <row r="1212" spans="1:15" x14ac:dyDescent="0.25">
      <c r="A1212" t="s">
        <v>7737</v>
      </c>
      <c r="B1212" t="s">
        <v>704</v>
      </c>
      <c r="C1212" t="s">
        <v>677</v>
      </c>
      <c r="D1212" t="s">
        <v>7508</v>
      </c>
      <c r="E1212" t="s">
        <v>7734</v>
      </c>
      <c r="F1212" t="s">
        <v>7735</v>
      </c>
      <c r="G1212" s="1">
        <v>45867</v>
      </c>
      <c r="H1212" s="1"/>
      <c r="I1212" t="s">
        <v>1737</v>
      </c>
      <c r="J1212" t="s">
        <v>29</v>
      </c>
      <c r="K1212" t="s">
        <v>29</v>
      </c>
      <c r="M1212">
        <v>100</v>
      </c>
      <c r="N1212" s="1">
        <v>45895</v>
      </c>
      <c r="O1212" s="12" t="s">
        <v>7671</v>
      </c>
    </row>
    <row r="1213" spans="1:15" x14ac:dyDescent="0.25">
      <c r="A1213" t="s">
        <v>7738</v>
      </c>
      <c r="B1213" t="s">
        <v>24</v>
      </c>
      <c r="C1213" t="s">
        <v>32</v>
      </c>
      <c r="D1213" t="s">
        <v>397</v>
      </c>
      <c r="E1213" t="s">
        <v>7739</v>
      </c>
      <c r="F1213" t="s">
        <v>6587</v>
      </c>
      <c r="G1213" s="1">
        <v>45868</v>
      </c>
      <c r="H1213" s="1"/>
      <c r="I1213" t="s">
        <v>5148</v>
      </c>
      <c r="J1213" t="s">
        <v>29</v>
      </c>
      <c r="K1213" t="s">
        <v>29</v>
      </c>
      <c r="M1213">
        <v>35</v>
      </c>
      <c r="O1213" s="12" t="s">
        <v>7740</v>
      </c>
    </row>
    <row r="1214" spans="1:15" x14ac:dyDescent="0.25">
      <c r="A1214" t="s">
        <v>7741</v>
      </c>
      <c r="B1214" t="s">
        <v>704</v>
      </c>
      <c r="C1214" t="s">
        <v>903</v>
      </c>
      <c r="D1214" t="s">
        <v>284</v>
      </c>
      <c r="E1214" t="s">
        <v>7742</v>
      </c>
      <c r="F1214" t="s">
        <v>5970</v>
      </c>
      <c r="G1214" s="1">
        <v>45868</v>
      </c>
      <c r="H1214" s="1"/>
      <c r="I1214" t="s">
        <v>1737</v>
      </c>
      <c r="J1214" t="s">
        <v>29</v>
      </c>
      <c r="K1214" t="s">
        <v>29</v>
      </c>
      <c r="M1214">
        <v>100</v>
      </c>
      <c r="N1214" s="1">
        <v>45922</v>
      </c>
      <c r="O1214" s="12"/>
    </row>
    <row r="1215" spans="1:15" ht="15.75" x14ac:dyDescent="0.25">
      <c r="A1215" t="s">
        <v>7743</v>
      </c>
      <c r="B1215" t="s">
        <v>474</v>
      </c>
      <c r="C1215" t="s">
        <v>539</v>
      </c>
      <c r="D1215" t="s">
        <v>540</v>
      </c>
      <c r="E1215" s="81" t="s">
        <v>7744</v>
      </c>
      <c r="F1215" t="s">
        <v>14</v>
      </c>
      <c r="G1215" s="1">
        <v>45867</v>
      </c>
      <c r="H1215" s="1"/>
      <c r="I1215" t="s">
        <v>1737</v>
      </c>
      <c r="J1215" t="s">
        <v>29</v>
      </c>
      <c r="K1215" t="s">
        <v>18</v>
      </c>
      <c r="M1215">
        <v>100</v>
      </c>
      <c r="N1215" s="1">
        <v>45867</v>
      </c>
      <c r="O1215" s="12"/>
    </row>
    <row r="1216" spans="1:15" x14ac:dyDescent="0.25">
      <c r="A1216" t="s">
        <v>7745</v>
      </c>
      <c r="B1216" t="s">
        <v>704</v>
      </c>
      <c r="C1216" t="s">
        <v>163</v>
      </c>
      <c r="D1216" t="s">
        <v>7102</v>
      </c>
      <c r="E1216" t="s">
        <v>5908</v>
      </c>
      <c r="F1216" t="s">
        <v>7746</v>
      </c>
      <c r="G1216" s="1">
        <v>45873</v>
      </c>
      <c r="H1216" s="1"/>
      <c r="I1216" t="s">
        <v>1737</v>
      </c>
      <c r="J1216" t="s">
        <v>29</v>
      </c>
      <c r="K1216" t="s">
        <v>29</v>
      </c>
      <c r="M1216">
        <v>100</v>
      </c>
      <c r="N1216" s="1">
        <v>45895</v>
      </c>
      <c r="O1216" s="12"/>
    </row>
    <row r="1217" spans="1:15" x14ac:dyDescent="0.25">
      <c r="A1217" t="s">
        <v>7747</v>
      </c>
      <c r="B1217" t="s">
        <v>704</v>
      </c>
      <c r="C1217" t="s">
        <v>7748</v>
      </c>
      <c r="D1217" t="s">
        <v>7749</v>
      </c>
      <c r="E1217" t="s">
        <v>7750</v>
      </c>
      <c r="F1217" t="s">
        <v>7746</v>
      </c>
      <c r="G1217" s="1">
        <v>45873</v>
      </c>
      <c r="H1217" s="1"/>
      <c r="I1217" t="s">
        <v>1737</v>
      </c>
      <c r="J1217" t="s">
        <v>29</v>
      </c>
      <c r="K1217" t="s">
        <v>29</v>
      </c>
      <c r="M1217">
        <v>100</v>
      </c>
      <c r="N1217" s="1">
        <v>45961</v>
      </c>
      <c r="O1217" s="12"/>
    </row>
    <row r="1218" spans="1:15" x14ac:dyDescent="0.25">
      <c r="A1218" t="s">
        <v>7751</v>
      </c>
      <c r="B1218" t="s">
        <v>704</v>
      </c>
      <c r="C1218" t="s">
        <v>7752</v>
      </c>
      <c r="D1218" t="s">
        <v>7753</v>
      </c>
      <c r="E1218" t="s">
        <v>4678</v>
      </c>
      <c r="F1218" t="s">
        <v>3148</v>
      </c>
      <c r="G1218" s="1">
        <v>45873</v>
      </c>
      <c r="H1218" s="1"/>
      <c r="I1218" t="s">
        <v>1737</v>
      </c>
      <c r="J1218" t="s">
        <v>29</v>
      </c>
      <c r="K1218" t="s">
        <v>18</v>
      </c>
      <c r="M1218">
        <v>100</v>
      </c>
      <c r="N1218" s="1">
        <v>45873</v>
      </c>
      <c r="O1218" s="12"/>
    </row>
    <row r="1219" spans="1:15" x14ac:dyDescent="0.25">
      <c r="A1219" t="s">
        <v>7754</v>
      </c>
      <c r="B1219" t="s">
        <v>7755</v>
      </c>
      <c r="C1219" t="s">
        <v>7756</v>
      </c>
      <c r="D1219" t="s">
        <v>7757</v>
      </c>
      <c r="E1219" t="s">
        <v>7758</v>
      </c>
      <c r="F1219" t="s">
        <v>14</v>
      </c>
      <c r="G1219" s="1">
        <v>45873</v>
      </c>
      <c r="H1219" s="1"/>
      <c r="I1219" t="s">
        <v>1737</v>
      </c>
      <c r="J1219" t="s">
        <v>29</v>
      </c>
      <c r="M1219">
        <v>100</v>
      </c>
      <c r="N1219" s="1">
        <v>45873</v>
      </c>
      <c r="O1219" s="12"/>
    </row>
    <row r="1220" spans="1:15" x14ac:dyDescent="0.25">
      <c r="A1220" t="s">
        <v>7759</v>
      </c>
      <c r="B1220" t="s">
        <v>13</v>
      </c>
      <c r="C1220" t="s">
        <v>742</v>
      </c>
      <c r="D1220" t="s">
        <v>743</v>
      </c>
      <c r="E1220" t="s">
        <v>7760</v>
      </c>
      <c r="F1220" t="s">
        <v>14</v>
      </c>
      <c r="G1220" s="1">
        <v>45845</v>
      </c>
      <c r="H1220" s="1"/>
      <c r="I1220" t="s">
        <v>2952</v>
      </c>
      <c r="J1220" t="s">
        <v>29</v>
      </c>
      <c r="O1220" s="12"/>
    </row>
    <row r="1221" spans="1:15" x14ac:dyDescent="0.25">
      <c r="A1221" t="s">
        <v>7761</v>
      </c>
      <c r="B1221" t="s">
        <v>704</v>
      </c>
      <c r="C1221" t="s">
        <v>6399</v>
      </c>
      <c r="D1221" t="s">
        <v>7691</v>
      </c>
      <c r="E1221" t="s">
        <v>7762</v>
      </c>
      <c r="F1221" t="s">
        <v>6401</v>
      </c>
      <c r="G1221" s="1">
        <v>45876</v>
      </c>
      <c r="H1221" s="1"/>
      <c r="I1221" t="s">
        <v>1737</v>
      </c>
      <c r="J1221" t="s">
        <v>29</v>
      </c>
      <c r="K1221" t="s">
        <v>29</v>
      </c>
      <c r="M1221">
        <v>100</v>
      </c>
      <c r="N1221" s="1">
        <v>45911</v>
      </c>
      <c r="O1221" s="12"/>
    </row>
    <row r="1222" spans="1:15" x14ac:dyDescent="0.25">
      <c r="A1222" t="s">
        <v>7763</v>
      </c>
      <c r="B1222" t="s">
        <v>621</v>
      </c>
      <c r="C1222" t="s">
        <v>4905</v>
      </c>
      <c r="D1222" t="s">
        <v>7764</v>
      </c>
      <c r="E1222" t="s">
        <v>7765</v>
      </c>
      <c r="F1222" t="s">
        <v>14</v>
      </c>
      <c r="G1222" s="1">
        <v>45873</v>
      </c>
      <c r="H1222" s="1"/>
      <c r="I1222" t="s">
        <v>1737</v>
      </c>
      <c r="J1222" t="s">
        <v>29</v>
      </c>
      <c r="K1222" t="s">
        <v>18</v>
      </c>
      <c r="M1222">
        <v>100</v>
      </c>
      <c r="N1222" s="1">
        <v>45895</v>
      </c>
      <c r="O1222" s="12"/>
    </row>
    <row r="1223" spans="1:15" x14ac:dyDescent="0.25">
      <c r="A1223" t="s">
        <v>7766</v>
      </c>
      <c r="B1223" t="s">
        <v>621</v>
      </c>
      <c r="C1223" t="s">
        <v>4815</v>
      </c>
      <c r="D1223" t="s">
        <v>817</v>
      </c>
      <c r="E1223" t="s">
        <v>7767</v>
      </c>
      <c r="F1223" t="s">
        <v>14</v>
      </c>
      <c r="G1223" s="1">
        <v>45875</v>
      </c>
      <c r="H1223" s="1"/>
      <c r="I1223" t="s">
        <v>1737</v>
      </c>
      <c r="J1223" t="s">
        <v>29</v>
      </c>
      <c r="K1223" t="s">
        <v>18</v>
      </c>
      <c r="M1223">
        <v>100</v>
      </c>
      <c r="N1223" s="1">
        <v>45947</v>
      </c>
      <c r="O1223" s="12"/>
    </row>
    <row r="1224" spans="1:15" x14ac:dyDescent="0.25">
      <c r="A1224" t="s">
        <v>7768</v>
      </c>
      <c r="B1224" t="s">
        <v>220</v>
      </c>
      <c r="C1224" t="s">
        <v>70</v>
      </c>
      <c r="D1224" t="s">
        <v>834</v>
      </c>
      <c r="E1224" t="s">
        <v>7769</v>
      </c>
      <c r="F1224" t="s">
        <v>14</v>
      </c>
      <c r="G1224" s="1">
        <v>45902</v>
      </c>
      <c r="H1224" s="1"/>
      <c r="I1224" t="s">
        <v>1737</v>
      </c>
      <c r="J1224" t="s">
        <v>29</v>
      </c>
      <c r="K1224" t="s">
        <v>29</v>
      </c>
      <c r="L1224" t="s">
        <v>7770</v>
      </c>
      <c r="M1224">
        <v>100</v>
      </c>
      <c r="N1224" s="1">
        <v>45930</v>
      </c>
      <c r="O1224" s="12"/>
    </row>
    <row r="1225" spans="1:15" x14ac:dyDescent="0.25">
      <c r="A1225" t="s">
        <v>7771</v>
      </c>
      <c r="B1225" t="s">
        <v>704</v>
      </c>
      <c r="C1225" t="s">
        <v>32</v>
      </c>
      <c r="D1225" t="s">
        <v>5156</v>
      </c>
      <c r="E1225" t="s">
        <v>7772</v>
      </c>
      <c r="F1225" t="s">
        <v>5413</v>
      </c>
      <c r="G1225" s="1">
        <v>45882</v>
      </c>
      <c r="H1225" s="1"/>
      <c r="I1225" t="s">
        <v>1737</v>
      </c>
      <c r="J1225" t="s">
        <v>29</v>
      </c>
      <c r="K1225" t="s">
        <v>29</v>
      </c>
      <c r="M1225">
        <v>100</v>
      </c>
      <c r="N1225" s="1">
        <v>45961</v>
      </c>
      <c r="O1225" s="12" t="s">
        <v>7773</v>
      </c>
    </row>
    <row r="1226" spans="1:15" x14ac:dyDescent="0.25">
      <c r="A1226" t="s">
        <v>7774</v>
      </c>
      <c r="B1226" t="s">
        <v>704</v>
      </c>
      <c r="C1226" t="s">
        <v>25</v>
      </c>
      <c r="D1226" t="s">
        <v>225</v>
      </c>
      <c r="E1226" t="s">
        <v>6099</v>
      </c>
      <c r="F1226" t="s">
        <v>7775</v>
      </c>
      <c r="G1226" s="1">
        <v>45882</v>
      </c>
      <c r="H1226" s="1"/>
      <c r="I1226" t="s">
        <v>1737</v>
      </c>
      <c r="J1226" t="s">
        <v>29</v>
      </c>
      <c r="K1226" t="s">
        <v>29</v>
      </c>
      <c r="M1226">
        <v>100</v>
      </c>
      <c r="N1226" s="1">
        <v>45973</v>
      </c>
      <c r="O1226" s="12" t="s">
        <v>7776</v>
      </c>
    </row>
    <row r="1227" spans="1:15" x14ac:dyDescent="0.25">
      <c r="A1227" t="s">
        <v>7777</v>
      </c>
      <c r="B1227" t="s">
        <v>704</v>
      </c>
      <c r="C1227" t="s">
        <v>670</v>
      </c>
      <c r="D1227" t="s">
        <v>671</v>
      </c>
      <c r="E1227" t="s">
        <v>6004</v>
      </c>
      <c r="F1227" t="s">
        <v>5413</v>
      </c>
      <c r="G1227" s="1">
        <v>45884</v>
      </c>
      <c r="H1227" s="1"/>
      <c r="I1227" t="s">
        <v>1737</v>
      </c>
      <c r="J1227" t="s">
        <v>29</v>
      </c>
      <c r="K1227" t="s">
        <v>29</v>
      </c>
      <c r="M1227">
        <v>100</v>
      </c>
      <c r="N1227" s="1">
        <v>45895</v>
      </c>
      <c r="O1227" s="12" t="s">
        <v>7778</v>
      </c>
    </row>
    <row r="1228" spans="1:15" x14ac:dyDescent="0.25">
      <c r="A1228" t="s">
        <v>7779</v>
      </c>
      <c r="B1228" t="s">
        <v>621</v>
      </c>
      <c r="C1228" t="s">
        <v>2759</v>
      </c>
      <c r="D1228" t="s">
        <v>7780</v>
      </c>
      <c r="E1228" t="s">
        <v>7781</v>
      </c>
      <c r="F1228" t="s">
        <v>14</v>
      </c>
      <c r="G1228" s="1">
        <v>45882</v>
      </c>
      <c r="H1228" s="1"/>
      <c r="I1228" t="s">
        <v>2952</v>
      </c>
      <c r="J1228" t="s">
        <v>29</v>
      </c>
      <c r="K1228" t="s">
        <v>29</v>
      </c>
      <c r="M1228">
        <v>100</v>
      </c>
      <c r="N1228" s="1">
        <v>45947</v>
      </c>
      <c r="O1228" s="12"/>
    </row>
    <row r="1229" spans="1:15" x14ac:dyDescent="0.25">
      <c r="A1229" t="s">
        <v>7782</v>
      </c>
      <c r="B1229" t="s">
        <v>621</v>
      </c>
      <c r="C1229" t="s">
        <v>177</v>
      </c>
      <c r="D1229" t="s">
        <v>511</v>
      </c>
      <c r="E1229" t="s">
        <v>7783</v>
      </c>
      <c r="F1229" t="s">
        <v>14</v>
      </c>
      <c r="G1229" s="1">
        <v>45883</v>
      </c>
      <c r="H1229" s="1"/>
      <c r="I1229" t="s">
        <v>1737</v>
      </c>
      <c r="J1229" t="s">
        <v>29</v>
      </c>
      <c r="M1229">
        <v>100</v>
      </c>
      <c r="N1229" s="1">
        <v>45979</v>
      </c>
      <c r="O1229" s="12"/>
    </row>
    <row r="1230" spans="1:15" x14ac:dyDescent="0.25">
      <c r="A1230" t="s">
        <v>7784</v>
      </c>
      <c r="B1230" t="s">
        <v>704</v>
      </c>
      <c r="C1230" t="s">
        <v>677</v>
      </c>
      <c r="D1230" t="s">
        <v>7645</v>
      </c>
      <c r="E1230" t="s">
        <v>5908</v>
      </c>
      <c r="F1230" t="s">
        <v>555</v>
      </c>
      <c r="G1230" s="1">
        <v>45884</v>
      </c>
      <c r="H1230" s="1"/>
      <c r="I1230" t="s">
        <v>1737</v>
      </c>
      <c r="J1230" t="s">
        <v>29</v>
      </c>
      <c r="K1230" t="s">
        <v>29</v>
      </c>
      <c r="M1230">
        <v>100</v>
      </c>
      <c r="N1230" s="1">
        <v>45918</v>
      </c>
      <c r="O1230" s="12" t="s">
        <v>7785</v>
      </c>
    </row>
    <row r="1231" spans="1:15" x14ac:dyDescent="0.25">
      <c r="A1231" t="s">
        <v>7786</v>
      </c>
      <c r="B1231" t="s">
        <v>704</v>
      </c>
      <c r="C1231" t="s">
        <v>32</v>
      </c>
      <c r="D1231" t="s">
        <v>475</v>
      </c>
      <c r="E1231" t="s">
        <v>7787</v>
      </c>
      <c r="F1231" t="s">
        <v>5844</v>
      </c>
      <c r="G1231" s="1">
        <v>45887</v>
      </c>
      <c r="H1231" s="1"/>
      <c r="I1231" t="s">
        <v>1737</v>
      </c>
      <c r="J1231" t="s">
        <v>29</v>
      </c>
      <c r="K1231" t="s">
        <v>29</v>
      </c>
      <c r="M1231">
        <v>100</v>
      </c>
      <c r="N1231" s="1">
        <v>45909</v>
      </c>
      <c r="O1231" s="12"/>
    </row>
    <row r="1232" spans="1:15" x14ac:dyDescent="0.25">
      <c r="A1232" t="s">
        <v>7788</v>
      </c>
      <c r="B1232" t="s">
        <v>704</v>
      </c>
      <c r="C1232" t="s">
        <v>5517</v>
      </c>
      <c r="D1232" t="s">
        <v>6047</v>
      </c>
      <c r="E1232" t="s">
        <v>7663</v>
      </c>
      <c r="F1232" t="s">
        <v>3148</v>
      </c>
      <c r="G1232" s="1">
        <v>45887</v>
      </c>
      <c r="H1232" s="1"/>
      <c r="I1232" t="s">
        <v>1737</v>
      </c>
      <c r="J1232" t="s">
        <v>29</v>
      </c>
      <c r="K1232" t="s">
        <v>29</v>
      </c>
      <c r="M1232">
        <v>100</v>
      </c>
      <c r="N1232" s="1">
        <v>45933</v>
      </c>
      <c r="O1232" s="12" t="s">
        <v>7789</v>
      </c>
    </row>
    <row r="1233" spans="1:15" x14ac:dyDescent="0.25">
      <c r="A1233" t="s">
        <v>7790</v>
      </c>
      <c r="B1233" t="s">
        <v>704</v>
      </c>
      <c r="C1233" t="s">
        <v>32</v>
      </c>
      <c r="D1233" t="s">
        <v>5156</v>
      </c>
      <c r="E1233" t="s">
        <v>7791</v>
      </c>
      <c r="F1233" t="s">
        <v>5413</v>
      </c>
      <c r="G1233" s="1">
        <v>45890</v>
      </c>
      <c r="H1233" s="1"/>
      <c r="I1233" t="s">
        <v>1737</v>
      </c>
      <c r="J1233" t="s">
        <v>29</v>
      </c>
      <c r="K1233" t="s">
        <v>29</v>
      </c>
      <c r="M1233">
        <v>100</v>
      </c>
      <c r="N1233" s="1">
        <v>45939</v>
      </c>
      <c r="O1233" s="12" t="s">
        <v>7792</v>
      </c>
    </row>
    <row r="1234" spans="1:15" x14ac:dyDescent="0.25">
      <c r="A1234" t="s">
        <v>7793</v>
      </c>
      <c r="B1234" t="s">
        <v>704</v>
      </c>
      <c r="C1234" t="s">
        <v>7794</v>
      </c>
      <c r="D1234" t="s">
        <v>7795</v>
      </c>
      <c r="E1234" t="s">
        <v>7796</v>
      </c>
      <c r="F1234" t="s">
        <v>14</v>
      </c>
      <c r="G1234" s="1">
        <v>45890</v>
      </c>
      <c r="H1234" s="1"/>
      <c r="I1234" t="s">
        <v>1737</v>
      </c>
      <c r="J1234" t="s">
        <v>29</v>
      </c>
      <c r="K1234" t="s">
        <v>29</v>
      </c>
      <c r="M1234">
        <v>100</v>
      </c>
      <c r="N1234" s="1">
        <v>45895</v>
      </c>
      <c r="O1234" s="12" t="s">
        <v>7797</v>
      </c>
    </row>
    <row r="1235" spans="1:15" x14ac:dyDescent="0.25">
      <c r="A1235" t="s">
        <v>7798</v>
      </c>
      <c r="B1235" t="s">
        <v>704</v>
      </c>
      <c r="C1235" t="s">
        <v>670</v>
      </c>
      <c r="D1235" t="s">
        <v>7462</v>
      </c>
      <c r="E1235" t="s">
        <v>7799</v>
      </c>
      <c r="F1235" t="s">
        <v>5413</v>
      </c>
      <c r="G1235" s="1">
        <v>45890</v>
      </c>
      <c r="H1235" s="1"/>
      <c r="I1235" t="s">
        <v>1737</v>
      </c>
      <c r="J1235" t="s">
        <v>29</v>
      </c>
      <c r="K1235" t="s">
        <v>29</v>
      </c>
      <c r="M1235">
        <v>100</v>
      </c>
      <c r="N1235" s="1">
        <v>45915</v>
      </c>
      <c r="O1235" s="12" t="s">
        <v>7800</v>
      </c>
    </row>
    <row r="1236" spans="1:15" x14ac:dyDescent="0.25">
      <c r="A1236" t="s">
        <v>7801</v>
      </c>
      <c r="B1236" t="s">
        <v>704</v>
      </c>
      <c r="C1236" t="s">
        <v>670</v>
      </c>
      <c r="D1236" t="s">
        <v>5102</v>
      </c>
      <c r="E1236" t="s">
        <v>6546</v>
      </c>
      <c r="F1236" t="s">
        <v>3148</v>
      </c>
      <c r="G1236" s="1">
        <v>45890</v>
      </c>
      <c r="H1236" s="1"/>
      <c r="I1236" t="s">
        <v>1737</v>
      </c>
      <c r="J1236" t="s">
        <v>29</v>
      </c>
      <c r="K1236" t="s">
        <v>29</v>
      </c>
      <c r="M1236">
        <v>100</v>
      </c>
      <c r="N1236" s="1">
        <v>45930</v>
      </c>
      <c r="O1236" s="12" t="s">
        <v>7802</v>
      </c>
    </row>
    <row r="1237" spans="1:15" x14ac:dyDescent="0.25">
      <c r="A1237" t="s">
        <v>7803</v>
      </c>
      <c r="B1237" t="s">
        <v>167</v>
      </c>
      <c r="C1237" t="s">
        <v>2759</v>
      </c>
      <c r="D1237" t="s">
        <v>7804</v>
      </c>
      <c r="E1237" t="s">
        <v>7805</v>
      </c>
      <c r="F1237" t="s">
        <v>14</v>
      </c>
      <c r="G1237" s="1">
        <v>45891</v>
      </c>
      <c r="H1237" s="1"/>
      <c r="I1237" t="s">
        <v>1737</v>
      </c>
      <c r="J1237" t="s">
        <v>29</v>
      </c>
      <c r="K1237" t="s">
        <v>18</v>
      </c>
      <c r="M1237">
        <v>100</v>
      </c>
      <c r="N1237" s="1">
        <v>45938</v>
      </c>
      <c r="O1237" s="12"/>
    </row>
    <row r="1238" spans="1:15" x14ac:dyDescent="0.25">
      <c r="A1238" t="s">
        <v>7806</v>
      </c>
      <c r="B1238" t="s">
        <v>704</v>
      </c>
      <c r="C1238" t="s">
        <v>670</v>
      </c>
      <c r="D1238" t="s">
        <v>5102</v>
      </c>
      <c r="E1238" t="s">
        <v>6546</v>
      </c>
      <c r="F1238" t="s">
        <v>3148</v>
      </c>
      <c r="G1238" s="1">
        <v>45897</v>
      </c>
      <c r="H1238" s="1"/>
      <c r="I1238" t="s">
        <v>1737</v>
      </c>
      <c r="J1238" t="s">
        <v>29</v>
      </c>
      <c r="K1238" t="s">
        <v>29</v>
      </c>
      <c r="M1238">
        <v>100</v>
      </c>
      <c r="N1238" s="1">
        <v>45917</v>
      </c>
      <c r="O1238" s="12" t="s">
        <v>7807</v>
      </c>
    </row>
    <row r="1239" spans="1:15" x14ac:dyDescent="0.25">
      <c r="A1239" t="s">
        <v>7808</v>
      </c>
      <c r="B1239" t="s">
        <v>621</v>
      </c>
      <c r="C1239" t="s">
        <v>253</v>
      </c>
      <c r="D1239" t="s">
        <v>254</v>
      </c>
      <c r="E1239" t="s">
        <v>7809</v>
      </c>
      <c r="F1239" t="s">
        <v>14</v>
      </c>
      <c r="G1239" s="1">
        <v>45898</v>
      </c>
      <c r="H1239" s="1"/>
      <c r="I1239" t="s">
        <v>1737</v>
      </c>
      <c r="J1239" t="s">
        <v>29</v>
      </c>
      <c r="M1239">
        <v>100</v>
      </c>
      <c r="N1239" s="1">
        <v>45905</v>
      </c>
      <c r="O1239" s="12"/>
    </row>
    <row r="1240" spans="1:15" x14ac:dyDescent="0.25">
      <c r="A1240" t="s">
        <v>7810</v>
      </c>
      <c r="B1240" t="s">
        <v>704</v>
      </c>
      <c r="C1240" t="s">
        <v>4698</v>
      </c>
      <c r="D1240" t="s">
        <v>5343</v>
      </c>
      <c r="E1240" t="s">
        <v>7210</v>
      </c>
      <c r="F1240" t="s">
        <v>5413</v>
      </c>
      <c r="G1240" s="1">
        <v>45903</v>
      </c>
      <c r="H1240" s="1"/>
      <c r="I1240" t="s">
        <v>1737</v>
      </c>
      <c r="J1240" t="s">
        <v>29</v>
      </c>
      <c r="K1240" t="s">
        <v>29</v>
      </c>
      <c r="M1240">
        <v>100</v>
      </c>
      <c r="N1240" s="1">
        <v>45909</v>
      </c>
      <c r="O1240" s="12" t="s">
        <v>7811</v>
      </c>
    </row>
    <row r="1241" spans="1:15" x14ac:dyDescent="0.25">
      <c r="A1241" t="s">
        <v>7812</v>
      </c>
      <c r="B1241" t="s">
        <v>474</v>
      </c>
      <c r="C1241" t="s">
        <v>25</v>
      </c>
      <c r="D1241" t="s">
        <v>4608</v>
      </c>
      <c r="E1241" t="s">
        <v>7813</v>
      </c>
      <c r="F1241" t="s">
        <v>14</v>
      </c>
      <c r="G1241" s="1">
        <v>45903</v>
      </c>
      <c r="H1241" s="1"/>
      <c r="I1241" t="s">
        <v>1737</v>
      </c>
      <c r="J1241" t="s">
        <v>29</v>
      </c>
      <c r="M1241">
        <v>100</v>
      </c>
      <c r="N1241" s="1">
        <v>45923</v>
      </c>
      <c r="O1241" s="12"/>
    </row>
    <row r="1242" spans="1:15" x14ac:dyDescent="0.25">
      <c r="A1242" t="s">
        <v>7814</v>
      </c>
      <c r="B1242" t="s">
        <v>704</v>
      </c>
      <c r="C1242" t="s">
        <v>539</v>
      </c>
      <c r="D1242" t="s">
        <v>540</v>
      </c>
      <c r="E1242" t="s">
        <v>7815</v>
      </c>
      <c r="F1242" t="s">
        <v>14</v>
      </c>
      <c r="G1242" s="1">
        <v>45905</v>
      </c>
      <c r="H1242" s="1"/>
      <c r="I1242" t="s">
        <v>1737</v>
      </c>
      <c r="J1242" t="s">
        <v>29</v>
      </c>
      <c r="K1242" t="s">
        <v>29</v>
      </c>
      <c r="M1242">
        <v>100</v>
      </c>
      <c r="N1242" s="1">
        <v>45905</v>
      </c>
      <c r="O1242" s="12" t="s">
        <v>7816</v>
      </c>
    </row>
    <row r="1243" spans="1:15" x14ac:dyDescent="0.25">
      <c r="A1243" t="s">
        <v>7817</v>
      </c>
      <c r="B1243" t="s">
        <v>704</v>
      </c>
      <c r="C1243" t="s">
        <v>670</v>
      </c>
      <c r="D1243" t="s">
        <v>5102</v>
      </c>
      <c r="E1243" t="s">
        <v>7818</v>
      </c>
      <c r="F1243" t="s">
        <v>555</v>
      </c>
      <c r="G1243" s="1">
        <v>45905</v>
      </c>
      <c r="H1243" s="1"/>
      <c r="I1243" t="s">
        <v>1737</v>
      </c>
      <c r="J1243" t="s">
        <v>29</v>
      </c>
      <c r="K1243" t="s">
        <v>29</v>
      </c>
      <c r="M1243">
        <v>100</v>
      </c>
      <c r="N1243" s="1">
        <v>45910</v>
      </c>
      <c r="O1243" s="12" t="s">
        <v>7819</v>
      </c>
    </row>
    <row r="1244" spans="1:15" x14ac:dyDescent="0.25">
      <c r="A1244" t="s">
        <v>7820</v>
      </c>
      <c r="B1244" t="s">
        <v>621</v>
      </c>
      <c r="C1244" t="s">
        <v>6858</v>
      </c>
      <c r="D1244" t="s">
        <v>7821</v>
      </c>
      <c r="E1244" t="s">
        <v>7822</v>
      </c>
      <c r="F1244" t="s">
        <v>14</v>
      </c>
      <c r="G1244" s="1">
        <v>45897</v>
      </c>
      <c r="H1244" s="1"/>
      <c r="I1244" t="s">
        <v>2952</v>
      </c>
      <c r="J1244" t="s">
        <v>29</v>
      </c>
      <c r="O1244" s="12"/>
    </row>
    <row r="1245" spans="1:15" x14ac:dyDescent="0.25">
      <c r="A1245" t="s">
        <v>7823</v>
      </c>
      <c r="B1245" t="s">
        <v>704</v>
      </c>
      <c r="C1245" t="s">
        <v>670</v>
      </c>
      <c r="D1245" t="s">
        <v>5102</v>
      </c>
      <c r="E1245" t="s">
        <v>7824</v>
      </c>
      <c r="F1245" t="s">
        <v>555</v>
      </c>
      <c r="G1245" s="1">
        <v>45911</v>
      </c>
      <c r="H1245" s="1"/>
      <c r="I1245" t="s">
        <v>1737</v>
      </c>
      <c r="J1245" t="s">
        <v>29</v>
      </c>
      <c r="K1245" t="s">
        <v>29</v>
      </c>
      <c r="M1245">
        <v>100</v>
      </c>
      <c r="N1245" s="1">
        <v>45938</v>
      </c>
      <c r="O1245" s="12" t="s">
        <v>7776</v>
      </c>
    </row>
    <row r="1246" spans="1:15" x14ac:dyDescent="0.25">
      <c r="A1246" t="s">
        <v>7825</v>
      </c>
      <c r="B1246" t="s">
        <v>704</v>
      </c>
      <c r="C1246" t="s">
        <v>6399</v>
      </c>
      <c r="D1246" t="s">
        <v>7691</v>
      </c>
      <c r="E1246" t="s">
        <v>7826</v>
      </c>
      <c r="F1246" t="s">
        <v>5413</v>
      </c>
      <c r="G1246" s="1">
        <v>45912</v>
      </c>
      <c r="H1246" s="1"/>
      <c r="I1246" t="s">
        <v>1737</v>
      </c>
      <c r="J1246" t="s">
        <v>29</v>
      </c>
      <c r="K1246" t="s">
        <v>29</v>
      </c>
      <c r="M1246">
        <v>100</v>
      </c>
      <c r="N1246" s="1">
        <v>45915</v>
      </c>
      <c r="O1246" s="12" t="s">
        <v>7827</v>
      </c>
    </row>
    <row r="1247" spans="1:15" x14ac:dyDescent="0.25">
      <c r="A1247" t="s">
        <v>7828</v>
      </c>
      <c r="B1247" t="s">
        <v>167</v>
      </c>
      <c r="C1247" t="s">
        <v>411</v>
      </c>
      <c r="D1247" t="s">
        <v>7829</v>
      </c>
      <c r="E1247" t="s">
        <v>7830</v>
      </c>
      <c r="F1247" t="s">
        <v>14</v>
      </c>
      <c r="G1247" s="1">
        <v>45912</v>
      </c>
      <c r="H1247" s="1"/>
      <c r="I1247" t="s">
        <v>1737</v>
      </c>
      <c r="J1247" t="s">
        <v>29</v>
      </c>
      <c r="K1247" t="s">
        <v>29</v>
      </c>
      <c r="M1247">
        <v>100</v>
      </c>
      <c r="N1247" s="1">
        <v>45974</v>
      </c>
      <c r="O1247" s="12" t="s">
        <v>7831</v>
      </c>
    </row>
    <row r="1248" spans="1:15" x14ac:dyDescent="0.25">
      <c r="A1248" t="s">
        <v>7832</v>
      </c>
      <c r="B1248" t="s">
        <v>7833</v>
      </c>
      <c r="C1248" t="s">
        <v>32</v>
      </c>
      <c r="D1248" t="s">
        <v>397</v>
      </c>
      <c r="E1248" t="s">
        <v>7834</v>
      </c>
      <c r="F1248" t="s">
        <v>5646</v>
      </c>
      <c r="G1248" s="1">
        <v>45915</v>
      </c>
      <c r="H1248" s="1"/>
      <c r="I1248" t="s">
        <v>1737</v>
      </c>
      <c r="J1248" t="s">
        <v>29</v>
      </c>
      <c r="K1248" t="s">
        <v>29</v>
      </c>
      <c r="M1248">
        <v>100</v>
      </c>
      <c r="N1248" s="1">
        <v>45974</v>
      </c>
      <c r="O1248" s="12"/>
    </row>
    <row r="1249" spans="1:15" x14ac:dyDescent="0.25">
      <c r="A1249" t="s">
        <v>7835</v>
      </c>
      <c r="B1249" t="s">
        <v>704</v>
      </c>
      <c r="C1249" t="s">
        <v>243</v>
      </c>
      <c r="D1249" t="s">
        <v>244</v>
      </c>
      <c r="E1249" t="s">
        <v>7836</v>
      </c>
      <c r="F1249" t="s">
        <v>5646</v>
      </c>
      <c r="G1249" s="1">
        <v>45917</v>
      </c>
      <c r="H1249" s="1"/>
      <c r="I1249" t="s">
        <v>1737</v>
      </c>
      <c r="J1249" t="s">
        <v>29</v>
      </c>
      <c r="K1249" t="s">
        <v>29</v>
      </c>
      <c r="M1249">
        <v>100</v>
      </c>
      <c r="N1249" s="1">
        <v>45933</v>
      </c>
      <c r="O1249" s="12" t="s">
        <v>7837</v>
      </c>
    </row>
    <row r="1250" spans="1:15" x14ac:dyDescent="0.25">
      <c r="A1250" t="s">
        <v>7838</v>
      </c>
      <c r="B1250" t="s">
        <v>7839</v>
      </c>
      <c r="C1250" t="s">
        <v>997</v>
      </c>
      <c r="D1250" t="s">
        <v>150</v>
      </c>
      <c r="E1250" t="s">
        <v>7840</v>
      </c>
      <c r="F1250" t="s">
        <v>14</v>
      </c>
      <c r="G1250" s="1">
        <v>45916</v>
      </c>
      <c r="H1250" s="1"/>
      <c r="I1250" t="s">
        <v>1737</v>
      </c>
      <c r="J1250" t="s">
        <v>29</v>
      </c>
      <c r="M1250">
        <v>100</v>
      </c>
      <c r="N1250" s="1">
        <v>45981</v>
      </c>
      <c r="O1250" s="12"/>
    </row>
    <row r="1251" spans="1:15" x14ac:dyDescent="0.25">
      <c r="A1251" t="s">
        <v>7841</v>
      </c>
      <c r="B1251" t="s">
        <v>704</v>
      </c>
      <c r="C1251" t="s">
        <v>32</v>
      </c>
      <c r="D1251" t="s">
        <v>5156</v>
      </c>
      <c r="E1251" t="s">
        <v>6321</v>
      </c>
      <c r="F1251" t="s">
        <v>5707</v>
      </c>
      <c r="G1251" s="1">
        <v>45919</v>
      </c>
      <c r="H1251" s="1"/>
      <c r="I1251" t="s">
        <v>1737</v>
      </c>
      <c r="J1251" t="s">
        <v>29</v>
      </c>
      <c r="K1251" t="s">
        <v>29</v>
      </c>
      <c r="M1251">
        <v>100</v>
      </c>
      <c r="N1251" s="1">
        <v>45947</v>
      </c>
      <c r="O1251" s="12"/>
    </row>
    <row r="1252" spans="1:15" x14ac:dyDescent="0.25">
      <c r="A1252" t="s">
        <v>7842</v>
      </c>
      <c r="B1252" t="s">
        <v>704</v>
      </c>
      <c r="C1252" t="s">
        <v>7255</v>
      </c>
      <c r="D1252" t="s">
        <v>7256</v>
      </c>
      <c r="E1252" t="s">
        <v>7843</v>
      </c>
      <c r="F1252" t="s">
        <v>7844</v>
      </c>
      <c r="G1252" s="1">
        <v>45919</v>
      </c>
      <c r="H1252" s="1"/>
      <c r="I1252" t="s">
        <v>1737</v>
      </c>
      <c r="J1252" t="s">
        <v>29</v>
      </c>
      <c r="K1252" t="s">
        <v>29</v>
      </c>
      <c r="M1252">
        <v>100</v>
      </c>
      <c r="N1252" s="1">
        <v>45933</v>
      </c>
      <c r="O1252" s="12" t="s">
        <v>7845</v>
      </c>
    </row>
    <row r="1253" spans="1:15" x14ac:dyDescent="0.25">
      <c r="A1253" t="s">
        <v>7846</v>
      </c>
      <c r="B1253" t="s">
        <v>167</v>
      </c>
      <c r="C1253" t="s">
        <v>1573</v>
      </c>
      <c r="D1253" t="s">
        <v>7847</v>
      </c>
      <c r="E1253" t="s">
        <v>7848</v>
      </c>
      <c r="F1253" t="s">
        <v>14</v>
      </c>
      <c r="G1253" s="1">
        <v>45919</v>
      </c>
      <c r="H1253" s="1"/>
      <c r="I1253" t="s">
        <v>1737</v>
      </c>
      <c r="J1253" t="s">
        <v>29</v>
      </c>
      <c r="M1253">
        <v>100</v>
      </c>
      <c r="N1253" s="1">
        <v>45930</v>
      </c>
      <c r="O1253" s="12"/>
    </row>
    <row r="1254" spans="1:15" x14ac:dyDescent="0.25">
      <c r="A1254" t="s">
        <v>7849</v>
      </c>
      <c r="B1254" t="s">
        <v>13</v>
      </c>
      <c r="C1254" t="s">
        <v>5362</v>
      </c>
      <c r="D1254" t="s">
        <v>7850</v>
      </c>
      <c r="E1254" t="s">
        <v>7851</v>
      </c>
      <c r="F1254" t="s">
        <v>14</v>
      </c>
      <c r="G1254" s="1">
        <v>45923</v>
      </c>
      <c r="H1254" s="1"/>
      <c r="I1254" t="s">
        <v>1737</v>
      </c>
      <c r="J1254" t="s">
        <v>29</v>
      </c>
      <c r="M1254">
        <v>100</v>
      </c>
      <c r="N1254" s="1">
        <v>45946</v>
      </c>
      <c r="O1254" s="12"/>
    </row>
    <row r="1255" spans="1:15" x14ac:dyDescent="0.25">
      <c r="A1255" t="s">
        <v>7852</v>
      </c>
      <c r="B1255" t="s">
        <v>704</v>
      </c>
      <c r="C1255" t="s">
        <v>997</v>
      </c>
      <c r="D1255" t="s">
        <v>150</v>
      </c>
      <c r="E1255" t="s">
        <v>7853</v>
      </c>
      <c r="F1255" t="s">
        <v>14</v>
      </c>
      <c r="G1255" s="1">
        <v>45924</v>
      </c>
      <c r="H1255" s="1"/>
      <c r="I1255" t="s">
        <v>1737</v>
      </c>
      <c r="J1255" t="s">
        <v>29</v>
      </c>
      <c r="K1255" t="s">
        <v>29</v>
      </c>
      <c r="M1255">
        <v>100</v>
      </c>
      <c r="N1255" s="1">
        <v>45933</v>
      </c>
      <c r="O1255" s="12" t="s">
        <v>7854</v>
      </c>
    </row>
    <row r="1256" spans="1:15" x14ac:dyDescent="0.25">
      <c r="A1256" t="s">
        <v>7855</v>
      </c>
      <c r="B1256" t="s">
        <v>704</v>
      </c>
      <c r="C1256" t="s">
        <v>670</v>
      </c>
      <c r="D1256" t="s">
        <v>671</v>
      </c>
      <c r="E1256" t="s">
        <v>7856</v>
      </c>
      <c r="F1256" t="s">
        <v>5413</v>
      </c>
      <c r="G1256" s="1">
        <v>45924</v>
      </c>
      <c r="H1256" s="1"/>
      <c r="I1256" t="s">
        <v>1737</v>
      </c>
      <c r="J1256" t="s">
        <v>29</v>
      </c>
      <c r="K1256" t="s">
        <v>29</v>
      </c>
      <c r="M1256">
        <v>100</v>
      </c>
      <c r="N1256" s="1">
        <v>45958</v>
      </c>
      <c r="O1256" s="12" t="s">
        <v>7773</v>
      </c>
    </row>
    <row r="1257" spans="1:15" x14ac:dyDescent="0.25">
      <c r="A1257" t="s">
        <v>7857</v>
      </c>
      <c r="B1257" t="s">
        <v>704</v>
      </c>
      <c r="C1257" t="s">
        <v>32</v>
      </c>
      <c r="D1257" t="s">
        <v>5156</v>
      </c>
      <c r="E1257" t="s">
        <v>7858</v>
      </c>
      <c r="F1257" t="s">
        <v>5413</v>
      </c>
      <c r="G1257" s="1">
        <v>45924</v>
      </c>
      <c r="H1257" s="1"/>
      <c r="I1257" t="s">
        <v>1737</v>
      </c>
      <c r="J1257" t="s">
        <v>29</v>
      </c>
      <c r="K1257" t="s">
        <v>29</v>
      </c>
      <c r="M1257">
        <v>100</v>
      </c>
      <c r="N1257" s="1">
        <v>45975</v>
      </c>
      <c r="O1257" s="12" t="s">
        <v>7859</v>
      </c>
    </row>
    <row r="1258" spans="1:15" x14ac:dyDescent="0.25">
      <c r="A1258" t="s">
        <v>7860</v>
      </c>
      <c r="B1258" t="s">
        <v>7755</v>
      </c>
      <c r="C1258" t="s">
        <v>253</v>
      </c>
      <c r="E1258" t="s">
        <v>7861</v>
      </c>
      <c r="F1258" t="s">
        <v>7388</v>
      </c>
      <c r="G1258" s="1">
        <v>45924</v>
      </c>
      <c r="H1258" s="1"/>
      <c r="I1258" t="s">
        <v>2952</v>
      </c>
      <c r="J1258" t="s">
        <v>29</v>
      </c>
      <c r="O1258" s="12" t="s">
        <v>7862</v>
      </c>
    </row>
    <row r="1259" spans="1:15" x14ac:dyDescent="0.25">
      <c r="A1259" t="s">
        <v>7863</v>
      </c>
      <c r="B1259" t="s">
        <v>704</v>
      </c>
      <c r="C1259" t="s">
        <v>7092</v>
      </c>
      <c r="D1259" t="s">
        <v>7864</v>
      </c>
      <c r="E1259" t="s">
        <v>7865</v>
      </c>
      <c r="F1259" t="s">
        <v>5413</v>
      </c>
      <c r="G1259" s="1">
        <v>45926</v>
      </c>
      <c r="H1259" s="1"/>
      <c r="I1259" t="s">
        <v>1737</v>
      </c>
      <c r="J1259" t="s">
        <v>29</v>
      </c>
      <c r="K1259" t="s">
        <v>29</v>
      </c>
      <c r="M1259">
        <v>100</v>
      </c>
      <c r="N1259" s="1">
        <v>45979</v>
      </c>
      <c r="O1259" s="12" t="s">
        <v>7866</v>
      </c>
    </row>
    <row r="1260" spans="1:15" x14ac:dyDescent="0.25">
      <c r="A1260" t="s">
        <v>7867</v>
      </c>
      <c r="B1260" t="s">
        <v>704</v>
      </c>
      <c r="C1260" t="s">
        <v>2352</v>
      </c>
      <c r="D1260" t="s">
        <v>44</v>
      </c>
      <c r="E1260" t="s">
        <v>7868</v>
      </c>
      <c r="F1260" t="s">
        <v>7869</v>
      </c>
      <c r="G1260" s="1">
        <v>45929</v>
      </c>
      <c r="H1260" s="1"/>
      <c r="I1260" t="s">
        <v>1737</v>
      </c>
      <c r="J1260" t="s">
        <v>29</v>
      </c>
      <c r="K1260" t="s">
        <v>29</v>
      </c>
      <c r="M1260">
        <v>100</v>
      </c>
      <c r="N1260" s="1">
        <v>45953</v>
      </c>
      <c r="O1260" s="12" t="s">
        <v>7870</v>
      </c>
    </row>
    <row r="1261" spans="1:15" x14ac:dyDescent="0.25">
      <c r="A1261" t="s">
        <v>7871</v>
      </c>
      <c r="B1261" t="s">
        <v>474</v>
      </c>
      <c r="C1261" t="s">
        <v>4577</v>
      </c>
      <c r="D1261" t="s">
        <v>540</v>
      </c>
      <c r="E1261" t="s">
        <v>7872</v>
      </c>
      <c r="F1261" t="s">
        <v>14</v>
      </c>
      <c r="G1261" s="1">
        <v>45929</v>
      </c>
      <c r="H1261" s="1"/>
      <c r="I1261" t="s">
        <v>2952</v>
      </c>
      <c r="J1261" t="s">
        <v>29</v>
      </c>
      <c r="O1261" s="12" t="s">
        <v>7873</v>
      </c>
    </row>
    <row r="1262" spans="1:15" x14ac:dyDescent="0.25">
      <c r="A1262" t="s">
        <v>7874</v>
      </c>
      <c r="B1262" t="s">
        <v>514</v>
      </c>
      <c r="C1262" t="s">
        <v>1519</v>
      </c>
      <c r="D1262" t="s">
        <v>1520</v>
      </c>
      <c r="E1262" t="s">
        <v>1577</v>
      </c>
      <c r="F1262" t="s">
        <v>7875</v>
      </c>
      <c r="G1262" s="1">
        <v>45929</v>
      </c>
      <c r="H1262" s="1"/>
      <c r="I1262" t="s">
        <v>1737</v>
      </c>
      <c r="J1262" t="s">
        <v>29</v>
      </c>
      <c r="K1262" t="s">
        <v>29</v>
      </c>
      <c r="M1262">
        <v>100</v>
      </c>
      <c r="N1262" s="1">
        <v>45938</v>
      </c>
      <c r="O1262" s="12"/>
    </row>
    <row r="1263" spans="1:15" x14ac:dyDescent="0.25">
      <c r="A1263" t="s">
        <v>7876</v>
      </c>
      <c r="B1263" t="s">
        <v>7877</v>
      </c>
      <c r="C1263" t="s">
        <v>4577</v>
      </c>
      <c r="D1263" t="s">
        <v>6910</v>
      </c>
      <c r="E1263" t="s">
        <v>7878</v>
      </c>
      <c r="F1263" t="s">
        <v>14</v>
      </c>
      <c r="G1263" s="1">
        <v>45930</v>
      </c>
      <c r="H1263" s="1"/>
      <c r="I1263" t="s">
        <v>2952</v>
      </c>
      <c r="J1263" t="s">
        <v>29</v>
      </c>
      <c r="O1263" s="12"/>
    </row>
    <row r="1264" spans="1:15" x14ac:dyDescent="0.25">
      <c r="A1264" t="s">
        <v>7879</v>
      </c>
      <c r="B1264" t="s">
        <v>474</v>
      </c>
      <c r="C1264" t="s">
        <v>4577</v>
      </c>
      <c r="D1264" t="s">
        <v>6910</v>
      </c>
      <c r="E1264" t="s">
        <v>7880</v>
      </c>
      <c r="F1264" t="s">
        <v>14</v>
      </c>
      <c r="G1264" s="1">
        <v>45932</v>
      </c>
      <c r="H1264" s="1"/>
      <c r="I1264" t="s">
        <v>2952</v>
      </c>
      <c r="J1264" t="s">
        <v>29</v>
      </c>
      <c r="O1264" s="12"/>
    </row>
    <row r="1265" spans="1:15" x14ac:dyDescent="0.25">
      <c r="A1265" t="s">
        <v>7881</v>
      </c>
      <c r="B1265" t="s">
        <v>704</v>
      </c>
      <c r="C1265" t="s">
        <v>32</v>
      </c>
      <c r="D1265" t="s">
        <v>5749</v>
      </c>
      <c r="E1265" t="s">
        <v>6321</v>
      </c>
      <c r="F1265" t="s">
        <v>5728</v>
      </c>
      <c r="G1265" s="1">
        <v>45937</v>
      </c>
      <c r="H1265" s="1"/>
      <c r="I1265" t="s">
        <v>1737</v>
      </c>
      <c r="J1265" t="s">
        <v>29</v>
      </c>
      <c r="K1265" t="s">
        <v>29</v>
      </c>
      <c r="M1265">
        <v>100</v>
      </c>
      <c r="N1265" s="1">
        <v>45947</v>
      </c>
      <c r="O1265" s="12"/>
    </row>
    <row r="1266" spans="1:15" x14ac:dyDescent="0.25">
      <c r="A1266" t="s">
        <v>7882</v>
      </c>
      <c r="B1266" t="s">
        <v>325</v>
      </c>
      <c r="C1266" t="s">
        <v>1519</v>
      </c>
      <c r="D1266" t="s">
        <v>1520</v>
      </c>
      <c r="E1266" t="s">
        <v>4994</v>
      </c>
      <c r="F1266" t="s">
        <v>14</v>
      </c>
      <c r="G1266" s="1">
        <v>45908</v>
      </c>
      <c r="H1266" s="1"/>
      <c r="I1266" t="s">
        <v>1737</v>
      </c>
      <c r="J1266" t="s">
        <v>29</v>
      </c>
      <c r="M1266">
        <v>100</v>
      </c>
      <c r="N1266" s="1">
        <v>45938</v>
      </c>
      <c r="O1266" s="12"/>
    </row>
    <row r="1267" spans="1:15" x14ac:dyDescent="0.25">
      <c r="A1267" t="s">
        <v>7883</v>
      </c>
      <c r="B1267" t="s">
        <v>13</v>
      </c>
      <c r="C1267" t="s">
        <v>903</v>
      </c>
      <c r="D1267" t="s">
        <v>326</v>
      </c>
      <c r="E1267" t="s">
        <v>7884</v>
      </c>
      <c r="F1267" t="s">
        <v>14</v>
      </c>
      <c r="G1267" s="1">
        <v>45911</v>
      </c>
      <c r="H1267" s="1"/>
      <c r="I1267" t="s">
        <v>1737</v>
      </c>
      <c r="J1267" t="s">
        <v>29</v>
      </c>
      <c r="M1267">
        <v>100</v>
      </c>
      <c r="N1267" s="1">
        <v>45947</v>
      </c>
      <c r="O1267" s="12"/>
    </row>
    <row r="1268" spans="1:15" x14ac:dyDescent="0.25">
      <c r="A1268" t="s">
        <v>7885</v>
      </c>
      <c r="B1268" t="s">
        <v>325</v>
      </c>
      <c r="C1268" t="s">
        <v>265</v>
      </c>
      <c r="D1268" t="s">
        <v>7886</v>
      </c>
      <c r="E1268" t="s">
        <v>7887</v>
      </c>
      <c r="F1268" t="s">
        <v>14</v>
      </c>
      <c r="G1268" s="1">
        <v>45946</v>
      </c>
      <c r="H1268" s="1"/>
      <c r="I1268" t="s">
        <v>1737</v>
      </c>
      <c r="J1268" t="s">
        <v>29</v>
      </c>
      <c r="M1268">
        <v>100</v>
      </c>
      <c r="N1268" s="1">
        <v>45975</v>
      </c>
      <c r="O1268" s="12"/>
    </row>
    <row r="1269" spans="1:15" x14ac:dyDescent="0.25">
      <c r="A1269" t="s">
        <v>7888</v>
      </c>
      <c r="B1269" t="s">
        <v>13</v>
      </c>
      <c r="C1269" t="s">
        <v>1136</v>
      </c>
      <c r="D1269" t="s">
        <v>244</v>
      </c>
      <c r="E1269" t="s">
        <v>7889</v>
      </c>
      <c r="F1269" t="s">
        <v>14</v>
      </c>
      <c r="G1269" s="1">
        <v>45947</v>
      </c>
      <c r="H1269" s="1"/>
      <c r="I1269" t="s">
        <v>2952</v>
      </c>
      <c r="J1269" t="s">
        <v>29</v>
      </c>
      <c r="K1269" t="s">
        <v>29</v>
      </c>
      <c r="O1269" s="12"/>
    </row>
    <row r="1270" spans="1:15" x14ac:dyDescent="0.25">
      <c r="A1270" t="s">
        <v>7890</v>
      </c>
      <c r="B1270" t="s">
        <v>704</v>
      </c>
      <c r="C1270" t="s">
        <v>32</v>
      </c>
      <c r="D1270" t="s">
        <v>5106</v>
      </c>
      <c r="E1270" t="s">
        <v>7891</v>
      </c>
      <c r="F1270" t="s">
        <v>5413</v>
      </c>
      <c r="G1270" s="1">
        <v>45951</v>
      </c>
      <c r="H1270" s="1"/>
      <c r="I1270" t="s">
        <v>1737</v>
      </c>
      <c r="J1270" t="s">
        <v>29</v>
      </c>
      <c r="K1270" t="s">
        <v>29</v>
      </c>
      <c r="M1270">
        <v>100</v>
      </c>
      <c r="N1270" s="1">
        <v>45958</v>
      </c>
      <c r="O1270" s="12"/>
    </row>
    <row r="1271" spans="1:15" x14ac:dyDescent="0.25">
      <c r="A1271" t="s">
        <v>7892</v>
      </c>
      <c r="B1271" t="s">
        <v>704</v>
      </c>
      <c r="C1271" t="s">
        <v>6416</v>
      </c>
      <c r="D1271" t="s">
        <v>7503</v>
      </c>
      <c r="E1271" t="s">
        <v>7893</v>
      </c>
      <c r="F1271" t="s">
        <v>5413</v>
      </c>
      <c r="G1271" s="1">
        <v>45951</v>
      </c>
      <c r="H1271" s="1"/>
      <c r="I1271" t="s">
        <v>1737</v>
      </c>
      <c r="J1271" t="s">
        <v>29</v>
      </c>
      <c r="K1271" t="s">
        <v>29</v>
      </c>
      <c r="M1271">
        <v>100</v>
      </c>
      <c r="N1271" s="1">
        <v>45971</v>
      </c>
      <c r="O1271" s="12"/>
    </row>
    <row r="1272" spans="1:15" x14ac:dyDescent="0.25">
      <c r="A1272" t="s">
        <v>7894</v>
      </c>
      <c r="B1272" t="s">
        <v>325</v>
      </c>
      <c r="C1272" t="s">
        <v>7895</v>
      </c>
      <c r="D1272" t="s">
        <v>7896</v>
      </c>
      <c r="E1272" t="s">
        <v>7897</v>
      </c>
      <c r="F1272" t="s">
        <v>14</v>
      </c>
      <c r="G1272" s="1">
        <v>45957</v>
      </c>
      <c r="H1272" s="1"/>
      <c r="I1272" t="s">
        <v>1737</v>
      </c>
      <c r="J1272" t="s">
        <v>29</v>
      </c>
      <c r="M1272">
        <v>100</v>
      </c>
      <c r="N1272" s="1">
        <v>45957</v>
      </c>
      <c r="O1272" s="12"/>
    </row>
    <row r="1273" spans="1:15" x14ac:dyDescent="0.25">
      <c r="A1273" t="s">
        <v>7898</v>
      </c>
      <c r="B1273" t="s">
        <v>704</v>
      </c>
      <c r="C1273" t="s">
        <v>5188</v>
      </c>
      <c r="D1273" t="s">
        <v>7899</v>
      </c>
      <c r="E1273" t="s">
        <v>6403</v>
      </c>
      <c r="F1273" t="s">
        <v>5340</v>
      </c>
      <c r="G1273" s="1">
        <v>45957</v>
      </c>
      <c r="H1273" s="1"/>
      <c r="I1273" t="s">
        <v>2952</v>
      </c>
      <c r="J1273" t="s">
        <v>29</v>
      </c>
      <c r="K1273" t="s">
        <v>29</v>
      </c>
      <c r="O1273" s="12"/>
    </row>
    <row r="1274" spans="1:15" x14ac:dyDescent="0.25">
      <c r="A1274" t="s">
        <v>7900</v>
      </c>
      <c r="B1274" t="s">
        <v>704</v>
      </c>
      <c r="C1274" t="s">
        <v>677</v>
      </c>
      <c r="D1274" t="s">
        <v>7645</v>
      </c>
      <c r="E1274" t="s">
        <v>7901</v>
      </c>
      <c r="F1274" t="s">
        <v>555</v>
      </c>
      <c r="G1274" s="1">
        <v>45959</v>
      </c>
      <c r="H1274" s="1"/>
      <c r="I1274" t="s">
        <v>1737</v>
      </c>
      <c r="J1274" t="s">
        <v>29</v>
      </c>
      <c r="K1274" t="s">
        <v>29</v>
      </c>
      <c r="M1274">
        <v>100</v>
      </c>
      <c r="N1274" s="1">
        <v>45961</v>
      </c>
      <c r="O1274" s="12"/>
    </row>
    <row r="1275" spans="1:15" x14ac:dyDescent="0.25">
      <c r="A1275" t="s">
        <v>7902</v>
      </c>
      <c r="B1275" t="s">
        <v>704</v>
      </c>
      <c r="C1275" t="s">
        <v>32</v>
      </c>
      <c r="D1275" t="s">
        <v>5106</v>
      </c>
      <c r="E1275" t="s">
        <v>7903</v>
      </c>
      <c r="F1275" t="s">
        <v>5728</v>
      </c>
      <c r="G1275" s="1">
        <v>45965</v>
      </c>
      <c r="H1275" s="1"/>
      <c r="I1275" t="s">
        <v>1737</v>
      </c>
      <c r="J1275" t="s">
        <v>29</v>
      </c>
      <c r="K1275" t="s">
        <v>29</v>
      </c>
      <c r="M1275">
        <v>100</v>
      </c>
      <c r="N1275" s="1">
        <v>45968</v>
      </c>
      <c r="O1275" s="12"/>
    </row>
    <row r="1276" spans="1:15" x14ac:dyDescent="0.25">
      <c r="A1276" t="s">
        <v>7904</v>
      </c>
      <c r="B1276" t="s">
        <v>474</v>
      </c>
      <c r="C1276" t="s">
        <v>4577</v>
      </c>
      <c r="D1276" t="s">
        <v>6910</v>
      </c>
      <c r="E1276" t="s">
        <v>7905</v>
      </c>
      <c r="F1276" t="s">
        <v>14</v>
      </c>
      <c r="G1276" s="1">
        <v>45966</v>
      </c>
      <c r="H1276" s="1"/>
      <c r="I1276" t="s">
        <v>2952</v>
      </c>
      <c r="J1276" t="s">
        <v>29</v>
      </c>
      <c r="O1276" s="12"/>
    </row>
    <row r="1277" spans="1:15" x14ac:dyDescent="0.25">
      <c r="A1277" t="s">
        <v>7906</v>
      </c>
      <c r="B1277" t="s">
        <v>704</v>
      </c>
      <c r="C1277" t="s">
        <v>7907</v>
      </c>
      <c r="D1277" t="s">
        <v>7908</v>
      </c>
      <c r="E1277" t="s">
        <v>7031</v>
      </c>
      <c r="F1277" t="s">
        <v>3386</v>
      </c>
      <c r="G1277" s="1">
        <v>45971</v>
      </c>
      <c r="H1277" s="1"/>
      <c r="I1277" t="s">
        <v>2952</v>
      </c>
      <c r="J1277" t="s">
        <v>29</v>
      </c>
      <c r="K1277" t="s">
        <v>29</v>
      </c>
      <c r="O1277" s="12" t="s">
        <v>7909</v>
      </c>
    </row>
    <row r="1278" spans="1:15" x14ac:dyDescent="0.25">
      <c r="A1278" t="s">
        <v>7910</v>
      </c>
      <c r="B1278" t="s">
        <v>704</v>
      </c>
      <c r="C1278" t="s">
        <v>677</v>
      </c>
      <c r="D1278" t="s">
        <v>7645</v>
      </c>
      <c r="E1278" t="s">
        <v>5366</v>
      </c>
      <c r="F1278" t="s">
        <v>555</v>
      </c>
      <c r="G1278" s="1">
        <v>45971</v>
      </c>
      <c r="H1278" s="1"/>
      <c r="I1278" t="s">
        <v>2952</v>
      </c>
      <c r="J1278" t="s">
        <v>29</v>
      </c>
      <c r="K1278" t="s">
        <v>29</v>
      </c>
      <c r="O1278" s="12" t="s">
        <v>7911</v>
      </c>
    </row>
    <row r="1279" spans="1:15" x14ac:dyDescent="0.25">
      <c r="A1279" t="s">
        <v>7912</v>
      </c>
      <c r="B1279" t="s">
        <v>704</v>
      </c>
      <c r="C1279" t="s">
        <v>32</v>
      </c>
      <c r="D1279" t="s">
        <v>5749</v>
      </c>
      <c r="E1279" t="s">
        <v>6321</v>
      </c>
      <c r="F1279" t="s">
        <v>5728</v>
      </c>
      <c r="G1279" s="1">
        <v>45972</v>
      </c>
      <c r="H1279" s="1"/>
      <c r="I1279" t="s">
        <v>1737</v>
      </c>
      <c r="J1279" t="s">
        <v>29</v>
      </c>
      <c r="K1279" t="s">
        <v>29</v>
      </c>
      <c r="M1279">
        <v>100</v>
      </c>
      <c r="N1279" s="1">
        <v>45979</v>
      </c>
      <c r="O1279" s="12" t="s">
        <v>7913</v>
      </c>
    </row>
    <row r="1280" spans="1:15" x14ac:dyDescent="0.25">
      <c r="A1280" t="s">
        <v>7914</v>
      </c>
      <c r="B1280" t="s">
        <v>325</v>
      </c>
      <c r="C1280" t="s">
        <v>4577</v>
      </c>
      <c r="D1280" t="s">
        <v>540</v>
      </c>
      <c r="E1280" t="s">
        <v>7915</v>
      </c>
      <c r="F1280" t="s">
        <v>14</v>
      </c>
      <c r="G1280" s="1">
        <v>45972</v>
      </c>
      <c r="H1280" s="1"/>
      <c r="I1280" t="s">
        <v>2952</v>
      </c>
      <c r="J1280" t="s">
        <v>29</v>
      </c>
      <c r="M1280" t="s">
        <v>7916</v>
      </c>
      <c r="N1280" s="1">
        <v>45973</v>
      </c>
      <c r="O1280" s="12"/>
    </row>
    <row r="1281" spans="1:15" x14ac:dyDescent="0.25">
      <c r="A1281" t="s">
        <v>7917</v>
      </c>
      <c r="B1281" t="s">
        <v>704</v>
      </c>
      <c r="C1281" t="s">
        <v>677</v>
      </c>
      <c r="D1281" t="s">
        <v>7645</v>
      </c>
      <c r="E1281" t="s">
        <v>4715</v>
      </c>
      <c r="F1281" t="s">
        <v>555</v>
      </c>
      <c r="G1281" s="1">
        <v>45973</v>
      </c>
      <c r="H1281" s="1"/>
      <c r="I1281" t="s">
        <v>2952</v>
      </c>
      <c r="J1281" t="s">
        <v>29</v>
      </c>
      <c r="K1281" t="s">
        <v>29</v>
      </c>
      <c r="M1281">
        <v>100</v>
      </c>
      <c r="N1281" s="1">
        <v>45978</v>
      </c>
      <c r="O1281" s="12"/>
    </row>
    <row r="1282" spans="1:15" x14ac:dyDescent="0.25">
      <c r="A1282" t="s">
        <v>7918</v>
      </c>
      <c r="B1282" t="s">
        <v>3554</v>
      </c>
      <c r="C1282" t="s">
        <v>35</v>
      </c>
      <c r="D1282" t="s">
        <v>1382</v>
      </c>
      <c r="E1282" t="s">
        <v>7919</v>
      </c>
      <c r="F1282" t="s">
        <v>7467</v>
      </c>
      <c r="G1282" s="1">
        <v>45974</v>
      </c>
      <c r="H1282" s="1"/>
      <c r="I1282" t="s">
        <v>2952</v>
      </c>
      <c r="J1282" t="s">
        <v>29</v>
      </c>
      <c r="K1282" t="s">
        <v>29</v>
      </c>
      <c r="L1282" t="s">
        <v>1656</v>
      </c>
      <c r="O1282" s="12"/>
    </row>
    <row r="1283" spans="1:15" x14ac:dyDescent="0.25">
      <c r="A1283" t="s">
        <v>7920</v>
      </c>
      <c r="B1283" t="s">
        <v>704</v>
      </c>
      <c r="C1283" t="s">
        <v>5362</v>
      </c>
      <c r="D1283" t="s">
        <v>7921</v>
      </c>
      <c r="E1283" t="s">
        <v>7922</v>
      </c>
      <c r="F1283" t="s">
        <v>14</v>
      </c>
      <c r="G1283" s="1">
        <v>45974</v>
      </c>
      <c r="H1283" s="1"/>
      <c r="I1283" t="s">
        <v>2952</v>
      </c>
      <c r="J1283" t="s">
        <v>29</v>
      </c>
      <c r="K1283" t="s">
        <v>29</v>
      </c>
      <c r="M1283">
        <v>100</v>
      </c>
      <c r="N1283" s="1">
        <v>45974</v>
      </c>
      <c r="O1283" s="12"/>
    </row>
    <row r="1284" spans="1:15" x14ac:dyDescent="0.25">
      <c r="A1284" t="s">
        <v>7923</v>
      </c>
      <c r="B1284" t="s">
        <v>704</v>
      </c>
      <c r="C1284" t="s">
        <v>677</v>
      </c>
      <c r="D1284" t="s">
        <v>7645</v>
      </c>
      <c r="E1284" t="s">
        <v>7414</v>
      </c>
      <c r="F1284" t="s">
        <v>555</v>
      </c>
      <c r="G1284" s="1">
        <v>45975</v>
      </c>
      <c r="H1284" s="1"/>
      <c r="I1284" t="s">
        <v>2952</v>
      </c>
      <c r="J1284" t="s">
        <v>29</v>
      </c>
      <c r="K1284" t="s">
        <v>18</v>
      </c>
      <c r="O1284" s="12" t="s">
        <v>7924</v>
      </c>
    </row>
    <row r="1285" spans="1:15" x14ac:dyDescent="0.25">
      <c r="A1285" t="s">
        <v>7925</v>
      </c>
      <c r="B1285" t="s">
        <v>704</v>
      </c>
      <c r="C1285" t="s">
        <v>32</v>
      </c>
      <c r="D1285" t="s">
        <v>5156</v>
      </c>
      <c r="E1285" t="s">
        <v>7926</v>
      </c>
      <c r="F1285" t="s">
        <v>5844</v>
      </c>
      <c r="G1285" s="1">
        <v>45978</v>
      </c>
      <c r="H1285" s="1"/>
      <c r="I1285" t="s">
        <v>1737</v>
      </c>
      <c r="J1285" t="s">
        <v>29</v>
      </c>
      <c r="K1285" t="s">
        <v>18</v>
      </c>
      <c r="M1285">
        <v>100</v>
      </c>
      <c r="N1285" s="1">
        <v>45981</v>
      </c>
      <c r="O1285" s="12"/>
    </row>
    <row r="1286" spans="1:15" x14ac:dyDescent="0.25">
      <c r="A1286" t="s">
        <v>7927</v>
      </c>
      <c r="B1286" t="s">
        <v>704</v>
      </c>
      <c r="C1286" t="s">
        <v>32</v>
      </c>
      <c r="D1286" t="s">
        <v>475</v>
      </c>
      <c r="E1286" t="s">
        <v>7618</v>
      </c>
      <c r="F1286" t="s">
        <v>5707</v>
      </c>
      <c r="G1286" s="1">
        <v>45978</v>
      </c>
      <c r="H1286" s="1"/>
      <c r="I1286" t="s">
        <v>2952</v>
      </c>
      <c r="J1286" t="s">
        <v>29</v>
      </c>
      <c r="K1286" t="s">
        <v>18</v>
      </c>
      <c r="O1286" s="12"/>
    </row>
    <row r="1287" spans="1:15" x14ac:dyDescent="0.25">
      <c r="A1287" t="s">
        <v>7928</v>
      </c>
      <c r="B1287" t="s">
        <v>704</v>
      </c>
      <c r="C1287" t="s">
        <v>5046</v>
      </c>
      <c r="D1287" t="s">
        <v>7574</v>
      </c>
      <c r="E1287" t="s">
        <v>7929</v>
      </c>
      <c r="F1287" t="s">
        <v>5944</v>
      </c>
      <c r="G1287" s="1">
        <v>45978</v>
      </c>
      <c r="H1287" s="1"/>
      <c r="I1287" t="s">
        <v>2952</v>
      </c>
      <c r="J1287" t="s">
        <v>29</v>
      </c>
      <c r="K1287" t="s">
        <v>18</v>
      </c>
      <c r="O1287" s="12"/>
    </row>
    <row r="1288" spans="1:15" x14ac:dyDescent="0.25">
      <c r="A1288" t="s">
        <v>7930</v>
      </c>
      <c r="B1288" t="s">
        <v>704</v>
      </c>
      <c r="C1288" t="s">
        <v>1404</v>
      </c>
      <c r="D1288" t="s">
        <v>79</v>
      </c>
      <c r="E1288" t="s">
        <v>6550</v>
      </c>
      <c r="F1288" t="s">
        <v>7931</v>
      </c>
      <c r="G1288" s="1">
        <v>45980</v>
      </c>
      <c r="H1288" s="1"/>
      <c r="I1288" t="s">
        <v>2952</v>
      </c>
      <c r="J1288" t="s">
        <v>29</v>
      </c>
      <c r="K1288" t="s">
        <v>18</v>
      </c>
      <c r="O1288" s="12"/>
    </row>
    <row r="1289" spans="1:15" x14ac:dyDescent="0.25">
      <c r="A1289" t="s">
        <v>7932</v>
      </c>
      <c r="B1289" t="s">
        <v>2756</v>
      </c>
      <c r="C1289" t="s">
        <v>7933</v>
      </c>
      <c r="E1289" t="s">
        <v>7934</v>
      </c>
      <c r="F1289" t="s">
        <v>4313</v>
      </c>
      <c r="G1289" s="1">
        <v>45980</v>
      </c>
      <c r="H1289" s="1"/>
      <c r="I1289" t="s">
        <v>2952</v>
      </c>
      <c r="J1289" t="s">
        <v>29</v>
      </c>
      <c r="K1289" t="s">
        <v>18</v>
      </c>
      <c r="O1289" s="12"/>
    </row>
    <row r="1290" spans="1:15" x14ac:dyDescent="0.25">
      <c r="A1290" t="s">
        <v>7935</v>
      </c>
      <c r="B1290" t="s">
        <v>325</v>
      </c>
      <c r="C1290" t="s">
        <v>7936</v>
      </c>
      <c r="D1290" t="s">
        <v>7937</v>
      </c>
      <c r="E1290" t="s">
        <v>7938</v>
      </c>
      <c r="F1290" t="s">
        <v>14</v>
      </c>
      <c r="G1290" s="1">
        <v>45982</v>
      </c>
      <c r="H1290" s="1"/>
      <c r="I1290" t="s">
        <v>1737</v>
      </c>
      <c r="J1290" t="s">
        <v>29</v>
      </c>
      <c r="K1290" t="s">
        <v>18</v>
      </c>
      <c r="M1290">
        <v>100</v>
      </c>
      <c r="N1290" s="1">
        <v>45982</v>
      </c>
      <c r="O1290" s="12"/>
    </row>
    <row r="1291" spans="1:15" x14ac:dyDescent="0.25">
      <c r="A1291" t="s">
        <v>7939</v>
      </c>
      <c r="B1291" t="s">
        <v>7940</v>
      </c>
      <c r="C1291" t="s">
        <v>539</v>
      </c>
      <c r="D1291" t="s">
        <v>540</v>
      </c>
      <c r="E1291" t="s">
        <v>7248</v>
      </c>
      <c r="F1291" t="s">
        <v>14</v>
      </c>
      <c r="G1291" s="1">
        <v>45975</v>
      </c>
      <c r="H1291" s="1"/>
      <c r="I1291" t="s">
        <v>2952</v>
      </c>
      <c r="J1291" t="s">
        <v>29</v>
      </c>
      <c r="O1291" s="12"/>
    </row>
    <row r="1292" spans="1:15" x14ac:dyDescent="0.25">
      <c r="A1292" t="s">
        <v>7941</v>
      </c>
      <c r="B1292" t="s">
        <v>704</v>
      </c>
      <c r="C1292" t="s">
        <v>32</v>
      </c>
      <c r="D1292" t="s">
        <v>475</v>
      </c>
      <c r="E1292" t="s">
        <v>6706</v>
      </c>
      <c r="F1292" t="s">
        <v>5707</v>
      </c>
      <c r="G1292" s="1">
        <v>45985</v>
      </c>
      <c r="H1292" s="1"/>
      <c r="I1292" t="s">
        <v>2952</v>
      </c>
      <c r="J1292" t="s">
        <v>29</v>
      </c>
      <c r="K1292" t="s">
        <v>29</v>
      </c>
      <c r="O1292" s="12"/>
    </row>
    <row r="1293" spans="1:15" x14ac:dyDescent="0.25">
      <c r="A1293" t="s">
        <v>7942</v>
      </c>
      <c r="B1293" t="s">
        <v>704</v>
      </c>
      <c r="C1293" t="s">
        <v>32</v>
      </c>
      <c r="D1293" t="s">
        <v>5106</v>
      </c>
      <c r="E1293" t="s">
        <v>7943</v>
      </c>
      <c r="F1293" t="s">
        <v>5707</v>
      </c>
      <c r="G1293" s="1">
        <v>45985</v>
      </c>
      <c r="H1293" s="1"/>
      <c r="I1293" t="s">
        <v>2952</v>
      </c>
      <c r="K1293" t="s">
        <v>29</v>
      </c>
      <c r="O1293" s="12"/>
    </row>
    <row r="1294" spans="1:15" x14ac:dyDescent="0.25">
      <c r="A1294" t="s">
        <v>7944</v>
      </c>
      <c r="B1294" t="s">
        <v>704</v>
      </c>
      <c r="C1294" t="s">
        <v>1136</v>
      </c>
      <c r="D1294" t="s">
        <v>6247</v>
      </c>
      <c r="E1294" t="s">
        <v>7945</v>
      </c>
      <c r="F1294" t="s">
        <v>7946</v>
      </c>
      <c r="G1294" s="1">
        <v>45985</v>
      </c>
      <c r="H1294" s="1"/>
      <c r="I1294" t="s">
        <v>2952</v>
      </c>
      <c r="K1294" t="s">
        <v>29</v>
      </c>
      <c r="O1294" s="12"/>
    </row>
    <row r="1295" spans="1:15" x14ac:dyDescent="0.25">
      <c r="A1295" t="s">
        <v>7947</v>
      </c>
      <c r="G1295" s="1"/>
      <c r="H1295" s="1"/>
      <c r="O1295" s="12"/>
    </row>
    <row r="1296" spans="1:15" x14ac:dyDescent="0.25">
      <c r="A1296" t="s">
        <v>7948</v>
      </c>
      <c r="G1296" s="1"/>
      <c r="H1296" s="1"/>
      <c r="O1296" s="12"/>
    </row>
    <row r="1297" spans="1:15" x14ac:dyDescent="0.25">
      <c r="A1297" t="s">
        <v>7949</v>
      </c>
      <c r="G1297" s="1"/>
      <c r="H1297" s="1"/>
      <c r="O1297" s="12"/>
    </row>
    <row r="1298" spans="1:15" x14ac:dyDescent="0.25">
      <c r="A1298" t="s">
        <v>7950</v>
      </c>
      <c r="G1298" s="1"/>
      <c r="H1298" s="1"/>
    </row>
    <row r="1299" spans="1:15" x14ac:dyDescent="0.25">
      <c r="A1299" t="s">
        <v>7951</v>
      </c>
      <c r="G1299" s="1"/>
      <c r="H1299" s="1"/>
    </row>
    <row r="1300" spans="1:15" x14ac:dyDescent="0.25">
      <c r="A1300" t="s">
        <v>7952</v>
      </c>
      <c r="G1300" s="1"/>
      <c r="H1300" s="1"/>
    </row>
    <row r="1301" spans="1:15" x14ac:dyDescent="0.25">
      <c r="A1301" t="s">
        <v>7953</v>
      </c>
      <c r="G1301" s="1"/>
      <c r="H1301" s="1"/>
    </row>
    <row r="1302" spans="1:15" x14ac:dyDescent="0.25">
      <c r="A1302" t="s">
        <v>7954</v>
      </c>
      <c r="G1302" s="1"/>
      <c r="H1302" s="1"/>
    </row>
    <row r="1303" spans="1:15" x14ac:dyDescent="0.25">
      <c r="A1303" t="s">
        <v>7955</v>
      </c>
      <c r="G1303" s="1"/>
      <c r="H1303" s="1"/>
    </row>
    <row r="1304" spans="1:15" x14ac:dyDescent="0.25">
      <c r="A1304" t="s">
        <v>7956</v>
      </c>
      <c r="G1304" s="1"/>
      <c r="H1304" s="1"/>
    </row>
    <row r="1305" spans="1:15" x14ac:dyDescent="0.25">
      <c r="A1305" t="s">
        <v>7957</v>
      </c>
      <c r="G1305" s="1"/>
      <c r="H1305" s="1"/>
    </row>
    <row r="1306" spans="1:15" x14ac:dyDescent="0.25">
      <c r="A1306" t="s">
        <v>7958</v>
      </c>
      <c r="G1306" s="1"/>
      <c r="H1306" s="1"/>
    </row>
    <row r="1307" spans="1:15" x14ac:dyDescent="0.25">
      <c r="A1307" t="s">
        <v>7959</v>
      </c>
      <c r="G1307" s="1"/>
      <c r="H1307" s="1"/>
    </row>
    <row r="1308" spans="1:15" x14ac:dyDescent="0.25">
      <c r="A1308" t="s">
        <v>7960</v>
      </c>
      <c r="G1308" s="1"/>
      <c r="H1308" s="1"/>
    </row>
    <row r="1309" spans="1:15" x14ac:dyDescent="0.25">
      <c r="A1309" t="s">
        <v>7961</v>
      </c>
      <c r="G1309" s="1"/>
      <c r="H1309" s="1"/>
    </row>
    <row r="1310" spans="1:15" x14ac:dyDescent="0.25">
      <c r="A1310" t="s">
        <v>7962</v>
      </c>
      <c r="G1310" s="1"/>
      <c r="H1310" s="1"/>
    </row>
  </sheetData>
  <conditionalFormatting sqref="A1:A10139">
    <cfRule type="duplicateValues" dxfId="16" priority="77"/>
  </conditionalFormatting>
  <dataValidations count="2">
    <dataValidation type="list" allowBlank="1" showInputMessage="1" showErrorMessage="1" sqref="K323:K369 K322:L322 J4:J368 K4:K321 J370:K512 J514:K919 K920 K1183 J921:K1182 J1184:K1048576" xr:uid="{5A5F5270-7EB5-40F9-9888-2020342588F3}">
      <formula1>"Yes, No"</formula1>
    </dataValidation>
    <dataValidation type="list" allowBlank="1" showInputMessage="1" showErrorMessage="1" sqref="J1189 I2:I1290 I1292:I1297" xr:uid="{86B2E3B9-7421-4741-8F1A-CB6633BBA049}">
      <formula1>"Open, Shipped, Billed, Closed"</formula1>
    </dataValidation>
  </dataValidations>
  <hyperlinks>
    <hyperlink ref="F1099" r:id="rId1" xr:uid="{BC4B85AC-3198-45A8-9268-8A62B57F60E7}"/>
    <hyperlink ref="O1099" r:id="rId2" display="Your Order Number is: 2025041121442714" xr:uid="{F873A4BA-5E21-46BD-9EEB-FC6154191749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2ED6-EFC8-42DD-AEB4-613F1388A66B}">
  <sheetPr codeName="Sheet5"/>
  <dimension ref="B1:T91"/>
  <sheetViews>
    <sheetView workbookViewId="0">
      <selection activeCell="Q15" sqref="Q15"/>
    </sheetView>
  </sheetViews>
  <sheetFormatPr defaultColWidth="9.140625" defaultRowHeight="15" x14ac:dyDescent="0.25"/>
  <cols>
    <col min="1" max="1" width="9.140625" style="8"/>
    <col min="2" max="2" width="13.42578125" style="8" bestFit="1" customWidth="1"/>
    <col min="3" max="3" width="10.28515625" style="8" bestFit="1" customWidth="1"/>
    <col min="4" max="11" width="9.140625" style="8"/>
    <col min="12" max="12" width="11.5703125" style="8" hidden="1" customWidth="1"/>
    <col min="13" max="15" width="9.140625" style="8" hidden="1" customWidth="1"/>
    <col min="16" max="16" width="5.7109375" style="8" hidden="1" customWidth="1"/>
    <col min="17" max="18" width="9.140625" style="8"/>
    <col min="19" max="19" width="20.140625" style="8" bestFit="1" customWidth="1"/>
    <col min="20" max="16384" width="9.140625" style="8"/>
  </cols>
  <sheetData>
    <row r="1" spans="2:20" x14ac:dyDescent="0.25">
      <c r="B1" s="94" t="s">
        <v>7963</v>
      </c>
      <c r="C1" s="94"/>
      <c r="D1" s="95" t="e">
        <f>SUM(D4:D1048576)/SUM($C$4:$C$1048576)</f>
        <v>#DIV/0!</v>
      </c>
      <c r="E1" s="95"/>
      <c r="F1" s="95" t="e">
        <f t="shared" ref="F1:J1" si="0">SUM(F4:F1048576)/SUM($C$4:$C$1048576)</f>
        <v>#DIV/0!</v>
      </c>
      <c r="G1" s="95"/>
      <c r="H1" s="95" t="e">
        <f t="shared" si="0"/>
        <v>#DIV/0!</v>
      </c>
      <c r="I1" s="95"/>
      <c r="J1" s="95" t="e">
        <f t="shared" si="0"/>
        <v>#DIV/0!</v>
      </c>
      <c r="K1" s="95"/>
      <c r="S1" s="93" t="s">
        <v>7964</v>
      </c>
      <c r="T1" s="93"/>
    </row>
    <row r="2" spans="2:20" x14ac:dyDescent="0.25">
      <c r="C2" s="8" t="s">
        <v>7965</v>
      </c>
      <c r="D2" s="91">
        <v>0.2</v>
      </c>
      <c r="E2" s="91"/>
      <c r="F2" s="91">
        <v>0.6</v>
      </c>
      <c r="G2" s="91"/>
      <c r="H2" s="91">
        <v>0.2</v>
      </c>
      <c r="I2" s="91"/>
      <c r="J2" s="92"/>
      <c r="K2" s="92"/>
      <c r="S2" s="18" t="s">
        <v>2952</v>
      </c>
      <c r="T2" s="19">
        <f>COUNTIF(Table1[Status],'Checks and Stats'!S2)/(COUNTA(Table1[Status])-COUNTIF(Table1[Status],"Archive"))</f>
        <v>0</v>
      </c>
    </row>
    <row r="3" spans="2:20" x14ac:dyDescent="0.25">
      <c r="B3" s="8" t="s">
        <v>1688</v>
      </c>
      <c r="C3" s="8" t="s">
        <v>7966</v>
      </c>
      <c r="D3" s="93" t="s">
        <v>7967</v>
      </c>
      <c r="E3" s="93"/>
      <c r="F3" s="93" t="s">
        <v>7968</v>
      </c>
      <c r="G3" s="93"/>
      <c r="H3" s="93" t="s">
        <v>7969</v>
      </c>
      <c r="I3" s="93"/>
      <c r="J3" s="93" t="s">
        <v>7970</v>
      </c>
      <c r="K3" s="93"/>
      <c r="L3" s="8" t="s">
        <v>1688</v>
      </c>
      <c r="M3" s="8" t="s">
        <v>7967</v>
      </c>
      <c r="N3" s="8" t="s">
        <v>7968</v>
      </c>
      <c r="O3" s="8" t="s">
        <v>7969</v>
      </c>
      <c r="P3" s="8" t="s">
        <v>7970</v>
      </c>
      <c r="S3" s="8" t="s">
        <v>1711</v>
      </c>
      <c r="T3" s="19">
        <f>COUNTIF(Table1[Status],'Checks and Stats'!S3)/(COUNTA(Table1[Status])-COUNTIF(Table1[Status],"Archive"))</f>
        <v>1</v>
      </c>
    </row>
    <row r="4" spans="2:20" x14ac:dyDescent="0.25">
      <c r="B4" s="8" t="str" cm="1">
        <f t="array" ref="B4:B25">_xlfn.UNIQUE(_xlfn.TEXTSPLIT(_xlfn.UNIQUE(Table1[Assigned To]),","))</f>
        <v>Jon</v>
      </c>
      <c r="C4" s="8">
        <f>COUNTIF(Table1[Assigned To],"*" &amp; $B4) + COUNTIF(Table1[Assigned To],$B4 &amp; ",*") - COUNTIFS(Table1[Assigned To],"*" &amp; $B4,Table1[Status],"Archive") - COUNTIFS(Table1[Assigned To],$B4 &amp; ",*",Table1[Status],"Archive") - COUNTIFS(Table1[Assigned To],"*" &amp; $B4,Table1[Status],"Done") - COUNTIFS(Table1[Assigned To],$B4 &amp; ",*",Table1[Status],"Done")</f>
        <v>0</v>
      </c>
      <c r="D4" s="8">
        <f>COUNTIFS(Table1[Assigned To],"*" &amp; $B4,Table1[Priority],"1") + COUNTIFS(Table1[Assigned To],$B4 &amp; ",*",Table1[Priority],"1") - COUNTIFS(Table1[Assigned To],"*" &amp; $B4,Table1[Status],"Archive",Table1[Priority],"1") - COUNTIFS(Table1[Assigned To],$B4 &amp; ",*",Table1[Status],"Archive",Table1[Priority],"1") - COUNTIFS(Table1[Assigned To],"*" &amp; $B4,Table1[Status],"Done",Table1[Priority],"1") - COUNTIFS(Table1[Assigned To],$B4 &amp; ",*",Table1[Status],"Done",Table1[Priority],"1")</f>
        <v>0</v>
      </c>
      <c r="E4" s="17" t="e">
        <f>D4/C4</f>
        <v>#DIV/0!</v>
      </c>
      <c r="F4" s="8">
        <f>COUNTIFS(Table1[Assigned To],"*" &amp; $B4,Table1[Priority],"2") + COUNTIFS(Table1[Assigned To],$B4 &amp; ",*",Table1[Priority],"2") - COUNTIFS(Table1[Assigned To],"*" &amp; $B4,Table1[Status],"Archive",Table1[Priority],"2") - COUNTIFS(Table1[Assigned To],$B4 &amp; ",*",Table1[Status],"Archive",Table1[Priority],"2") - COUNTIFS(Table1[Assigned To],"*" &amp; $B4,Table1[Status],"Done",Table1[Priority],"2") - COUNTIFS(Table1[Assigned To],$B4 &amp; ",*",Table1[Status],"Done",Table1[Priority],"2")</f>
        <v>0</v>
      </c>
      <c r="G4" s="17" t="e">
        <f>F4/C4</f>
        <v>#DIV/0!</v>
      </c>
      <c r="H4" s="8">
        <f>COUNTIFS(Table1[Assigned To],"*" &amp; $B4,Table1[Priority],"3") + COUNTIFS(Table1[Assigned To],$B4 &amp; ",*",Table1[Priority],"3") - COUNTIFS(Table1[Assigned To],"*" &amp; $B4,Table1[Status],"Archive",Table1[Priority],"3") - COUNTIFS(Table1[Assigned To],$B4 &amp; ",*",Table1[Status],"Archive",Table1[Priority],"3") - COUNTIFS(Table1[Assigned To],"*" &amp; $B4,Table1[Status],"Done",Table1[Priority],"3") - COUNTIFS(Table1[Assigned To],$B4 &amp; ",*",Table1[Status],"Done",Table1[Priority],"3")</f>
        <v>0</v>
      </c>
      <c r="I4" s="17" t="e">
        <f>H4/C4</f>
        <v>#DIV/0!</v>
      </c>
      <c r="J4" s="8">
        <f>COUNTIFS(Table1[Assigned To],"*" &amp; $B4,Table1[Priority],"4") + COUNTIFS(Table1[Assigned To],$B4 &amp; ",*",Table1[Priority],"4") - COUNTIFS(Table1[Assigned To],"*" &amp; $B4,Table1[Status],"Archive",Table1[Priority],"4") - COUNTIFS(Table1[Assigned To],$B4 &amp; ",*",Table1[Status],"Archive",Table1[Priority],"4") - COUNTIFS(Table1[Assigned To],"*" &amp; $B4,Table1[Status],"Done",Table1[Priority],"4") - COUNTIFS(Table1[Assigned To],$B4 &amp; ",*",Table1[Status],"Done",Table1[Priority],"4")</f>
        <v>0</v>
      </c>
      <c r="K4" s="17" t="e">
        <f>J4/C4</f>
        <v>#DIV/0!</v>
      </c>
      <c r="L4" s="8" t="str" cm="1">
        <f t="array" ref="L4:L91">_xlfn.UNIQUE(_xlfn._xlws.FILTER(Table1[Assigned To],Table1[Assigned To]&lt;&gt;""))</f>
        <v>Jon</v>
      </c>
      <c r="M4" s="8" t="e">
        <f>IF(AND((D4/$C4)&gt;D$2+0.05,$C4&gt;4),2,IF(AND((D4/$C4)&gt;D$2,$C4&gt;4),1,0))</f>
        <v>#DIV/0!</v>
      </c>
      <c r="N4" s="8" t="e">
        <f>IF(AND((F4/$C4)&gt;F$2+0.05,$C4&gt;4),2,IF(AND((F4/$C4)&gt;F$2,$C4&gt;4),1,0))</f>
        <v>#DIV/0!</v>
      </c>
      <c r="O4" s="8" t="e">
        <f>IF(AND((H4/$C4)&gt;H$2+0.05,$C4&gt;4),2,IF(AND((H4/$C4)&gt;H$2,$C4&gt;4),1,0))</f>
        <v>#DIV/0!</v>
      </c>
      <c r="P4" s="8" t="e">
        <f>IF(AND((J4/$C4)&gt;J$2,$C4&gt;4),1,0)</f>
        <v>#DIV/0!</v>
      </c>
      <c r="Q4" s="8">
        <f>SUM(D4,F4,H4,J4)</f>
        <v>0</v>
      </c>
      <c r="S4" s="8" t="s">
        <v>7971</v>
      </c>
      <c r="T4" s="19">
        <f>COUNTIF(Table1[Status],'Checks and Stats'!S4)/(COUNTA(Table1[Status])-COUNTIF(Table1[Status],"Archive"))</f>
        <v>0</v>
      </c>
    </row>
    <row r="5" spans="2:20" x14ac:dyDescent="0.25">
      <c r="B5" s="8" t="str">
        <v>Brandon</v>
      </c>
      <c r="C5" s="8">
        <f>COUNTIF(Table1[Assigned To],"*" &amp; $B5) + COUNTIF(Table1[Assigned To],$B5 &amp; ",*") - COUNTIFS(Table1[Assigned To],"*" &amp; $B5,Table1[Status],"Archive") - COUNTIFS(Table1[Assigned To],$B5 &amp; ",*",Table1[Status],"Archive") - COUNTIFS(Table1[Assigned To],"*" &amp; $B5,Table1[Status],"Done") - COUNTIFS(Table1[Assigned To],$B5 &amp; ",*",Table1[Status],"Done")</f>
        <v>0</v>
      </c>
      <c r="D5" s="8">
        <f>COUNTIFS(Table1[Assigned To],"*" &amp; $B5,Table1[Priority],"1") + COUNTIFS(Table1[Assigned To],$B5 &amp; ",*",Table1[Priority],"1") - COUNTIFS(Table1[Assigned To],"*" &amp; $B5,Table1[Status],"Archive",Table1[Priority],"1") - COUNTIFS(Table1[Assigned To],$B5 &amp; ",*",Table1[Status],"Archive",Table1[Priority],"1") - COUNTIFS(Table1[Assigned To],"*" &amp; $B5,Table1[Status],"Done",Table1[Priority],"1") - COUNTIFS(Table1[Assigned To],$B5 &amp; ",*",Table1[Status],"Done",Table1[Priority],"1")</f>
        <v>0</v>
      </c>
      <c r="E5" s="17">
        <f>IF(C5=0,0,D5/C5)</f>
        <v>0</v>
      </c>
      <c r="F5" s="8">
        <f>COUNTIFS(Table1[Assigned To],"*" &amp; $B5,Table1[Priority],"2") + COUNTIFS(Table1[Assigned To],$B5 &amp; ",*",Table1[Priority],"2") - COUNTIFS(Table1[Assigned To],"*" &amp; $B5,Table1[Status],"Archive",Table1[Priority],"2") - COUNTIFS(Table1[Assigned To],$B5 &amp; ",*",Table1[Status],"Archive",Table1[Priority],"2") - COUNTIFS(Table1[Assigned To],"*" &amp; $B5,Table1[Status],"Done",Table1[Priority],"2") - COUNTIFS(Table1[Assigned To],$B5 &amp; ",*",Table1[Status],"Done",Table1[Priority],"2")</f>
        <v>0</v>
      </c>
      <c r="G5" s="17">
        <f>IF(C5=0,0,F5/C5)</f>
        <v>0</v>
      </c>
      <c r="H5" s="8">
        <f>COUNTIFS(Table1[Assigned To],"*" &amp; $B5,Table1[Priority],"3") + COUNTIFS(Table1[Assigned To],$B5 &amp; ",*",Table1[Priority],"3") - COUNTIFS(Table1[Assigned To],"*" &amp; $B5,Table1[Status],"Archive",Table1[Priority],"3") - COUNTIFS(Table1[Assigned To],$B5 &amp; ",*",Table1[Status],"Archive",Table1[Priority],"3") - COUNTIFS(Table1[Assigned To],"*" &amp; $B5,Table1[Status],"Done",Table1[Priority],"3") - COUNTIFS(Table1[Assigned To],$B5 &amp; ",*",Table1[Status],"Done",Table1[Priority],"3")</f>
        <v>0</v>
      </c>
      <c r="I5" s="17">
        <f>IF(C5=0,0,H5/C5)</f>
        <v>0</v>
      </c>
      <c r="J5" s="8">
        <f>COUNTIFS(Table1[Assigned To],"*" &amp; $B5,Table1[Priority],"4") + COUNTIFS(Table1[Assigned To],$B5 &amp; ",*",Table1[Priority],"4") - COUNTIFS(Table1[Assigned To],"*" &amp; $B5,Table1[Status],"Archive",Table1[Priority],"4") - COUNTIFS(Table1[Assigned To],$B5 &amp; ",*",Table1[Status],"Archive",Table1[Priority],"4") - COUNTIFS(Table1[Assigned To],"*" &amp; $B5,Table1[Status],"Done",Table1[Priority],"4") - COUNTIFS(Table1[Assigned To],$B5 &amp; ",*",Table1[Status],"Done",Table1[Priority],"4")</f>
        <v>0</v>
      </c>
      <c r="K5" s="17">
        <f>IF(C5=0,0,J5/C5)</f>
        <v>0</v>
      </c>
      <c r="L5" s="8" t="str">
        <v>Brandon, Nick</v>
      </c>
      <c r="M5" s="8" t="e">
        <f t="shared" ref="M5:M13" si="1">IF(AND((D5/$C5)&gt;D$2+0.05,$C5&gt;4),2,IF(AND((D5/$C5)&gt;D$2,$C5&gt;4),1,0))</f>
        <v>#DIV/0!</v>
      </c>
      <c r="N5" s="8" t="e">
        <f t="shared" ref="N5:N13" si="2">IF(AND((F5/$C5)&gt;F$2+0.05,$C5&gt;4),2,IF(AND((F5/$C5)&gt;F$2,$C5&gt;4),1,0))</f>
        <v>#DIV/0!</v>
      </c>
      <c r="O5" s="8" t="e">
        <f t="shared" ref="O5:O13" si="3">IF(AND((H5/$C5)&gt;H$2+0.05,$C5&gt;4),2,IF(AND((H5/$C5)&gt;H$2,$C5&gt;4),1,0))</f>
        <v>#DIV/0!</v>
      </c>
      <c r="P5" s="8" t="e">
        <f t="shared" ref="P5:P13" si="4">IF(AND((J5/$C5)&gt;J$2,$C5&gt;4),1,0)</f>
        <v>#DIV/0!</v>
      </c>
      <c r="Q5" s="8">
        <f t="shared" ref="Q5:Q21" si="5">SUM(D5,F5,H5,J5)</f>
        <v>0</v>
      </c>
      <c r="S5" s="8" t="s">
        <v>7972</v>
      </c>
      <c r="T5" s="19">
        <f>COUNTIF(Table1[Status],'Checks and Stats'!S5)/(COUNTA(Table1[Status])-COUNTIF(Table1[Status],"Archive"))</f>
        <v>0</v>
      </c>
    </row>
    <row r="6" spans="2:20" x14ac:dyDescent="0.25">
      <c r="B6" s="8" t="str">
        <v>Nick</v>
      </c>
      <c r="C6" s="8">
        <f>COUNTIF(Table1[Assigned To],"*" &amp; $B6) + COUNTIF(Table1[Assigned To],$B6 &amp; ",*") - COUNTIFS(Table1[Assigned To],"*" &amp; $B6,Table1[Status],"Archive") - COUNTIFS(Table1[Assigned To],$B6 &amp; ",*",Table1[Status],"Archive") - COUNTIFS(Table1[Assigned To],"*" &amp; $B6,Table1[Status],"Done") - COUNTIFS(Table1[Assigned To],$B6 &amp; ",*",Table1[Status],"Done")</f>
        <v>0</v>
      </c>
      <c r="D6" s="8">
        <f>COUNTIFS(Table1[Assigned To],"*" &amp; $B6,Table1[Priority],"1") + COUNTIFS(Table1[Assigned To],$B6 &amp; ",*",Table1[Priority],"1") - COUNTIFS(Table1[Assigned To],"*" &amp; $B6,Table1[Status],"Archive",Table1[Priority],"1") - COUNTIFS(Table1[Assigned To],$B6 &amp; ",*",Table1[Status],"Archive",Table1[Priority],"1") - COUNTIFS(Table1[Assigned To],"*" &amp; $B6,Table1[Status],"Done",Table1[Priority],"1") - COUNTIFS(Table1[Assigned To],$B6 &amp; ",*",Table1[Status],"Done",Table1[Priority],"1")</f>
        <v>0</v>
      </c>
      <c r="E6" s="17">
        <f t="shared" ref="E6:E21" si="6">IF(C6=0,0,D6/C6)</f>
        <v>0</v>
      </c>
      <c r="F6" s="8">
        <f>COUNTIFS(Table1[Assigned To],"*" &amp; $B6,Table1[Priority],"2") + COUNTIFS(Table1[Assigned To],$B6 &amp; ",*",Table1[Priority],"2") - COUNTIFS(Table1[Assigned To],"*" &amp; $B6,Table1[Status],"Archive",Table1[Priority],"2") - COUNTIFS(Table1[Assigned To],$B6 &amp; ",*",Table1[Status],"Archive",Table1[Priority],"2") - COUNTIFS(Table1[Assigned To],"*" &amp; $B6,Table1[Status],"Done",Table1[Priority],"2") - COUNTIFS(Table1[Assigned To],$B6 &amp; ",*",Table1[Status],"Done",Table1[Priority],"2")</f>
        <v>0</v>
      </c>
      <c r="G6" s="17">
        <f t="shared" ref="G6:G21" si="7">IF(C6=0,0,F6/C6)</f>
        <v>0</v>
      </c>
      <c r="H6" s="8">
        <f>COUNTIFS(Table1[Assigned To],"*" &amp; $B6,Table1[Priority],"3") + COUNTIFS(Table1[Assigned To],$B6 &amp; ",*",Table1[Priority],"3") - COUNTIFS(Table1[Assigned To],"*" &amp; $B6,Table1[Status],"Archive",Table1[Priority],"3") - COUNTIFS(Table1[Assigned To],$B6 &amp; ",*",Table1[Status],"Archive",Table1[Priority],"3") - COUNTIFS(Table1[Assigned To],"*" &amp; $B6,Table1[Status],"Done",Table1[Priority],"3") - COUNTIFS(Table1[Assigned To],$B6 &amp; ",*",Table1[Status],"Done",Table1[Priority],"3")</f>
        <v>0</v>
      </c>
      <c r="I6" s="17">
        <f t="shared" ref="I6:I21" si="8">IF(C6=0,0,H6/C6)</f>
        <v>0</v>
      </c>
      <c r="J6" s="8">
        <f>COUNTIFS(Table1[Assigned To],"*" &amp; $B6,Table1[Priority],"4") + COUNTIFS(Table1[Assigned To],$B6 &amp; ",*",Table1[Priority],"4") - COUNTIFS(Table1[Assigned To],"*" &amp; $B6,Table1[Status],"Archive",Table1[Priority],"4") - COUNTIFS(Table1[Assigned To],$B6 &amp; ",*",Table1[Status],"Archive",Table1[Priority],"4") - COUNTIFS(Table1[Assigned To],"*" &amp; $B6,Table1[Status],"Done",Table1[Priority],"4") - COUNTIFS(Table1[Assigned To],$B6 &amp; ",*",Table1[Status],"Done",Table1[Priority],"4")</f>
        <v>0</v>
      </c>
      <c r="K6" s="17">
        <f t="shared" ref="K6:K21" si="9">IF(C6=0,0,J6/C6)</f>
        <v>0</v>
      </c>
      <c r="L6" s="8" t="str">
        <v>Jon, Tom</v>
      </c>
      <c r="M6" s="8" t="e">
        <f t="shared" si="1"/>
        <v>#DIV/0!</v>
      </c>
      <c r="N6" s="8" t="e">
        <f t="shared" si="2"/>
        <v>#DIV/0!</v>
      </c>
      <c r="O6" s="8" t="e">
        <f t="shared" si="3"/>
        <v>#DIV/0!</v>
      </c>
      <c r="P6" s="8" t="e">
        <f t="shared" si="4"/>
        <v>#DIV/0!</v>
      </c>
      <c r="Q6" s="8">
        <f t="shared" si="5"/>
        <v>0</v>
      </c>
      <c r="S6" s="20" t="s">
        <v>388</v>
      </c>
      <c r="T6" s="19">
        <f>COUNTIF(Table1[Status],'Checks and Stats'!S6)/(COUNTA(Table1[Status])-COUNTIF(Table1[Status],"Archive"))</f>
        <v>0</v>
      </c>
    </row>
    <row r="7" spans="2:20" x14ac:dyDescent="0.25">
      <c r="B7" s="8" t="str">
        <v>Ricky</v>
      </c>
      <c r="C7" s="8">
        <f>COUNTIF(Table1[Assigned To],"*" &amp; $B7) + COUNTIF(Table1[Assigned To],$B7 &amp; ",*") - COUNTIFS(Table1[Assigned To],"*" &amp; $B7,Table1[Status],"Archive") - COUNTIFS(Table1[Assigned To],$B7 &amp; ",*",Table1[Status],"Archive") - COUNTIFS(Table1[Assigned To],"*" &amp; $B7,Table1[Status],"Done") - COUNTIFS(Table1[Assigned To],$B7 &amp; ",*",Table1[Status],"Done")</f>
        <v>0</v>
      </c>
      <c r="D7" s="8">
        <f>COUNTIFS(Table1[Assigned To],"*" &amp; $B7,Table1[Priority],"1") + COUNTIFS(Table1[Assigned To],$B7 &amp; ",*",Table1[Priority],"1") - COUNTIFS(Table1[Assigned To],"*" &amp; $B7,Table1[Status],"Archive",Table1[Priority],"1") - COUNTIFS(Table1[Assigned To],$B7 &amp; ",*",Table1[Status],"Archive",Table1[Priority],"1") - COUNTIFS(Table1[Assigned To],"*" &amp; $B7,Table1[Status],"Done",Table1[Priority],"1") - COUNTIFS(Table1[Assigned To],$B7 &amp; ",*",Table1[Status],"Done",Table1[Priority],"1")</f>
        <v>0</v>
      </c>
      <c r="E7" s="17">
        <f t="shared" si="6"/>
        <v>0</v>
      </c>
      <c r="F7" s="8">
        <f>COUNTIFS(Table1[Assigned To],"*" &amp; $B7,Table1[Priority],"2") + COUNTIFS(Table1[Assigned To],$B7 &amp; ",*",Table1[Priority],"2") - COUNTIFS(Table1[Assigned To],"*" &amp; $B7,Table1[Status],"Archive",Table1[Priority],"2") - COUNTIFS(Table1[Assigned To],$B7 &amp; ",*",Table1[Status],"Archive",Table1[Priority],"2") - COUNTIFS(Table1[Assigned To],"*" &amp; $B7,Table1[Status],"Done",Table1[Priority],"2") - COUNTIFS(Table1[Assigned To],$B7 &amp; ",*",Table1[Status],"Done",Table1[Priority],"2")</f>
        <v>0</v>
      </c>
      <c r="G7" s="17">
        <f t="shared" si="7"/>
        <v>0</v>
      </c>
      <c r="H7" s="8">
        <f>COUNTIFS(Table1[Assigned To],"*" &amp; $B7,Table1[Priority],"3") + COUNTIFS(Table1[Assigned To],$B7 &amp; ",*",Table1[Priority],"3") - COUNTIFS(Table1[Assigned To],"*" &amp; $B7,Table1[Status],"Archive",Table1[Priority],"3") - COUNTIFS(Table1[Assigned To],$B7 &amp; ",*",Table1[Status],"Archive",Table1[Priority],"3") - COUNTIFS(Table1[Assigned To],"*" &amp; $B7,Table1[Status],"Done",Table1[Priority],"3") - COUNTIFS(Table1[Assigned To],$B7 &amp; ",*",Table1[Status],"Done",Table1[Priority],"3")</f>
        <v>0</v>
      </c>
      <c r="I7" s="17">
        <f t="shared" si="8"/>
        <v>0</v>
      </c>
      <c r="J7" s="8">
        <f>COUNTIFS(Table1[Assigned To],"*" &amp; $B7,Table1[Priority],"4") + COUNTIFS(Table1[Assigned To],$B7 &amp; ",*",Table1[Priority],"4") - COUNTIFS(Table1[Assigned To],"*" &amp; $B7,Table1[Status],"Archive",Table1[Priority],"4") - COUNTIFS(Table1[Assigned To],$B7 &amp; ",*",Table1[Status],"Archive",Table1[Priority],"4") - COUNTIFS(Table1[Assigned To],"*" &amp; $B7,Table1[Status],"Done",Table1[Priority],"4") - COUNTIFS(Table1[Assigned To],$B7 &amp; ",*",Table1[Status],"Done",Table1[Priority],"4")</f>
        <v>0</v>
      </c>
      <c r="K7" s="17">
        <f t="shared" si="9"/>
        <v>0</v>
      </c>
      <c r="L7" s="8" t="str">
        <v>Brandon</v>
      </c>
      <c r="M7" s="8" t="e">
        <f t="shared" si="1"/>
        <v>#DIV/0!</v>
      </c>
      <c r="N7" s="8" t="e">
        <f t="shared" si="2"/>
        <v>#DIV/0!</v>
      </c>
      <c r="O7" s="8" t="e">
        <f t="shared" si="3"/>
        <v>#DIV/0!</v>
      </c>
      <c r="P7" s="8" t="e">
        <f t="shared" si="4"/>
        <v>#DIV/0!</v>
      </c>
      <c r="Q7" s="8">
        <f t="shared" si="5"/>
        <v>0</v>
      </c>
    </row>
    <row r="8" spans="2:20" x14ac:dyDescent="0.25">
      <c r="B8" s="8" t="str">
        <v>Tom</v>
      </c>
      <c r="C8" s="8">
        <f>COUNTIF(Table1[Assigned To],"*" &amp; $B8) + COUNTIF(Table1[Assigned To],$B8 &amp; ",*") - COUNTIFS(Table1[Assigned To],"*" &amp; $B8,Table1[Status],"Archive") - COUNTIFS(Table1[Assigned To],$B8 &amp; ",*",Table1[Status],"Archive") - COUNTIFS(Table1[Assigned To],"*" &amp; $B8,Table1[Status],"Done") - COUNTIFS(Table1[Assigned To],$B8 &amp; ",*",Table1[Status],"Done")</f>
        <v>0</v>
      </c>
      <c r="D8" s="8">
        <f>COUNTIFS(Table1[Assigned To],"*" &amp; $B8,Table1[Priority],"1") + COUNTIFS(Table1[Assigned To],$B8 &amp; ",*",Table1[Priority],"1") - COUNTIFS(Table1[Assigned To],"*" &amp; $B8,Table1[Status],"Archive",Table1[Priority],"1") - COUNTIFS(Table1[Assigned To],$B8 &amp; ",*",Table1[Status],"Archive",Table1[Priority],"1") - COUNTIFS(Table1[Assigned To],"*" &amp; $B8,Table1[Status],"Done",Table1[Priority],"1") - COUNTIFS(Table1[Assigned To],$B8 &amp; ",*",Table1[Status],"Done",Table1[Priority],"1")</f>
        <v>0</v>
      </c>
      <c r="E8" s="17">
        <f t="shared" si="6"/>
        <v>0</v>
      </c>
      <c r="F8" s="8">
        <f>COUNTIFS(Table1[Assigned To],"*" &amp; $B8,Table1[Priority],"2") + COUNTIFS(Table1[Assigned To],$B8 &amp; ",*",Table1[Priority],"2") - COUNTIFS(Table1[Assigned To],"*" &amp; $B8,Table1[Status],"Archive",Table1[Priority],"2") - COUNTIFS(Table1[Assigned To],$B8 &amp; ",*",Table1[Status],"Archive",Table1[Priority],"2") - COUNTIFS(Table1[Assigned To],"*" &amp; $B8,Table1[Status],"Done",Table1[Priority],"2") - COUNTIFS(Table1[Assigned To],$B8 &amp; ",*",Table1[Status],"Done",Table1[Priority],"2")</f>
        <v>0</v>
      </c>
      <c r="G8" s="17">
        <f t="shared" si="7"/>
        <v>0</v>
      </c>
      <c r="H8" s="8">
        <f>COUNTIFS(Table1[Assigned To],"*" &amp; $B8,Table1[Priority],"3") + COUNTIFS(Table1[Assigned To],$B8 &amp; ",*",Table1[Priority],"3") - COUNTIFS(Table1[Assigned To],"*" &amp; $B8,Table1[Status],"Archive",Table1[Priority],"3") - COUNTIFS(Table1[Assigned To],$B8 &amp; ",*",Table1[Status],"Archive",Table1[Priority],"3") - COUNTIFS(Table1[Assigned To],"*" &amp; $B8,Table1[Status],"Done",Table1[Priority],"3") - COUNTIFS(Table1[Assigned To],$B8 &amp; ",*",Table1[Status],"Done",Table1[Priority],"3")</f>
        <v>0</v>
      </c>
      <c r="I8" s="17">
        <f t="shared" si="8"/>
        <v>0</v>
      </c>
      <c r="J8" s="8">
        <f>COUNTIFS(Table1[Assigned To],"*" &amp; $B8,Table1[Priority],"4") + COUNTIFS(Table1[Assigned To],$B8 &amp; ",*",Table1[Priority],"4") - COUNTIFS(Table1[Assigned To],"*" &amp; $B8,Table1[Status],"Archive",Table1[Priority],"4") - COUNTIFS(Table1[Assigned To],$B8 &amp; ",*",Table1[Status],"Archive",Table1[Priority],"4") - COUNTIFS(Table1[Assigned To],"*" &amp; $B8,Table1[Status],"Done",Table1[Priority],"4") - COUNTIFS(Table1[Assigned To],$B8 &amp; ",*",Table1[Status],"Done",Table1[Priority],"4")</f>
        <v>0</v>
      </c>
      <c r="K8" s="17">
        <f t="shared" si="9"/>
        <v>0</v>
      </c>
      <c r="L8" s="8" t="str">
        <v>Nick</v>
      </c>
      <c r="M8" s="8" t="e">
        <f t="shared" si="1"/>
        <v>#DIV/0!</v>
      </c>
      <c r="N8" s="8" t="e">
        <f t="shared" si="2"/>
        <v>#DIV/0!</v>
      </c>
      <c r="O8" s="8" t="e">
        <f t="shared" si="3"/>
        <v>#DIV/0!</v>
      </c>
      <c r="P8" s="8" t="e">
        <f t="shared" si="4"/>
        <v>#DIV/0!</v>
      </c>
      <c r="Q8" s="8">
        <f t="shared" si="5"/>
        <v>0</v>
      </c>
    </row>
    <row r="9" spans="2:20" x14ac:dyDescent="0.25">
      <c r="B9" s="8" t="str">
        <v>Mike</v>
      </c>
      <c r="C9" s="8">
        <f>COUNTIF(Table1[Assigned To],"*" &amp; $B9) + COUNTIF(Table1[Assigned To],$B9 &amp; ",*") - COUNTIFS(Table1[Assigned To],"*" &amp; $B9,Table1[Status],"Archive") - COUNTIFS(Table1[Assigned To],$B9 &amp; ",*",Table1[Status],"Archive") - COUNTIFS(Table1[Assigned To],"*" &amp; $B9,Table1[Status],"Done") - COUNTIFS(Table1[Assigned To],$B9 &amp; ",*",Table1[Status],"Done")</f>
        <v>0</v>
      </c>
      <c r="D9" s="8">
        <f>COUNTIFS(Table1[Assigned To],"*" &amp; $B9,Table1[Priority],"1") + COUNTIFS(Table1[Assigned To],$B9 &amp; ",*",Table1[Priority],"1") - COUNTIFS(Table1[Assigned To],"*" &amp; $B9,Table1[Status],"Archive",Table1[Priority],"1") - COUNTIFS(Table1[Assigned To],$B9 &amp; ",*",Table1[Status],"Archive",Table1[Priority],"1") - COUNTIFS(Table1[Assigned To],"*" &amp; $B9,Table1[Status],"Done",Table1[Priority],"1") - COUNTIFS(Table1[Assigned To],$B9 &amp; ",*",Table1[Status],"Done",Table1[Priority],"1")</f>
        <v>0</v>
      </c>
      <c r="E9" s="17">
        <f t="shared" si="6"/>
        <v>0</v>
      </c>
      <c r="F9" s="8">
        <f>COUNTIFS(Table1[Assigned To],"*" &amp; $B9,Table1[Priority],"2") + COUNTIFS(Table1[Assigned To],$B9 &amp; ",*",Table1[Priority],"2") - COUNTIFS(Table1[Assigned To],"*" &amp; $B9,Table1[Status],"Archive",Table1[Priority],"2") - COUNTIFS(Table1[Assigned To],$B9 &amp; ",*",Table1[Status],"Archive",Table1[Priority],"2") - COUNTIFS(Table1[Assigned To],"*" &amp; $B9,Table1[Status],"Done",Table1[Priority],"2") - COUNTIFS(Table1[Assigned To],$B9 &amp; ",*",Table1[Status],"Done",Table1[Priority],"2")</f>
        <v>0</v>
      </c>
      <c r="G9" s="17">
        <f t="shared" si="7"/>
        <v>0</v>
      </c>
      <c r="H9" s="8">
        <f>COUNTIFS(Table1[Assigned To],"*" &amp; $B9,Table1[Priority],"3") + COUNTIFS(Table1[Assigned To],$B9 &amp; ",*",Table1[Priority],"3") - COUNTIFS(Table1[Assigned To],"*" &amp; $B9,Table1[Status],"Archive",Table1[Priority],"3") - COUNTIFS(Table1[Assigned To],$B9 &amp; ",*",Table1[Status],"Archive",Table1[Priority],"3") - COUNTIFS(Table1[Assigned To],"*" &amp; $B9,Table1[Status],"Done",Table1[Priority],"3") - COUNTIFS(Table1[Assigned To],$B9 &amp; ",*",Table1[Status],"Done",Table1[Priority],"3")</f>
        <v>0</v>
      </c>
      <c r="I9" s="17">
        <f t="shared" si="8"/>
        <v>0</v>
      </c>
      <c r="J9" s="8">
        <f>COUNTIFS(Table1[Assigned To],"*" &amp; $B9,Table1[Priority],"4") + COUNTIFS(Table1[Assigned To],$B9 &amp; ",*",Table1[Priority],"4") - COUNTIFS(Table1[Assigned To],"*" &amp; $B9,Table1[Status],"Archive",Table1[Priority],"4") - COUNTIFS(Table1[Assigned To],$B9 &amp; ",*",Table1[Status],"Archive",Table1[Priority],"4") - COUNTIFS(Table1[Assigned To],"*" &amp; $B9,Table1[Status],"Done",Table1[Priority],"4") - COUNTIFS(Table1[Assigned To],$B9 &amp; ",*",Table1[Status],"Done",Table1[Priority],"4")</f>
        <v>0</v>
      </c>
      <c r="K9" s="17">
        <f t="shared" si="9"/>
        <v>0</v>
      </c>
      <c r="L9" s="8" t="str">
        <v>Ricky, Jon</v>
      </c>
      <c r="M9" s="8" t="e">
        <f t="shared" si="1"/>
        <v>#DIV/0!</v>
      </c>
      <c r="N9" s="8" t="e">
        <f t="shared" si="2"/>
        <v>#DIV/0!</v>
      </c>
      <c r="O9" s="8" t="e">
        <f t="shared" si="3"/>
        <v>#DIV/0!</v>
      </c>
      <c r="P9" s="8" t="e">
        <f t="shared" si="4"/>
        <v>#DIV/0!</v>
      </c>
      <c r="Q9" s="8">
        <f t="shared" si="5"/>
        <v>0</v>
      </c>
    </row>
    <row r="10" spans="2:20" x14ac:dyDescent="0.25">
      <c r="B10" s="8" t="str">
        <v>PB</v>
      </c>
      <c r="C10" s="8">
        <f>COUNTIF(Table1[Assigned To],"*" &amp; $B10) + COUNTIF(Table1[Assigned To],$B10 &amp; ",*") - COUNTIFS(Table1[Assigned To],"*" &amp; $B10,Table1[Status],"Archive") - COUNTIFS(Table1[Assigned To],$B10 &amp; ",*",Table1[Status],"Archive") - COUNTIFS(Table1[Assigned To],"*" &amp; $B10,Table1[Status],"Done") - COUNTIFS(Table1[Assigned To],$B10 &amp; ",*",Table1[Status],"Done")</f>
        <v>0</v>
      </c>
      <c r="D10" s="8">
        <f>COUNTIFS(Table1[Assigned To],"*" &amp; $B10,Table1[Priority],"1") + COUNTIFS(Table1[Assigned To],$B10 &amp; ",*",Table1[Priority],"1") - COUNTIFS(Table1[Assigned To],"*" &amp; $B10,Table1[Status],"Archive",Table1[Priority],"1") - COUNTIFS(Table1[Assigned To],$B10 &amp; ",*",Table1[Status],"Archive",Table1[Priority],"1") - COUNTIFS(Table1[Assigned To],"*" &amp; $B10,Table1[Status],"Done",Table1[Priority],"1") - COUNTIFS(Table1[Assigned To],$B10 &amp; ",*",Table1[Status],"Done",Table1[Priority],"1")</f>
        <v>0</v>
      </c>
      <c r="E10" s="17">
        <f t="shared" si="6"/>
        <v>0</v>
      </c>
      <c r="F10" s="8">
        <f>COUNTIFS(Table1[Assigned To],"*" &amp; $B10,Table1[Priority],"2") + COUNTIFS(Table1[Assigned To],$B10 &amp; ",*",Table1[Priority],"2") - COUNTIFS(Table1[Assigned To],"*" &amp; $B10,Table1[Status],"Archive",Table1[Priority],"2") - COUNTIFS(Table1[Assigned To],$B10 &amp; ",*",Table1[Status],"Archive",Table1[Priority],"2") - COUNTIFS(Table1[Assigned To],"*" &amp; $B10,Table1[Status],"Done",Table1[Priority],"2") - COUNTIFS(Table1[Assigned To],$B10 &amp; ",*",Table1[Status],"Done",Table1[Priority],"2")</f>
        <v>0</v>
      </c>
      <c r="G10" s="17">
        <f t="shared" si="7"/>
        <v>0</v>
      </c>
      <c r="H10" s="8">
        <f>COUNTIFS(Table1[Assigned To],"*" &amp; $B10,Table1[Priority],"3") + COUNTIFS(Table1[Assigned To],$B10 &amp; ",*",Table1[Priority],"3") - COUNTIFS(Table1[Assigned To],"*" &amp; $B10,Table1[Status],"Archive",Table1[Priority],"3") - COUNTIFS(Table1[Assigned To],$B10 &amp; ",*",Table1[Status],"Archive",Table1[Priority],"3") - COUNTIFS(Table1[Assigned To],"*" &amp; $B10,Table1[Status],"Done",Table1[Priority],"3") - COUNTIFS(Table1[Assigned To],$B10 &amp; ",*",Table1[Status],"Done",Table1[Priority],"3")</f>
        <v>0</v>
      </c>
      <c r="I10" s="17">
        <f t="shared" si="8"/>
        <v>0</v>
      </c>
      <c r="J10" s="8">
        <f>COUNTIFS(Table1[Assigned To],"*" &amp; $B10,Table1[Priority],"4") + COUNTIFS(Table1[Assigned To],$B10 &amp; ",*",Table1[Priority],"4") - COUNTIFS(Table1[Assigned To],"*" &amp; $B10,Table1[Status],"Archive",Table1[Priority],"4") - COUNTIFS(Table1[Assigned To],$B10 &amp; ",*",Table1[Status],"Archive",Table1[Priority],"4") - COUNTIFS(Table1[Assigned To],"*" &amp; $B10,Table1[Status],"Done",Table1[Priority],"4") - COUNTIFS(Table1[Assigned To],$B10 &amp; ",*",Table1[Status],"Done",Table1[Priority],"4")</f>
        <v>0</v>
      </c>
      <c r="K10" s="17">
        <f t="shared" si="9"/>
        <v>0</v>
      </c>
      <c r="L10" s="8" t="str">
        <v>Tom, Jon</v>
      </c>
      <c r="M10" s="8" t="e">
        <f t="shared" si="1"/>
        <v>#DIV/0!</v>
      </c>
      <c r="N10" s="8" t="e">
        <f t="shared" si="2"/>
        <v>#DIV/0!</v>
      </c>
      <c r="O10" s="8" t="e">
        <f t="shared" si="3"/>
        <v>#DIV/0!</v>
      </c>
      <c r="P10" s="8" t="e">
        <f t="shared" si="4"/>
        <v>#DIV/0!</v>
      </c>
      <c r="Q10" s="8">
        <f t="shared" si="5"/>
        <v>0</v>
      </c>
    </row>
    <row r="11" spans="2:20" x14ac:dyDescent="0.25">
      <c r="B11" s="8" t="str">
        <v>Notes</v>
      </c>
      <c r="C11" s="8">
        <f>COUNTIF(Table1[Assigned To],"*" &amp; $B11) + COUNTIF(Table1[Assigned To],$B11 &amp; ",*") - COUNTIFS(Table1[Assigned To],"*" &amp; $B11,Table1[Status],"Archive") - COUNTIFS(Table1[Assigned To],$B11 &amp; ",*",Table1[Status],"Archive") - COUNTIFS(Table1[Assigned To],"*" &amp; $B11,Table1[Status],"Done") - COUNTIFS(Table1[Assigned To],$B11 &amp; ",*",Table1[Status],"Done")</f>
        <v>0</v>
      </c>
      <c r="D11" s="8">
        <f>COUNTIFS(Table1[Assigned To],"*" &amp; $B11,Table1[Priority],"1") + COUNTIFS(Table1[Assigned To],$B11 &amp; ",*",Table1[Priority],"1") - COUNTIFS(Table1[Assigned To],"*" &amp; $B11,Table1[Status],"Archive",Table1[Priority],"1") - COUNTIFS(Table1[Assigned To],$B11 &amp; ",*",Table1[Status],"Archive",Table1[Priority],"1") - COUNTIFS(Table1[Assigned To],"*" &amp; $B11,Table1[Status],"Done",Table1[Priority],"1") - COUNTIFS(Table1[Assigned To],$B11 &amp; ",*",Table1[Status],"Done",Table1[Priority],"1")</f>
        <v>0</v>
      </c>
      <c r="E11" s="17">
        <f t="shared" si="6"/>
        <v>0</v>
      </c>
      <c r="F11" s="8">
        <f>COUNTIFS(Table1[Assigned To],"*" &amp; $B11,Table1[Priority],"2") + COUNTIFS(Table1[Assigned To],$B11 &amp; ",*",Table1[Priority],"2") - COUNTIFS(Table1[Assigned To],"*" &amp; $B11,Table1[Status],"Archive",Table1[Priority],"2") - COUNTIFS(Table1[Assigned To],$B11 &amp; ",*",Table1[Status],"Archive",Table1[Priority],"2") - COUNTIFS(Table1[Assigned To],"*" &amp; $B11,Table1[Status],"Done",Table1[Priority],"2") - COUNTIFS(Table1[Assigned To],$B11 &amp; ",*",Table1[Status],"Done",Table1[Priority],"2")</f>
        <v>0</v>
      </c>
      <c r="G11" s="17">
        <f t="shared" si="7"/>
        <v>0</v>
      </c>
      <c r="H11" s="8">
        <f>COUNTIFS(Table1[Assigned To],"*" &amp; $B11,Table1[Priority],"3") + COUNTIFS(Table1[Assigned To],$B11 &amp; ",*",Table1[Priority],"3") - COUNTIFS(Table1[Assigned To],"*" &amp; $B11,Table1[Status],"Archive",Table1[Priority],"3") - COUNTIFS(Table1[Assigned To],$B11 &amp; ",*",Table1[Status],"Archive",Table1[Priority],"3") - COUNTIFS(Table1[Assigned To],"*" &amp; $B11,Table1[Status],"Done",Table1[Priority],"3") - COUNTIFS(Table1[Assigned To],$B11 &amp; ",*",Table1[Status],"Done",Table1[Priority],"3")</f>
        <v>0</v>
      </c>
      <c r="I11" s="17">
        <f t="shared" si="8"/>
        <v>0</v>
      </c>
      <c r="J11" s="8">
        <f>COUNTIFS(Table1[Assigned To],"*" &amp; $B11,Table1[Priority],"4") + COUNTIFS(Table1[Assigned To],$B11 &amp; ",*",Table1[Priority],"4") - COUNTIFS(Table1[Assigned To],"*" &amp; $B11,Table1[Status],"Archive",Table1[Priority],"4") - COUNTIFS(Table1[Assigned To],$B11 &amp; ",*",Table1[Status],"Archive",Table1[Priority],"4") - COUNTIFS(Table1[Assigned To],"*" &amp; $B11,Table1[Status],"Done",Table1[Priority],"4") - COUNTIFS(Table1[Assigned To],$B11 &amp; ",*",Table1[Status],"Done",Table1[Priority],"4")</f>
        <v>0</v>
      </c>
      <c r="K11" s="17">
        <f t="shared" si="9"/>
        <v>0</v>
      </c>
      <c r="L11" s="8" t="str">
        <v>Tom</v>
      </c>
      <c r="M11" s="8" t="e">
        <f t="shared" si="1"/>
        <v>#DIV/0!</v>
      </c>
      <c r="N11" s="8" t="e">
        <f t="shared" si="2"/>
        <v>#DIV/0!</v>
      </c>
      <c r="O11" s="8" t="e">
        <f t="shared" si="3"/>
        <v>#DIV/0!</v>
      </c>
      <c r="P11" s="8" t="e">
        <f t="shared" si="4"/>
        <v>#DIV/0!</v>
      </c>
      <c r="Q11" s="8">
        <f t="shared" si="5"/>
        <v>0</v>
      </c>
    </row>
    <row r="12" spans="2:20" x14ac:dyDescent="0.25">
      <c r="B12" s="8" t="str">
        <v>Ben</v>
      </c>
      <c r="C12" s="8">
        <f>COUNTIF(Table1[Assigned To],"*" &amp; $B12) + COUNTIF(Table1[Assigned To],$B12 &amp; ",*") - COUNTIFS(Table1[Assigned To],"*" &amp; $B12,Table1[Status],"Archive") - COUNTIFS(Table1[Assigned To],$B12 &amp; ",*",Table1[Status],"Archive") - COUNTIFS(Table1[Assigned To],"*" &amp; $B12,Table1[Status],"Done") - COUNTIFS(Table1[Assigned To],$B12 &amp; ",*",Table1[Status],"Done")</f>
        <v>0</v>
      </c>
      <c r="D12" s="8">
        <f>COUNTIFS(Table1[Assigned To],"*" &amp; $B12,Table1[Priority],"1") + COUNTIFS(Table1[Assigned To],$B12 &amp; ",*",Table1[Priority],"1") - COUNTIFS(Table1[Assigned To],"*" &amp; $B12,Table1[Status],"Archive",Table1[Priority],"1") - COUNTIFS(Table1[Assigned To],$B12 &amp; ",*",Table1[Status],"Archive",Table1[Priority],"1") - COUNTIFS(Table1[Assigned To],"*" &amp; $B12,Table1[Status],"Done",Table1[Priority],"1") - COUNTIFS(Table1[Assigned To],$B12 &amp; ",*",Table1[Status],"Done",Table1[Priority],"1")</f>
        <v>0</v>
      </c>
      <c r="E12" s="17">
        <f t="shared" si="6"/>
        <v>0</v>
      </c>
      <c r="F12" s="8">
        <f>COUNTIFS(Table1[Assigned To],"*" &amp; $B12,Table1[Priority],"2") + COUNTIFS(Table1[Assigned To],$B12 &amp; ",*",Table1[Priority],"2") - COUNTIFS(Table1[Assigned To],"*" &amp; $B12,Table1[Status],"Archive",Table1[Priority],"2") - COUNTIFS(Table1[Assigned To],$B12 &amp; ",*",Table1[Status],"Archive",Table1[Priority],"2") - COUNTIFS(Table1[Assigned To],"*" &amp; $B12,Table1[Status],"Done",Table1[Priority],"2") - COUNTIFS(Table1[Assigned To],$B12 &amp; ",*",Table1[Status],"Done",Table1[Priority],"2")</f>
        <v>0</v>
      </c>
      <c r="G12" s="17">
        <f t="shared" si="7"/>
        <v>0</v>
      </c>
      <c r="H12" s="8">
        <f>COUNTIFS(Table1[Assigned To],"*" &amp; $B12,Table1[Priority],"3") + COUNTIFS(Table1[Assigned To],$B12 &amp; ",*",Table1[Priority],"3") - COUNTIFS(Table1[Assigned To],"*" &amp; $B12,Table1[Status],"Archive",Table1[Priority],"3") - COUNTIFS(Table1[Assigned To],$B12 &amp; ",*",Table1[Status],"Archive",Table1[Priority],"3") - COUNTIFS(Table1[Assigned To],"*" &amp; $B12,Table1[Status],"Done",Table1[Priority],"3") - COUNTIFS(Table1[Assigned To],$B12 &amp; ",*",Table1[Status],"Done",Table1[Priority],"3")</f>
        <v>0</v>
      </c>
      <c r="I12" s="17">
        <f t="shared" si="8"/>
        <v>0</v>
      </c>
      <c r="J12" s="8">
        <f>COUNTIFS(Table1[Assigned To],"*" &amp; $B12,Table1[Priority],"4") + COUNTIFS(Table1[Assigned To],$B12 &amp; ",*",Table1[Priority],"4") - COUNTIFS(Table1[Assigned To],"*" &amp; $B12,Table1[Status],"Archive",Table1[Priority],"4") - COUNTIFS(Table1[Assigned To],$B12 &amp; ",*",Table1[Status],"Archive",Table1[Priority],"4") - COUNTIFS(Table1[Assigned To],"*" &amp; $B12,Table1[Status],"Done",Table1[Priority],"4") - COUNTIFS(Table1[Assigned To],$B12 &amp; ",*",Table1[Status],"Done",Table1[Priority],"4")</f>
        <v>0</v>
      </c>
      <c r="K12" s="17">
        <f t="shared" si="9"/>
        <v>0</v>
      </c>
      <c r="L12" s="8" t="str">
        <v>Mike</v>
      </c>
      <c r="M12" s="8" t="e">
        <f t="shared" si="1"/>
        <v>#DIV/0!</v>
      </c>
      <c r="N12" s="8" t="e">
        <f t="shared" si="2"/>
        <v>#DIV/0!</v>
      </c>
      <c r="O12" s="8" t="e">
        <f t="shared" si="3"/>
        <v>#DIV/0!</v>
      </c>
      <c r="P12" s="8" t="e">
        <f t="shared" si="4"/>
        <v>#DIV/0!</v>
      </c>
      <c r="Q12" s="8">
        <f>SUM(D12,F12,H12,J12)</f>
        <v>0</v>
      </c>
    </row>
    <row r="13" spans="2:20" x14ac:dyDescent="0.25">
      <c r="B13" s="8" t="str">
        <v>Jacob</v>
      </c>
      <c r="C13" s="8">
        <f>COUNTIF(Table1[Assigned To],"*" &amp; $B13) + COUNTIF(Table1[Assigned To],$B13 &amp; ",*") - COUNTIFS(Table1[Assigned To],"*" &amp; $B13,Table1[Status],"Archive") - COUNTIFS(Table1[Assigned To],$B13 &amp; ",*",Table1[Status],"Archive") - COUNTIFS(Table1[Assigned To],"*" &amp; $B13,Table1[Status],"Done") - COUNTIFS(Table1[Assigned To],$B13 &amp; ",*",Table1[Status],"Done")</f>
        <v>0</v>
      </c>
      <c r="D13" s="8">
        <f>COUNTIFS(Table1[Assigned To],"*" &amp; $B13,Table1[Priority],"1") + COUNTIFS(Table1[Assigned To],$B13 &amp; ",*",Table1[Priority],"1") - COUNTIFS(Table1[Assigned To],"*" &amp; $B13,Table1[Status],"Archive",Table1[Priority],"1") - COUNTIFS(Table1[Assigned To],$B13 &amp; ",*",Table1[Status],"Archive",Table1[Priority],"1") - COUNTIFS(Table1[Assigned To],"*" &amp; $B13,Table1[Status],"Done",Table1[Priority],"1") - COUNTIFS(Table1[Assigned To],$B13 &amp; ",*",Table1[Status],"Done",Table1[Priority],"1")</f>
        <v>0</v>
      </c>
      <c r="E13" s="17">
        <f t="shared" si="6"/>
        <v>0</v>
      </c>
      <c r="F13" s="8">
        <f>COUNTIFS(Table1[Assigned To],"*" &amp; $B13,Table1[Priority],"2") + COUNTIFS(Table1[Assigned To],$B13 &amp; ",*",Table1[Priority],"2") - COUNTIFS(Table1[Assigned To],"*" &amp; $B13,Table1[Status],"Archive",Table1[Priority],"2") - COUNTIFS(Table1[Assigned To],$B13 &amp; ",*",Table1[Status],"Archive",Table1[Priority],"2") - COUNTIFS(Table1[Assigned To],"*" &amp; $B13,Table1[Status],"Done",Table1[Priority],"2") - COUNTIFS(Table1[Assigned To],$B13 &amp; ",*",Table1[Status],"Done",Table1[Priority],"2")</f>
        <v>0</v>
      </c>
      <c r="G13" s="17">
        <f t="shared" si="7"/>
        <v>0</v>
      </c>
      <c r="H13" s="8">
        <f>COUNTIFS(Table1[Assigned To],"*" &amp; $B13,Table1[Priority],"3") + COUNTIFS(Table1[Assigned To],$B13 &amp; ",*",Table1[Priority],"3") - COUNTIFS(Table1[Assigned To],"*" &amp; $B13,Table1[Status],"Archive",Table1[Priority],"3") - COUNTIFS(Table1[Assigned To],$B13 &amp; ",*",Table1[Status],"Archive",Table1[Priority],"3") - COUNTIFS(Table1[Assigned To],"*" &amp; $B13,Table1[Status],"Done",Table1[Priority],"3") - COUNTIFS(Table1[Assigned To],$B13 &amp; ",*",Table1[Status],"Done",Table1[Priority],"3")</f>
        <v>0</v>
      </c>
      <c r="I13" s="17">
        <f t="shared" si="8"/>
        <v>0</v>
      </c>
      <c r="J13" s="8">
        <f>COUNTIFS(Table1[Assigned To],"*" &amp; $B13,Table1[Priority],"4") + COUNTIFS(Table1[Assigned To],$B13 &amp; ",*",Table1[Priority],"4") - COUNTIFS(Table1[Assigned To],"*" &amp; $B13,Table1[Status],"Archive",Table1[Priority],"4") - COUNTIFS(Table1[Assigned To],$B13 &amp; ",*",Table1[Status],"Archive",Table1[Priority],"4") - COUNTIFS(Table1[Assigned To],"*" &amp; $B13,Table1[Status],"Done",Table1[Priority],"4") - COUNTIFS(Table1[Assigned To],$B13 &amp; ",*",Table1[Status],"Done",Table1[Priority],"4")</f>
        <v>0</v>
      </c>
      <c r="K13" s="17">
        <f t="shared" si="9"/>
        <v>0</v>
      </c>
      <c r="L13" s="8" t="str">
        <v>PB</v>
      </c>
      <c r="M13" s="8" t="e">
        <f t="shared" si="1"/>
        <v>#DIV/0!</v>
      </c>
      <c r="N13" s="8" t="e">
        <f t="shared" si="2"/>
        <v>#DIV/0!</v>
      </c>
      <c r="O13" s="8" t="e">
        <f t="shared" si="3"/>
        <v>#DIV/0!</v>
      </c>
      <c r="P13" s="8" t="e">
        <f t="shared" si="4"/>
        <v>#DIV/0!</v>
      </c>
      <c r="Q13" s="8">
        <f t="shared" si="5"/>
        <v>0</v>
      </c>
    </row>
    <row r="14" spans="2:20" x14ac:dyDescent="0.25">
      <c r="B14" s="8" t="str">
        <v>Unassigned</v>
      </c>
      <c r="C14" s="8">
        <f>COUNTIF(Table1[Assigned To],"*" &amp; $B14) + COUNTIF(Table1[Assigned To],$B14 &amp; ",*") - COUNTIFS(Table1[Assigned To],"*" &amp; $B14,Table1[Status],"Archive") - COUNTIFS(Table1[Assigned To],$B14 &amp; ",*",Table1[Status],"Archive") - COUNTIFS(Table1[Assigned To],"*" &amp; $B14,Table1[Status],"Done") - COUNTIFS(Table1[Assigned To],$B14 &amp; ",*",Table1[Status],"Done")</f>
        <v>0</v>
      </c>
      <c r="D14" s="8">
        <f>COUNTIFS(Table1[Assigned To],"*" &amp; $B14,Table1[Priority],"1") + COUNTIFS(Table1[Assigned To],$B14 &amp; ",*",Table1[Priority],"1") - COUNTIFS(Table1[Assigned To],"*" &amp; $B14,Table1[Status],"Archive",Table1[Priority],"1") - COUNTIFS(Table1[Assigned To],$B14 &amp; ",*",Table1[Status],"Archive",Table1[Priority],"1") - COUNTIFS(Table1[Assigned To],"*" &amp; $B14,Table1[Status],"Done",Table1[Priority],"1") - COUNTIFS(Table1[Assigned To],$B14 &amp; ",*",Table1[Status],"Done",Table1[Priority],"1")</f>
        <v>0</v>
      </c>
      <c r="E14" s="17">
        <f t="shared" si="6"/>
        <v>0</v>
      </c>
      <c r="F14" s="8">
        <f>COUNTIFS(Table1[Assigned To],"*" &amp; $B14,Table1[Priority],"2") + COUNTIFS(Table1[Assigned To],$B14 &amp; ",*",Table1[Priority],"2") - COUNTIFS(Table1[Assigned To],"*" &amp; $B14,Table1[Status],"Archive",Table1[Priority],"2") - COUNTIFS(Table1[Assigned To],$B14 &amp; ",*",Table1[Status],"Archive",Table1[Priority],"2") - COUNTIFS(Table1[Assigned To],"*" &amp; $B14,Table1[Status],"Done",Table1[Priority],"2") - COUNTIFS(Table1[Assigned To],$B14 &amp; ",*",Table1[Status],"Done",Table1[Priority],"2")</f>
        <v>0</v>
      </c>
      <c r="G14" s="17">
        <f t="shared" si="7"/>
        <v>0</v>
      </c>
      <c r="H14" s="8">
        <f>COUNTIFS(Table1[Assigned To],"*" &amp; $B14,Table1[Priority],"3") + COUNTIFS(Table1[Assigned To],$B14 &amp; ",*",Table1[Priority],"3") - COUNTIFS(Table1[Assigned To],"*" &amp; $B14,Table1[Status],"Archive",Table1[Priority],"3") - COUNTIFS(Table1[Assigned To],$B14 &amp; ",*",Table1[Status],"Archive",Table1[Priority],"3") - COUNTIFS(Table1[Assigned To],"*" &amp; $B14,Table1[Status],"Done",Table1[Priority],"3") - COUNTIFS(Table1[Assigned To],$B14 &amp; ",*",Table1[Status],"Done",Table1[Priority],"3")</f>
        <v>0</v>
      </c>
      <c r="I14" s="17">
        <f t="shared" si="8"/>
        <v>0</v>
      </c>
      <c r="J14" s="8">
        <f>COUNTIFS(Table1[Assigned To],"*" &amp; $B14,Table1[Priority],"4") + COUNTIFS(Table1[Assigned To],$B14 &amp; ",*",Table1[Priority],"4") - COUNTIFS(Table1[Assigned To],"*" &amp; $B14,Table1[Status],"Archive",Table1[Priority],"4") - COUNTIFS(Table1[Assigned To],$B14 &amp; ",*",Table1[Status],"Archive",Table1[Priority],"4") - COUNTIFS(Table1[Assigned To],"*" &amp; $B14,Table1[Status],"Done",Table1[Priority],"4") - COUNTIFS(Table1[Assigned To],$B14 &amp; ",*",Table1[Status],"Done",Table1[Priority],"4")</f>
        <v>0</v>
      </c>
      <c r="K14" s="17">
        <f t="shared" si="9"/>
        <v>0</v>
      </c>
      <c r="L14" s="8" t="str">
        <v>Notes</v>
      </c>
      <c r="Q14" s="8">
        <f t="shared" si="5"/>
        <v>0</v>
      </c>
    </row>
    <row r="15" spans="2:20" x14ac:dyDescent="0.25">
      <c r="B15" s="8" t="str">
        <v>David</v>
      </c>
      <c r="C15" s="8">
        <f>COUNTIF(Table1[Assigned To],"*" &amp; $B15) + COUNTIF(Table1[Assigned To],$B15 &amp; ",*") - COUNTIFS(Table1[Assigned To],"*" &amp; $B15,Table1[Status],"Archive") - COUNTIFS(Table1[Assigned To],$B15 &amp; ",*",Table1[Status],"Archive") - COUNTIFS(Table1[Assigned To],"*" &amp; $B15,Table1[Status],"Done") - COUNTIFS(Table1[Assigned To],$B15 &amp; ",*",Table1[Status],"Done")</f>
        <v>0</v>
      </c>
      <c r="D15" s="8">
        <f>COUNTIFS(Table1[Assigned To],"*" &amp; $B15,Table1[Priority],"1") + COUNTIFS(Table1[Assigned To],$B15 &amp; ",*",Table1[Priority],"1") - COUNTIFS(Table1[Assigned To],"*" &amp; $B15,Table1[Status],"Archive",Table1[Priority],"1") - COUNTIFS(Table1[Assigned To],$B15 &amp; ",*",Table1[Status],"Archive",Table1[Priority],"1") - COUNTIFS(Table1[Assigned To],"*" &amp; $B15,Table1[Status],"Done",Table1[Priority],"1") - COUNTIFS(Table1[Assigned To],$B15 &amp; ",*",Table1[Status],"Done",Table1[Priority],"1")</f>
        <v>0</v>
      </c>
      <c r="E15" s="17">
        <f t="shared" si="6"/>
        <v>0</v>
      </c>
      <c r="F15" s="8">
        <f>COUNTIFS(Table1[Assigned To],"*" &amp; $B15,Table1[Priority],"2") + COUNTIFS(Table1[Assigned To],$B15 &amp; ",*",Table1[Priority],"2") - COUNTIFS(Table1[Assigned To],"*" &amp; $B15,Table1[Status],"Archive",Table1[Priority],"2") - COUNTIFS(Table1[Assigned To],$B15 &amp; ",*",Table1[Status],"Archive",Table1[Priority],"2") - COUNTIFS(Table1[Assigned To],"*" &amp; $B15,Table1[Status],"Done",Table1[Priority],"2") - COUNTIFS(Table1[Assigned To],$B15 &amp; ",*",Table1[Status],"Done",Table1[Priority],"2")</f>
        <v>0</v>
      </c>
      <c r="G15" s="17">
        <f t="shared" si="7"/>
        <v>0</v>
      </c>
      <c r="H15" s="8">
        <f>COUNTIFS(Table1[Assigned To],"*" &amp; $B15,Table1[Priority],"3") + COUNTIFS(Table1[Assigned To],$B15 &amp; ",*",Table1[Priority],"3") - COUNTIFS(Table1[Assigned To],"*" &amp; $B15,Table1[Status],"Archive",Table1[Priority],"3") - COUNTIFS(Table1[Assigned To],$B15 &amp; ",*",Table1[Status],"Archive",Table1[Priority],"3") - COUNTIFS(Table1[Assigned To],"*" &amp; $B15,Table1[Status],"Done",Table1[Priority],"3") - COUNTIFS(Table1[Assigned To],$B15 &amp; ",*",Table1[Status],"Done",Table1[Priority],"3")</f>
        <v>0</v>
      </c>
      <c r="I15" s="17">
        <f t="shared" si="8"/>
        <v>0</v>
      </c>
      <c r="J15" s="8">
        <f>COUNTIFS(Table1[Assigned To],"*" &amp; $B15,Table1[Priority],"4") + COUNTIFS(Table1[Assigned To],$B15 &amp; ",*",Table1[Priority],"4") - COUNTIFS(Table1[Assigned To],"*" &amp; $B15,Table1[Status],"Archive",Table1[Priority],"4") - COUNTIFS(Table1[Assigned To],$B15 &amp; ",*",Table1[Status],"Archive",Table1[Priority],"4") - COUNTIFS(Table1[Assigned To],"*" &amp; $B15,Table1[Status],"Done",Table1[Priority],"4") - COUNTIFS(Table1[Assigned To],$B15 &amp; ",*",Table1[Status],"Done",Table1[Priority],"4")</f>
        <v>0</v>
      </c>
      <c r="K15" s="17">
        <f t="shared" si="9"/>
        <v>0</v>
      </c>
      <c r="L15" s="8" t="str">
        <v>Ben</v>
      </c>
      <c r="Q15" s="8">
        <v>0</v>
      </c>
    </row>
    <row r="16" spans="2:20" x14ac:dyDescent="0.25">
      <c r="B16" s="8" t="str">
        <v>Sean</v>
      </c>
      <c r="C16" s="8">
        <f>COUNTIF(Table1[Assigned To],"*" &amp; $B16) + COUNTIF(Table1[Assigned To],$B16 &amp; ",*") - COUNTIFS(Table1[Assigned To],"*" &amp; $B16,Table1[Status],"Archive") - COUNTIFS(Table1[Assigned To],$B16 &amp; ",*",Table1[Status],"Archive") - COUNTIFS(Table1[Assigned To],"*" &amp; $B16,Table1[Status],"Done") - COUNTIFS(Table1[Assigned To],$B16 &amp; ",*",Table1[Status],"Done")</f>
        <v>0</v>
      </c>
      <c r="D16" s="8">
        <f>COUNTIFS(Table1[Assigned To],"*" &amp; $B16,Table1[Priority],"1") + COUNTIFS(Table1[Assigned To],$B16 &amp; ",*",Table1[Priority],"1") - COUNTIFS(Table1[Assigned To],"*" &amp; $B16,Table1[Status],"Archive",Table1[Priority],"1") - COUNTIFS(Table1[Assigned To],$B16 &amp; ",*",Table1[Status],"Archive",Table1[Priority],"1") - COUNTIFS(Table1[Assigned To],"*" &amp; $B16,Table1[Status],"Done",Table1[Priority],"1") - COUNTIFS(Table1[Assigned To],$B16 &amp; ",*",Table1[Status],"Done",Table1[Priority],"1")</f>
        <v>0</v>
      </c>
      <c r="E16" s="17">
        <f t="shared" si="6"/>
        <v>0</v>
      </c>
      <c r="F16" s="8">
        <f>COUNTIFS(Table1[Assigned To],"*" &amp; $B16,Table1[Priority],"2") + COUNTIFS(Table1[Assigned To],$B16 &amp; ",*",Table1[Priority],"2") - COUNTIFS(Table1[Assigned To],"*" &amp; $B16,Table1[Status],"Archive",Table1[Priority],"2") - COUNTIFS(Table1[Assigned To],$B16 &amp; ",*",Table1[Status],"Archive",Table1[Priority],"2") - COUNTIFS(Table1[Assigned To],"*" &amp; $B16,Table1[Status],"Done",Table1[Priority],"2") - COUNTIFS(Table1[Assigned To],$B16 &amp; ",*",Table1[Status],"Done",Table1[Priority],"2")</f>
        <v>0</v>
      </c>
      <c r="G16" s="17">
        <f t="shared" si="7"/>
        <v>0</v>
      </c>
      <c r="H16" s="8">
        <f>COUNTIFS(Table1[Assigned To],"*" &amp; $B16,Table1[Priority],"3") + COUNTIFS(Table1[Assigned To],$B16 &amp; ",*",Table1[Priority],"3") - COUNTIFS(Table1[Assigned To],"*" &amp; $B16,Table1[Status],"Archive",Table1[Priority],"3") - COUNTIFS(Table1[Assigned To],$B16 &amp; ",*",Table1[Status],"Archive",Table1[Priority],"3") - COUNTIFS(Table1[Assigned To],"*" &amp; $B16,Table1[Status],"Done",Table1[Priority],"3") - COUNTIFS(Table1[Assigned To],$B16 &amp; ",*",Table1[Status],"Done",Table1[Priority],"3")</f>
        <v>0</v>
      </c>
      <c r="I16" s="17">
        <f t="shared" si="8"/>
        <v>0</v>
      </c>
      <c r="J16" s="8">
        <f>COUNTIFS(Table1[Assigned To],"*" &amp; $B16,Table1[Priority],"4") + COUNTIFS(Table1[Assigned To],$B16 &amp; ",*",Table1[Priority],"4") - COUNTIFS(Table1[Assigned To],"*" &amp; $B16,Table1[Status],"Archive",Table1[Priority],"4") - COUNTIFS(Table1[Assigned To],$B16 &amp; ",*",Table1[Status],"Archive",Table1[Priority],"4") - COUNTIFS(Table1[Assigned To],"*" &amp; $B16,Table1[Status],"Done",Table1[Priority],"4") - COUNTIFS(Table1[Assigned To],$B16 &amp; ",*",Table1[Status],"Done",Table1[Priority],"4")</f>
        <v>0</v>
      </c>
      <c r="K16" s="17">
        <f t="shared" si="9"/>
        <v>0</v>
      </c>
      <c r="L16" s="8" t="str">
        <v>Jon, Jacob</v>
      </c>
      <c r="Q16" s="8">
        <f t="shared" si="5"/>
        <v>0</v>
      </c>
    </row>
    <row r="17" spans="2:17" x14ac:dyDescent="0.25">
      <c r="B17" s="8" t="str">
        <v>Rick</v>
      </c>
      <c r="C17" s="8">
        <f>COUNTIF(Table1[Assigned To],"*" &amp; $B17) + COUNTIF(Table1[Assigned To],$B17 &amp; ",*") - COUNTIFS(Table1[Assigned To],"*" &amp; $B17,Table1[Status],"Archive") - COUNTIFS(Table1[Assigned To],$B17 &amp; ",*",Table1[Status],"Archive") - COUNTIFS(Table1[Assigned To],"*" &amp; $B17,Table1[Status],"Done") - COUNTIFS(Table1[Assigned To],$B17 &amp; ",*",Table1[Status],"Done")</f>
        <v>0</v>
      </c>
      <c r="D17" s="8">
        <f>COUNTIFS(Table1[Assigned To],"*" &amp; $B17,Table1[Priority],"1") + COUNTIFS(Table1[Assigned To],$B17 &amp; ",*",Table1[Priority],"1") - COUNTIFS(Table1[Assigned To],"*" &amp; $B17,Table1[Status],"Archive",Table1[Priority],"1") - COUNTIFS(Table1[Assigned To],$B17 &amp; ",*",Table1[Status],"Archive",Table1[Priority],"1") - COUNTIFS(Table1[Assigned To],"*" &amp; $B17,Table1[Status],"Done",Table1[Priority],"1") - COUNTIFS(Table1[Assigned To],$B17 &amp; ",*",Table1[Status],"Done",Table1[Priority],"1")</f>
        <v>0</v>
      </c>
      <c r="E17" s="17">
        <f t="shared" si="6"/>
        <v>0</v>
      </c>
      <c r="F17" s="8">
        <f>COUNTIFS(Table1[Assigned To],"*" &amp; $B17,Table1[Priority],"2") + COUNTIFS(Table1[Assigned To],$B17 &amp; ",*",Table1[Priority],"2") - COUNTIFS(Table1[Assigned To],"*" &amp; $B17,Table1[Status],"Archive",Table1[Priority],"2") - COUNTIFS(Table1[Assigned To],$B17 &amp; ",*",Table1[Status],"Archive",Table1[Priority],"2") - COUNTIFS(Table1[Assigned To],"*" &amp; $B17,Table1[Status],"Done",Table1[Priority],"2") - COUNTIFS(Table1[Assigned To],$B17 &amp; ",*",Table1[Status],"Done",Table1[Priority],"2")</f>
        <v>0</v>
      </c>
      <c r="G17" s="17">
        <f t="shared" si="7"/>
        <v>0</v>
      </c>
      <c r="H17" s="8">
        <f>COUNTIFS(Table1[Assigned To],"*" &amp; $B17,Table1[Priority],"3") + COUNTIFS(Table1[Assigned To],$B17 &amp; ",*",Table1[Priority],"3") - COUNTIFS(Table1[Assigned To],"*" &amp; $B17,Table1[Status],"Archive",Table1[Priority],"3") - COUNTIFS(Table1[Assigned To],$B17 &amp; ",*",Table1[Status],"Archive",Table1[Priority],"3") - COUNTIFS(Table1[Assigned To],"*" &amp; $B17,Table1[Status],"Done",Table1[Priority],"3") - COUNTIFS(Table1[Assigned To],$B17 &amp; ",*",Table1[Status],"Done",Table1[Priority],"3")</f>
        <v>0</v>
      </c>
      <c r="I17" s="17">
        <f t="shared" si="8"/>
        <v>0</v>
      </c>
      <c r="J17" s="8">
        <f>COUNTIFS(Table1[Assigned To],"*" &amp; $B17,Table1[Priority],"4") + COUNTIFS(Table1[Assigned To],$B17 &amp; ",*",Table1[Priority],"4") - COUNTIFS(Table1[Assigned To],"*" &amp; $B17,Table1[Status],"Archive",Table1[Priority],"4") - COUNTIFS(Table1[Assigned To],$B17 &amp; ",*",Table1[Status],"Archive",Table1[Priority],"4") - COUNTIFS(Table1[Assigned To],"*" &amp; $B17,Table1[Status],"Done",Table1[Priority],"4") - COUNTIFS(Table1[Assigned To],$B17 &amp; ",*",Table1[Status],"Done",Table1[Priority],"4")</f>
        <v>0</v>
      </c>
      <c r="K17" s="17">
        <f t="shared" si="9"/>
        <v>0</v>
      </c>
      <c r="L17" s="8" t="str">
        <v>Jon, Nick</v>
      </c>
      <c r="Q17" s="8">
        <f t="shared" si="5"/>
        <v>0</v>
      </c>
    </row>
    <row r="18" spans="2:17" x14ac:dyDescent="0.25">
      <c r="B18" s="8" t="str">
        <v>Welder</v>
      </c>
      <c r="C18" s="8">
        <f>COUNTIF(Table1[Assigned To],"*" &amp; $B18) + COUNTIF(Table1[Assigned To],$B18 &amp; ",*") - COUNTIFS(Table1[Assigned To],"*" &amp; $B18,Table1[Status],"Archive") - COUNTIFS(Table1[Assigned To],$B18 &amp; ",*",Table1[Status],"Archive") - COUNTIFS(Table1[Assigned To],"*" &amp; $B18,Table1[Status],"Done") - COUNTIFS(Table1[Assigned To],$B18 &amp; ",*",Table1[Status],"Done")</f>
        <v>0</v>
      </c>
      <c r="D18" s="8">
        <f>COUNTIFS(Table1[Assigned To],"*" &amp; $B18,Table1[Priority],"1") + COUNTIFS(Table1[Assigned To],$B18 &amp; ",*",Table1[Priority],"1") - COUNTIFS(Table1[Assigned To],"*" &amp; $B18,Table1[Status],"Archive",Table1[Priority],"1") - COUNTIFS(Table1[Assigned To],$B18 &amp; ",*",Table1[Status],"Archive",Table1[Priority],"1") - COUNTIFS(Table1[Assigned To],"*" &amp; $B18,Table1[Status],"Done",Table1[Priority],"1") - COUNTIFS(Table1[Assigned To],$B18 &amp; ",*",Table1[Status],"Done",Table1[Priority],"1")</f>
        <v>0</v>
      </c>
      <c r="E18" s="17">
        <f t="shared" si="6"/>
        <v>0</v>
      </c>
      <c r="F18" s="8">
        <f>COUNTIFS(Table1[Assigned To],"*" &amp; $B18,Table1[Priority],"2") + COUNTIFS(Table1[Assigned To],$B18 &amp; ",*",Table1[Priority],"2") - COUNTIFS(Table1[Assigned To],"*" &amp; $B18,Table1[Status],"Archive",Table1[Priority],"2") - COUNTIFS(Table1[Assigned To],$B18 &amp; ",*",Table1[Status],"Archive",Table1[Priority],"2") - COUNTIFS(Table1[Assigned To],"*" &amp; $B18,Table1[Status],"Done",Table1[Priority],"2") - COUNTIFS(Table1[Assigned To],$B18 &amp; ",*",Table1[Status],"Done",Table1[Priority],"2")</f>
        <v>0</v>
      </c>
      <c r="G18" s="17">
        <f t="shared" si="7"/>
        <v>0</v>
      </c>
      <c r="H18" s="8">
        <f>COUNTIFS(Table1[Assigned To],"*" &amp; $B18,Table1[Priority],"3") + COUNTIFS(Table1[Assigned To],$B18 &amp; ",*",Table1[Priority],"3") - COUNTIFS(Table1[Assigned To],"*" &amp; $B18,Table1[Status],"Archive",Table1[Priority],"3") - COUNTIFS(Table1[Assigned To],$B18 &amp; ",*",Table1[Status],"Archive",Table1[Priority],"3") - COUNTIFS(Table1[Assigned To],"*" &amp; $B18,Table1[Status],"Done",Table1[Priority],"3") - COUNTIFS(Table1[Assigned To],$B18 &amp; ",*",Table1[Status],"Done",Table1[Priority],"3")</f>
        <v>0</v>
      </c>
      <c r="I18" s="17">
        <f t="shared" si="8"/>
        <v>0</v>
      </c>
      <c r="J18" s="8">
        <f>COUNTIFS(Table1[Assigned To],"*" &amp; $B18,Table1[Priority],"4") + COUNTIFS(Table1[Assigned To],$B18 &amp; ",*",Table1[Priority],"4") - COUNTIFS(Table1[Assigned To],"*" &amp; $B18,Table1[Status],"Archive",Table1[Priority],"4") - COUNTIFS(Table1[Assigned To],$B18 &amp; ",*",Table1[Status],"Archive",Table1[Priority],"4") - COUNTIFS(Table1[Assigned To],"*" &amp; $B18,Table1[Status],"Done",Table1[Priority],"4") - COUNTIFS(Table1[Assigned To],$B18 &amp; ",*",Table1[Status],"Done",Table1[Priority],"4")</f>
        <v>0</v>
      </c>
      <c r="K18" s="17">
        <f t="shared" si="9"/>
        <v>0</v>
      </c>
      <c r="L18" s="8" t="str">
        <v>Ricky</v>
      </c>
      <c r="Q18" s="8">
        <f t="shared" si="5"/>
        <v>0</v>
      </c>
    </row>
    <row r="19" spans="2:17" x14ac:dyDescent="0.25">
      <c r="B19" s="8" t="str">
        <v>Christina</v>
      </c>
      <c r="C19" s="8">
        <f>COUNTIF(Table1[Assigned To],"*" &amp; $B19) + COUNTIF(Table1[Assigned To],$B19 &amp; ",*") - COUNTIFS(Table1[Assigned To],"*" &amp; $B19,Table1[Status],"Archive") - COUNTIFS(Table1[Assigned To],$B19 &amp; ",*",Table1[Status],"Archive") - COUNTIFS(Table1[Assigned To],"*" &amp; $B19,Table1[Status],"Done") - COUNTIFS(Table1[Assigned To],$B19 &amp; ",*",Table1[Status],"Done")</f>
        <v>0</v>
      </c>
      <c r="D19" s="8">
        <f>COUNTIFS(Table1[Assigned To],"*" &amp; $B19,Table1[Priority],"1") + COUNTIFS(Table1[Assigned To],$B19 &amp; ",*",Table1[Priority],"1") - COUNTIFS(Table1[Assigned To],"*" &amp; $B19,Table1[Status],"Archive",Table1[Priority],"1") - COUNTIFS(Table1[Assigned To],$B19 &amp; ",*",Table1[Status],"Archive",Table1[Priority],"1") - COUNTIFS(Table1[Assigned To],"*" &amp; $B19,Table1[Status],"Done",Table1[Priority],"1") - COUNTIFS(Table1[Assigned To],$B19 &amp; ",*",Table1[Status],"Done",Table1[Priority],"1")</f>
        <v>0</v>
      </c>
      <c r="E19" s="17">
        <f t="shared" si="6"/>
        <v>0</v>
      </c>
      <c r="F19" s="8">
        <f>COUNTIFS(Table1[Assigned To],"*" &amp; $B19,Table1[Priority],"2") + COUNTIFS(Table1[Assigned To],$B19 &amp; ",*",Table1[Priority],"2") - COUNTIFS(Table1[Assigned To],"*" &amp; $B19,Table1[Status],"Archive",Table1[Priority],"2") - COUNTIFS(Table1[Assigned To],$B19 &amp; ",*",Table1[Status],"Archive",Table1[Priority],"2") - COUNTIFS(Table1[Assigned To],"*" &amp; $B19,Table1[Status],"Done",Table1[Priority],"2") - COUNTIFS(Table1[Assigned To],$B19 &amp; ",*",Table1[Status],"Done",Table1[Priority],"2")</f>
        <v>0</v>
      </c>
      <c r="G19" s="17">
        <f t="shared" si="7"/>
        <v>0</v>
      </c>
      <c r="H19" s="8">
        <f>COUNTIFS(Table1[Assigned To],"*" &amp; $B19,Table1[Priority],"3") + COUNTIFS(Table1[Assigned To],$B19 &amp; ",*",Table1[Priority],"3") - COUNTIFS(Table1[Assigned To],"*" &amp; $B19,Table1[Status],"Archive",Table1[Priority],"3") - COUNTIFS(Table1[Assigned To],$B19 &amp; ",*",Table1[Status],"Archive",Table1[Priority],"3") - COUNTIFS(Table1[Assigned To],"*" &amp; $B19,Table1[Status],"Done",Table1[Priority],"3") - COUNTIFS(Table1[Assigned To],$B19 &amp; ",*",Table1[Status],"Done",Table1[Priority],"3")</f>
        <v>0</v>
      </c>
      <c r="I19" s="17">
        <f t="shared" si="8"/>
        <v>0</v>
      </c>
      <c r="J19" s="8">
        <f>COUNTIFS(Table1[Assigned To],"*" &amp; $B19,Table1[Priority],"4") + COUNTIFS(Table1[Assigned To],$B19 &amp; ",*",Table1[Priority],"4") - COUNTIFS(Table1[Assigned To],"*" &amp; $B19,Table1[Status],"Archive",Table1[Priority],"4") - COUNTIFS(Table1[Assigned To],$B19 &amp; ",*",Table1[Status],"Archive",Table1[Priority],"4") - COUNTIFS(Table1[Assigned To],"*" &amp; $B19,Table1[Status],"Done",Table1[Priority],"4") - COUNTIFS(Table1[Assigned To],$B19 &amp; ",*",Table1[Status],"Done",Table1[Priority],"4")</f>
        <v>0</v>
      </c>
      <c r="K19" s="17">
        <f t="shared" si="9"/>
        <v>0</v>
      </c>
      <c r="L19" s="8" t="str">
        <v>Mike, Ken</v>
      </c>
      <c r="Q19" s="8">
        <f t="shared" si="5"/>
        <v>0</v>
      </c>
    </row>
    <row r="20" spans="2:17" x14ac:dyDescent="0.25">
      <c r="B20" s="8" t="str">
        <v>Ken</v>
      </c>
      <c r="C20" s="8">
        <f>COUNTIF(Table1[Assigned To],"*" &amp; $B20) + COUNTIF(Table1[Assigned To],$B20 &amp; ",*") - COUNTIFS(Table1[Assigned To],"*" &amp; $B20,Table1[Status],"Archive") - COUNTIFS(Table1[Assigned To],$B20 &amp; ",*",Table1[Status],"Archive") - COUNTIFS(Table1[Assigned To],"*" &amp; $B20,Table1[Status],"Done") - COUNTIFS(Table1[Assigned To],$B20 &amp; ",*",Table1[Status],"Done")</f>
        <v>0</v>
      </c>
      <c r="D20" s="8">
        <f>COUNTIFS(Table1[Assigned To],"*" &amp; $B20,Table1[Priority],"1") + COUNTIFS(Table1[Assigned To],$B20 &amp; ",*",Table1[Priority],"1") - COUNTIFS(Table1[Assigned To],"*" &amp; $B20,Table1[Status],"Archive",Table1[Priority],"1") - COUNTIFS(Table1[Assigned To],$B20 &amp; ",*",Table1[Status],"Archive",Table1[Priority],"1") - COUNTIFS(Table1[Assigned To],"*" &amp; $B20,Table1[Status],"Done",Table1[Priority],"1") - COUNTIFS(Table1[Assigned To],$B20 &amp; ",*",Table1[Status],"Done",Table1[Priority],"1")</f>
        <v>0</v>
      </c>
      <c r="E20" s="17">
        <f t="shared" si="6"/>
        <v>0</v>
      </c>
      <c r="F20" s="8">
        <f>COUNTIFS(Table1[Assigned To],"*" &amp; $B20,Table1[Priority],"2") + COUNTIFS(Table1[Assigned To],$B20 &amp; ",*",Table1[Priority],"2") - COUNTIFS(Table1[Assigned To],"*" &amp; $B20,Table1[Status],"Archive",Table1[Priority],"2") - COUNTIFS(Table1[Assigned To],$B20 &amp; ",*",Table1[Status],"Archive",Table1[Priority],"2") - COUNTIFS(Table1[Assigned To],"*" &amp; $B20,Table1[Status],"Done",Table1[Priority],"2") - COUNTIFS(Table1[Assigned To],$B20 &amp; ",*",Table1[Status],"Done",Table1[Priority],"2")</f>
        <v>0</v>
      </c>
      <c r="G20" s="17">
        <f t="shared" si="7"/>
        <v>0</v>
      </c>
      <c r="H20" s="8">
        <f>COUNTIFS(Table1[Assigned To],"*" &amp; $B20,Table1[Priority],"3") + COUNTIFS(Table1[Assigned To],$B20 &amp; ",*",Table1[Priority],"3") - COUNTIFS(Table1[Assigned To],"*" &amp; $B20,Table1[Status],"Archive",Table1[Priority],"3") - COUNTIFS(Table1[Assigned To],$B20 &amp; ",*",Table1[Status],"Archive",Table1[Priority],"3") - COUNTIFS(Table1[Assigned To],"*" &amp; $B20,Table1[Status],"Done",Table1[Priority],"3") - COUNTIFS(Table1[Assigned To],$B20 &amp; ",*",Table1[Status],"Done",Table1[Priority],"3")</f>
        <v>0</v>
      </c>
      <c r="I20" s="17">
        <f t="shared" si="8"/>
        <v>0</v>
      </c>
      <c r="J20" s="8">
        <f>COUNTIFS(Table1[Assigned To],"*" &amp; $B20,Table1[Priority],"4") + COUNTIFS(Table1[Assigned To],$B20 &amp; ",*",Table1[Priority],"4") - COUNTIFS(Table1[Assigned To],"*" &amp; $B20,Table1[Status],"Archive",Table1[Priority],"4") - COUNTIFS(Table1[Assigned To],$B20 &amp; ",*",Table1[Status],"Archive",Table1[Priority],"4") - COUNTIFS(Table1[Assigned To],"*" &amp; $B20,Table1[Status],"Done",Table1[Priority],"4") - COUNTIFS(Table1[Assigned To],$B20 &amp; ",*",Table1[Status],"Done",Table1[Priority],"4")</f>
        <v>0</v>
      </c>
      <c r="K20" s="17">
        <f t="shared" si="9"/>
        <v>0</v>
      </c>
      <c r="L20" s="8" t="str">
        <v>Jacob</v>
      </c>
      <c r="Q20" s="8">
        <f t="shared" si="5"/>
        <v>0</v>
      </c>
    </row>
    <row r="21" spans="2:17" x14ac:dyDescent="0.25">
      <c r="B21" s="8" t="e">
        <v>#VALUE!</v>
      </c>
      <c r="C21" s="8">
        <f>COUNTIF(Table1[Assigned To],"*" &amp; $B21) + COUNTIF(Table1[Assigned To],$B21 &amp; ",*") - COUNTIFS(Table1[Assigned To],"*" &amp; $B21,Table1[Status],"Archive") - COUNTIFS(Table1[Assigned To],$B21 &amp; ",*",Table1[Status],"Archive") - COUNTIFS(Table1[Assigned To],"*" &amp; $B21,Table1[Status],"Done") - COUNTIFS(Table1[Assigned To],$B21 &amp; ",*",Table1[Status],"Done")</f>
        <v>0</v>
      </c>
      <c r="D21" s="8">
        <f>COUNTIFS(Table1[Assigned To],"*" &amp; $B21,Table1[Priority],"1") + COUNTIFS(Table1[Assigned To],$B21 &amp; ",*",Table1[Priority],"1") - COUNTIFS(Table1[Assigned To],"*" &amp; $B21,Table1[Status],"Archive",Table1[Priority],"1") - COUNTIFS(Table1[Assigned To],$B21 &amp; ",*",Table1[Status],"Archive",Table1[Priority],"1") - COUNTIFS(Table1[Assigned To],"*" &amp; $B21,Table1[Status],"Done",Table1[Priority],"1") - COUNTIFS(Table1[Assigned To],$B21 &amp; ",*",Table1[Status],"Done",Table1[Priority],"1")</f>
        <v>0</v>
      </c>
      <c r="E21" s="17">
        <f t="shared" si="6"/>
        <v>0</v>
      </c>
      <c r="F21" s="8">
        <f>COUNTIFS(Table1[Assigned To],"*" &amp; $B21,Table1[Priority],"2") + COUNTIFS(Table1[Assigned To],$B21 &amp; ",*",Table1[Priority],"2") - COUNTIFS(Table1[Assigned To],"*" &amp; $B21,Table1[Status],"Archive",Table1[Priority],"2") - COUNTIFS(Table1[Assigned To],$B21 &amp; ",*",Table1[Status],"Archive",Table1[Priority],"2") - COUNTIFS(Table1[Assigned To],"*" &amp; $B21,Table1[Status],"Done",Table1[Priority],"2") - COUNTIFS(Table1[Assigned To],$B21 &amp; ",*",Table1[Status],"Done",Table1[Priority],"2")</f>
        <v>0</v>
      </c>
      <c r="G21" s="17">
        <f t="shared" si="7"/>
        <v>0</v>
      </c>
      <c r="H21" s="8">
        <f>COUNTIFS(Table1[Assigned To],"*" &amp; $B21,Table1[Priority],"3") + COUNTIFS(Table1[Assigned To],$B21 &amp; ",*",Table1[Priority],"3") - COUNTIFS(Table1[Assigned To],"*" &amp; $B21,Table1[Status],"Archive",Table1[Priority],"3") - COUNTIFS(Table1[Assigned To],$B21 &amp; ",*",Table1[Status],"Archive",Table1[Priority],"3") - COUNTIFS(Table1[Assigned To],"*" &amp; $B21,Table1[Status],"Done",Table1[Priority],"3") - COUNTIFS(Table1[Assigned To],$B21 &amp; ",*",Table1[Status],"Done",Table1[Priority],"3")</f>
        <v>0</v>
      </c>
      <c r="I21" s="17">
        <f t="shared" si="8"/>
        <v>0</v>
      </c>
      <c r="J21" s="8">
        <f>COUNTIFS(Table1[Assigned To],"*" &amp; $B21,Table1[Priority],"4") + COUNTIFS(Table1[Assigned To],$B21 &amp; ",*",Table1[Priority],"4") - COUNTIFS(Table1[Assigned To],"*" &amp; $B21,Table1[Status],"Archive",Table1[Priority],"4") - COUNTIFS(Table1[Assigned To],$B21 &amp; ",*",Table1[Status],"Archive",Table1[Priority],"4") - COUNTIFS(Table1[Assigned To],"*" &amp; $B21,Table1[Status],"Done",Table1[Priority],"4") - COUNTIFS(Table1[Assigned To],$B21 &amp; ",*",Table1[Status],"Done",Table1[Priority],"4")</f>
        <v>0</v>
      </c>
      <c r="K21" s="17">
        <f t="shared" si="9"/>
        <v>0</v>
      </c>
      <c r="L21" s="8" t="str">
        <v>Mike, Rick</v>
      </c>
      <c r="Q21" s="8">
        <f t="shared" si="5"/>
        <v>0</v>
      </c>
    </row>
    <row r="22" spans="2:17" x14ac:dyDescent="0.25">
      <c r="B22" s="8" t="str">
        <v>Kenny</v>
      </c>
      <c r="C22" s="8">
        <f>COUNTIF(Table1[Assigned To],"*" &amp; $B22) + COUNTIF(Table1[Assigned To],$B22 &amp; ",*") - COUNTIFS(Table1[Assigned To],"*" &amp; $B22,Table1[Status],"Archive") - COUNTIFS(Table1[Assigned To],$B22 &amp; ",*",Table1[Status],"Archive") - COUNTIFS(Table1[Assigned To],"*" &amp; $B22,Table1[Status],"Done") - COUNTIFS(Table1[Assigned To],$B22 &amp; ",*",Table1[Status],"Done")</f>
        <v>0</v>
      </c>
      <c r="D22" s="8">
        <f>COUNTIFS(Table1[Assigned To],"*" &amp; $B22,Table1[Priority],"1") + COUNTIFS(Table1[Assigned To],$B22 &amp; ",*",Table1[Priority],"1") - COUNTIFS(Table1[Assigned To],"*" &amp; $B22,Table1[Status],"Archive",Table1[Priority],"1") - COUNTIFS(Table1[Assigned To],$B22 &amp; ",*",Table1[Status],"Archive",Table1[Priority],"1") - COUNTIFS(Table1[Assigned To],"*" &amp; $B22,Table1[Status],"Done",Table1[Priority],"1") - COUNTIFS(Table1[Assigned To],$B22 &amp; ",*",Table1[Status],"Done",Table1[Priority],"1")</f>
        <v>0</v>
      </c>
      <c r="E22" s="17">
        <f>IF(C22=0,0,D22/C22)</f>
        <v>0</v>
      </c>
      <c r="F22" s="8">
        <f>COUNTIFS(Table1[Assigned To],"*" &amp; $B22,Table1[Priority],"2") + COUNTIFS(Table1[Assigned To],$B22 &amp; ",*",Table1[Priority],"2") - COUNTIFS(Table1[Assigned To],"*" &amp; $B22,Table1[Status],"Archive",Table1[Priority],"2") - COUNTIFS(Table1[Assigned To],$B22 &amp; ",*",Table1[Status],"Archive",Table1[Priority],"2") - COUNTIFS(Table1[Assigned To],"*" &amp; $B22,Table1[Status],"Done",Table1[Priority],"2") - COUNTIFS(Table1[Assigned To],$B22 &amp; ",*",Table1[Status],"Done",Table1[Priority],"2")</f>
        <v>0</v>
      </c>
      <c r="G22" s="17">
        <f>IF(C22=0,0,F22/C22)</f>
        <v>0</v>
      </c>
      <c r="H22" s="8">
        <f>COUNTIFS(Table1[Assigned To],"*" &amp; $B22,Table1[Priority],"3") + COUNTIFS(Table1[Assigned To],$B22 &amp; ",*",Table1[Priority],"3") - COUNTIFS(Table1[Assigned To],"*" &amp; $B22,Table1[Status],"Archive",Table1[Priority],"3") - COUNTIFS(Table1[Assigned To],$B22 &amp; ",*",Table1[Status],"Archive",Table1[Priority],"3") - COUNTIFS(Table1[Assigned To],"*" &amp; $B22,Table1[Status],"Done",Table1[Priority],"3") - COUNTIFS(Table1[Assigned To],$B22 &amp; ",*",Table1[Status],"Done",Table1[Priority],"3")</f>
        <v>0</v>
      </c>
      <c r="I22" s="17">
        <f>IF(C22=0,0,H22/C22)</f>
        <v>0</v>
      </c>
      <c r="J22" s="8">
        <f>COUNTIFS(Table1[Assigned To],"*" &amp; $B22,Table1[Priority],"4") + COUNTIFS(Table1[Assigned To],$B22 &amp; ",*",Table1[Priority],"4") - COUNTIFS(Table1[Assigned To],"*" &amp; $B22,Table1[Status],"Archive",Table1[Priority],"4") - COUNTIFS(Table1[Assigned To],$B22 &amp; ",*",Table1[Status],"Archive",Table1[Priority],"4") - COUNTIFS(Table1[Assigned To],"*" &amp; $B22,Table1[Status],"Done",Table1[Priority],"4") - COUNTIFS(Table1[Assigned To],$B22 &amp; ",*",Table1[Status],"Done",Table1[Priority],"4")</f>
        <v>0</v>
      </c>
      <c r="K22" s="17">
        <f>IF(C22=0,0,J22/C22)</f>
        <v>0</v>
      </c>
      <c r="L22" s="8" t="str">
        <v>Jon, Brandon</v>
      </c>
      <c r="Q22" s="8">
        <f>SUM(D22,F22,H22,J22)</f>
        <v>0</v>
      </c>
    </row>
    <row r="23" spans="2:17" x14ac:dyDescent="0.25">
      <c r="B23" s="8" t="str">
        <v>Eli</v>
      </c>
      <c r="C23" s="8">
        <f>COUNTIF(Table1[Assigned To],"*" &amp; $B23) + COUNTIF(Table1[Assigned To],$B23 &amp; ",*") - COUNTIFS(Table1[Assigned To],"*" &amp; $B23,Table1[Status],"Archive") - COUNTIFS(Table1[Assigned To],$B23 &amp; ",*",Table1[Status],"Archive") - COUNTIFS(Table1[Assigned To],"*" &amp; $B23,Table1[Status],"Done") - COUNTIFS(Table1[Assigned To],$B23 &amp; ",*",Table1[Status],"Done")</f>
        <v>0</v>
      </c>
      <c r="D23" s="8">
        <f>COUNTIFS(Table1[Assigned To],"*" &amp; $B23,Table1[Priority],"1") + COUNTIFS(Table1[Assigned To],$B23 &amp; ",*",Table1[Priority],"1") - COUNTIFS(Table1[Assigned To],"*" &amp; $B23,Table1[Status],"Archive",Table1[Priority],"1") - COUNTIFS(Table1[Assigned To],$B23 &amp; ",*",Table1[Status],"Archive",Table1[Priority],"1") - COUNTIFS(Table1[Assigned To],"*" &amp; $B23,Table1[Status],"Done",Table1[Priority],"1") - COUNTIFS(Table1[Assigned To],$B23 &amp; ",*",Table1[Status],"Done",Table1[Priority],"1")</f>
        <v>0</v>
      </c>
      <c r="E23" s="17">
        <f>IF(C23=0,0,D23/C23)</f>
        <v>0</v>
      </c>
      <c r="F23" s="8">
        <f>COUNTIFS(Table1[Assigned To],"*" &amp; $B23,Table1[Priority],"2") + COUNTIFS(Table1[Assigned To],$B23 &amp; ",*",Table1[Priority],"2") - COUNTIFS(Table1[Assigned To],"*" &amp; $B23,Table1[Status],"Archive",Table1[Priority],"2") - COUNTIFS(Table1[Assigned To],$B23 &amp; ",*",Table1[Status],"Archive",Table1[Priority],"2") - COUNTIFS(Table1[Assigned To],"*" &amp; $B23,Table1[Status],"Done",Table1[Priority],"2") - COUNTIFS(Table1[Assigned To],$B23 &amp; ",*",Table1[Status],"Done",Table1[Priority],"2")</f>
        <v>0</v>
      </c>
      <c r="G23" s="17">
        <f>IF(C23=0,0,F23/C23)</f>
        <v>0</v>
      </c>
      <c r="H23" s="8">
        <f>COUNTIFS(Table1[Assigned To],"*" &amp; $B23,Table1[Priority],"3") + COUNTIFS(Table1[Assigned To],$B23 &amp; ",*",Table1[Priority],"3") - COUNTIFS(Table1[Assigned To],"*" &amp; $B23,Table1[Status],"Archive",Table1[Priority],"3") - COUNTIFS(Table1[Assigned To],$B23 &amp; ",*",Table1[Status],"Archive",Table1[Priority],"3") - COUNTIFS(Table1[Assigned To],"*" &amp; $B23,Table1[Status],"Done",Table1[Priority],"3") - COUNTIFS(Table1[Assigned To],$B23 &amp; ",*",Table1[Status],"Done",Table1[Priority],"3")</f>
        <v>0</v>
      </c>
      <c r="I23" s="17">
        <f>IF(C23=0,0,H23/C23)</f>
        <v>0</v>
      </c>
      <c r="J23" s="8">
        <f>COUNTIFS(Table1[Assigned To],"*" &amp; $B23,Table1[Priority],"4") + COUNTIFS(Table1[Assigned To],$B23 &amp; ",*",Table1[Priority],"4") - COUNTIFS(Table1[Assigned To],"*" &amp; $B23,Table1[Status],"Archive",Table1[Priority],"4") - COUNTIFS(Table1[Assigned To],$B23 &amp; ",*",Table1[Status],"Archive",Table1[Priority],"4") - COUNTIFS(Table1[Assigned To],"*" &amp; $B23,Table1[Status],"Done",Table1[Priority],"4") - COUNTIFS(Table1[Assigned To],$B23 &amp; ",*",Table1[Status],"Done",Table1[Priority],"4")</f>
        <v>0</v>
      </c>
      <c r="K23" s="17">
        <f>IF(C23=0,0,J23/C23)</f>
        <v>0</v>
      </c>
      <c r="L23" s="8" t="str">
        <v>Unassigned</v>
      </c>
      <c r="Q23" s="8">
        <f>SUM(D23,F23,H23,J23)</f>
        <v>0</v>
      </c>
    </row>
    <row r="24" spans="2:17" x14ac:dyDescent="0.25">
      <c r="B24" s="8" t="str">
        <v>MAINT</v>
      </c>
      <c r="E24" s="17"/>
      <c r="G24" s="17"/>
      <c r="I24" s="17"/>
      <c r="L24" s="8" t="str">
        <v>Jon, Sean</v>
      </c>
    </row>
    <row r="25" spans="2:17" x14ac:dyDescent="0.25">
      <c r="B25" s="8" t="str">
        <v>Jason</v>
      </c>
      <c r="E25" s="17"/>
      <c r="G25" s="17"/>
      <c r="I25" s="17"/>
      <c r="L25" s="8" t="str">
        <v>Tom, Mike, Jacob</v>
      </c>
    </row>
    <row r="26" spans="2:17" x14ac:dyDescent="0.25">
      <c r="E26" s="17"/>
      <c r="G26" s="17"/>
      <c r="I26" s="17"/>
      <c r="L26" s="8" t="str">
        <v>David</v>
      </c>
    </row>
    <row r="27" spans="2:17" x14ac:dyDescent="0.25">
      <c r="E27" s="17"/>
      <c r="G27" s="17"/>
      <c r="I27" s="17"/>
      <c r="L27" s="8" t="str">
        <v>Nick, Jon</v>
      </c>
    </row>
    <row r="28" spans="2:17" x14ac:dyDescent="0.25">
      <c r="E28" s="17"/>
      <c r="G28" s="17"/>
      <c r="I28" s="17"/>
      <c r="L28" s="8" t="str">
        <v>Jon, Nick, Mike</v>
      </c>
    </row>
    <row r="29" spans="2:17" x14ac:dyDescent="0.25">
      <c r="E29" s="17"/>
      <c r="G29" s="17"/>
      <c r="I29" s="17"/>
      <c r="L29" s="8" t="str">
        <v>Tom, Rick</v>
      </c>
    </row>
    <row r="30" spans="2:17" x14ac:dyDescent="0.25">
      <c r="E30" s="17"/>
      <c r="G30" s="17"/>
      <c r="I30" s="17"/>
      <c r="L30" s="8" t="str">
        <v>Ricky, Jon, Nick</v>
      </c>
    </row>
    <row r="31" spans="2:17" x14ac:dyDescent="0.25">
      <c r="E31" s="17"/>
      <c r="G31" s="17"/>
      <c r="I31" s="17"/>
      <c r="L31" s="8" t="str">
        <v>Sean</v>
      </c>
    </row>
    <row r="32" spans="2:17" x14ac:dyDescent="0.25">
      <c r="E32" s="17"/>
      <c r="G32" s="17"/>
      <c r="I32" s="17"/>
      <c r="L32" s="8" t="str">
        <v>Rick</v>
      </c>
    </row>
    <row r="33" spans="5:12" x14ac:dyDescent="0.25">
      <c r="E33" s="17"/>
      <c r="G33" s="17"/>
      <c r="I33" s="17"/>
      <c r="L33" s="8" t="str">
        <v>Tom, Jacob</v>
      </c>
    </row>
    <row r="34" spans="5:12" x14ac:dyDescent="0.25">
      <c r="E34" s="17"/>
      <c r="G34" s="17"/>
      <c r="I34" s="17"/>
      <c r="L34" s="8" t="str">
        <v>Nick, David</v>
      </c>
    </row>
    <row r="35" spans="5:12" x14ac:dyDescent="0.25">
      <c r="L35" s="8" t="str">
        <v>Jon, Ricky, Sean</v>
      </c>
    </row>
    <row r="36" spans="5:12" x14ac:dyDescent="0.25">
      <c r="L36" s="8" t="str">
        <v>Jon, Ricky</v>
      </c>
    </row>
    <row r="37" spans="5:12" x14ac:dyDescent="0.25">
      <c r="L37" s="8" t="str">
        <v>Sean, RIcky</v>
      </c>
    </row>
    <row r="38" spans="5:12" x14ac:dyDescent="0.25">
      <c r="L38" s="8" t="str">
        <v>Mike, Nick, Jon</v>
      </c>
    </row>
    <row r="39" spans="5:12" x14ac:dyDescent="0.25">
      <c r="L39" s="8" t="str">
        <v>Mike, Jacob</v>
      </c>
    </row>
    <row r="40" spans="5:12" x14ac:dyDescent="0.25">
      <c r="L40" s="8" t="str">
        <v>Mike, Jacob, Nick</v>
      </c>
    </row>
    <row r="41" spans="5:12" x14ac:dyDescent="0.25">
      <c r="L41" s="8" t="str">
        <v>Jacob, Jon, Tom</v>
      </c>
    </row>
    <row r="42" spans="5:12" x14ac:dyDescent="0.25">
      <c r="L42" s="8" t="str">
        <v>Mike, Jacob, Ken</v>
      </c>
    </row>
    <row r="43" spans="5:12" x14ac:dyDescent="0.25">
      <c r="L43" s="8" t="str">
        <v>Rick, Ricky, Jon</v>
      </c>
    </row>
    <row r="44" spans="5:12" x14ac:dyDescent="0.25">
      <c r="L44" s="8" t="str">
        <v>Mike, Ricky, Jon</v>
      </c>
    </row>
    <row r="45" spans="5:12" x14ac:dyDescent="0.25">
      <c r="L45" s="8" t="str">
        <v>Jon, David, Rick</v>
      </c>
    </row>
    <row r="46" spans="5:12" x14ac:dyDescent="0.25">
      <c r="L46" s="8" t="str">
        <v>Mike, Jon, Ricky</v>
      </c>
    </row>
    <row r="47" spans="5:12" x14ac:dyDescent="0.25">
      <c r="L47" s="8" t="str">
        <v>Jon, David</v>
      </c>
    </row>
    <row r="48" spans="5:12" x14ac:dyDescent="0.25">
      <c r="L48" s="8" t="str">
        <v>Sean, Jon</v>
      </c>
    </row>
    <row r="49" spans="12:12" x14ac:dyDescent="0.25">
      <c r="L49" s="8" t="str">
        <v>Welder</v>
      </c>
    </row>
    <row r="50" spans="12:12" x14ac:dyDescent="0.25">
      <c r="L50" s="8" t="str">
        <v>Christina, Jon</v>
      </c>
    </row>
    <row r="51" spans="12:12" x14ac:dyDescent="0.25">
      <c r="L51" s="8" t="str">
        <v>Jacob, Jon</v>
      </c>
    </row>
    <row r="52" spans="12:12" x14ac:dyDescent="0.25">
      <c r="L52" s="8" t="str">
        <v>Rick, Mike</v>
      </c>
    </row>
    <row r="53" spans="12:12" x14ac:dyDescent="0.25">
      <c r="L53" s="8" t="str">
        <v>Jacob, Weld</v>
      </c>
    </row>
    <row r="54" spans="12:12" x14ac:dyDescent="0.25">
      <c r="L54" s="8" t="str">
        <v>Tom, Ricky</v>
      </c>
    </row>
    <row r="55" spans="12:12" x14ac:dyDescent="0.25">
      <c r="L55" s="8" t="str">
        <v>Rick, Tom</v>
      </c>
    </row>
    <row r="56" spans="12:12" x14ac:dyDescent="0.25">
      <c r="L56" s="8" t="str">
        <v>Nick, Ken</v>
      </c>
    </row>
    <row r="57" spans="12:12" x14ac:dyDescent="0.25">
      <c r="L57" s="8" t="str">
        <v>Ricky, Rick</v>
      </c>
    </row>
    <row r="58" spans="12:12" x14ac:dyDescent="0.25">
      <c r="L58" s="8" t="str">
        <v>Nick, Mike</v>
      </c>
    </row>
    <row r="59" spans="12:12" x14ac:dyDescent="0.25">
      <c r="L59" s="8" t="str">
        <v>Jon, Sean, Mike</v>
      </c>
    </row>
    <row r="60" spans="12:12" x14ac:dyDescent="0.25">
      <c r="L60" s="8" t="str">
        <v>Jon, Rick</v>
      </c>
    </row>
    <row r="61" spans="12:12" x14ac:dyDescent="0.25">
      <c r="L61" s="8" t="str">
        <v>David, Rick</v>
      </c>
    </row>
    <row r="62" spans="12:12" x14ac:dyDescent="0.25">
      <c r="L62" s="8" t="str">
        <v>David, Jon</v>
      </c>
    </row>
    <row r="63" spans="12:12" x14ac:dyDescent="0.25">
      <c r="L63" s="8" t="str">
        <v>Mike, Jacob, Rick</v>
      </c>
    </row>
    <row r="64" spans="12:12" x14ac:dyDescent="0.25">
      <c r="L64" s="8" t="str">
        <v>Ken</v>
      </c>
    </row>
    <row r="65" spans="12:12" x14ac:dyDescent="0.25">
      <c r="L65" s="8" t="str">
        <v>Jon, Ben</v>
      </c>
    </row>
    <row r="66" spans="12:12" x14ac:dyDescent="0.25">
      <c r="L66" s="8" t="str">
        <v>Nick, Tom, Jon, Eli</v>
      </c>
    </row>
    <row r="67" spans="12:12" x14ac:dyDescent="0.25">
      <c r="L67" s="8" t="str">
        <v>Jacob, RIcky</v>
      </c>
    </row>
    <row r="68" spans="12:12" x14ac:dyDescent="0.25">
      <c r="L68" s="8" t="str">
        <v>Jon, Ben, Nick</v>
      </c>
    </row>
    <row r="69" spans="12:12" x14ac:dyDescent="0.25">
      <c r="L69" s="8" t="str">
        <v>Jacob, Ken</v>
      </c>
    </row>
    <row r="70" spans="12:12" x14ac:dyDescent="0.25">
      <c r="L70" s="8" t="str">
        <v>Nick, Eli</v>
      </c>
    </row>
    <row r="71" spans="12:12" x14ac:dyDescent="0.25">
      <c r="L71" s="8" t="str">
        <v>Rick, Jon</v>
      </c>
    </row>
    <row r="72" spans="12:12" x14ac:dyDescent="0.25">
      <c r="L72" s="8" t="str">
        <v>David, Jon, Nick</v>
      </c>
    </row>
    <row r="73" spans="12:12" x14ac:dyDescent="0.25">
      <c r="L73" s="8" t="str">
        <v>Jon, Nick, Jacob</v>
      </c>
    </row>
    <row r="74" spans="12:12" x14ac:dyDescent="0.25">
      <c r="L74" s="8" t="str">
        <v>Jon, Sean, Ricky</v>
      </c>
    </row>
    <row r="75" spans="12:12" x14ac:dyDescent="0.25">
      <c r="L75" s="8" t="str">
        <v>Jon, Eli, Nick</v>
      </c>
    </row>
    <row r="76" spans="12:12" x14ac:dyDescent="0.25">
      <c r="L76" s="8" t="str">
        <v>Tom, Jacob, Welder</v>
      </c>
    </row>
    <row r="77" spans="12:12" x14ac:dyDescent="0.25">
      <c r="L77" s="8" t="str">
        <v>Kenny</v>
      </c>
    </row>
    <row r="78" spans="12:12" x14ac:dyDescent="0.25">
      <c r="L78" s="8" t="str">
        <v>Ricky, PB</v>
      </c>
    </row>
    <row r="79" spans="12:12" x14ac:dyDescent="0.25">
      <c r="L79" s="8" t="str">
        <v>Christina, Ken</v>
      </c>
    </row>
    <row r="80" spans="12:12" x14ac:dyDescent="0.25">
      <c r="L80" s="8" t="str">
        <v>Eli, Jon</v>
      </c>
    </row>
    <row r="81" spans="12:12" x14ac:dyDescent="0.25">
      <c r="L81" s="8" t="str">
        <v>Rick, Tom, Jacob</v>
      </c>
    </row>
    <row r="82" spans="12:12" x14ac:dyDescent="0.25">
      <c r="L82" s="8" t="str">
        <v>Jon, Eli, Sean</v>
      </c>
    </row>
    <row r="83" spans="12:12" x14ac:dyDescent="0.25">
      <c r="L83" s="8" t="str">
        <v>Tom, Jon, Eli, Sean</v>
      </c>
    </row>
    <row r="84" spans="12:12" x14ac:dyDescent="0.25">
      <c r="L84" s="8" t="str">
        <v>Tom, Nick, Jon</v>
      </c>
    </row>
    <row r="85" spans="12:12" x14ac:dyDescent="0.25">
      <c r="L85" s="8" t="str">
        <v>MAINT</v>
      </c>
    </row>
    <row r="86" spans="12:12" x14ac:dyDescent="0.25">
      <c r="L86" s="8" t="str">
        <v>Jon, Christina</v>
      </c>
    </row>
    <row r="87" spans="12:12" x14ac:dyDescent="0.25">
      <c r="L87" s="8" t="str">
        <v>Jon, Nick, Eli</v>
      </c>
    </row>
    <row r="88" spans="12:12" x14ac:dyDescent="0.25">
      <c r="L88" s="8" t="str">
        <v>Tom, PB</v>
      </c>
    </row>
    <row r="89" spans="12:12" x14ac:dyDescent="0.25">
      <c r="L89" s="8" t="str">
        <v>Jon, Jacob, David</v>
      </c>
    </row>
    <row r="90" spans="12:12" x14ac:dyDescent="0.25">
      <c r="L90" s="8" t="str">
        <v>Jason, Jon, Eli</v>
      </c>
    </row>
    <row r="91" spans="12:12" x14ac:dyDescent="0.25">
      <c r="L91" s="8" t="str">
        <v>Jacob, Welder</v>
      </c>
    </row>
  </sheetData>
  <mergeCells count="14">
    <mergeCell ref="S1:T1"/>
    <mergeCell ref="B1:C1"/>
    <mergeCell ref="D1:E1"/>
    <mergeCell ref="F1:G1"/>
    <mergeCell ref="H1:I1"/>
    <mergeCell ref="J1:K1"/>
    <mergeCell ref="D2:E2"/>
    <mergeCell ref="F2:G2"/>
    <mergeCell ref="H2:I2"/>
    <mergeCell ref="J2:K2"/>
    <mergeCell ref="D3:E3"/>
    <mergeCell ref="F3:G3"/>
    <mergeCell ref="H3:I3"/>
    <mergeCell ref="J3:K3"/>
  </mergeCells>
  <conditionalFormatting sqref="C4:C34">
    <cfRule type="colorScale" priority="10">
      <colorScale>
        <cfvo type="min"/>
        <cfvo type="max"/>
        <color rgb="FFFCFCFF"/>
        <color rgb="FFF8696B"/>
      </colorScale>
    </cfRule>
  </conditionalFormatting>
  <conditionalFormatting sqref="E4:E23">
    <cfRule type="cellIs" dxfId="15" priority="4" operator="greaterThan">
      <formula>$D$2</formula>
    </cfRule>
  </conditionalFormatting>
  <conditionalFormatting sqref="G4:G23">
    <cfRule type="cellIs" dxfId="14" priority="3" operator="greaterThan">
      <formula>$F$2</formula>
    </cfRule>
  </conditionalFormatting>
  <conditionalFormatting sqref="I4:I23">
    <cfRule type="cellIs" dxfId="13" priority="2" operator="greaterThan">
      <formula>$H$2</formula>
    </cfRule>
  </conditionalFormatting>
  <conditionalFormatting sqref="Q4:Q23">
    <cfRule type="cellIs" dxfId="12" priority="1" operator="equal">
      <formula>$C4</formula>
    </cfRule>
  </conditionalFormatting>
  <conditionalFormatting sqref="S3">
    <cfRule type="cellIs" dxfId="11" priority="12" operator="equal">
      <formula>"Done"</formula>
    </cfRule>
  </conditionalFormatting>
  <conditionalFormatting sqref="S4:S5">
    <cfRule type="containsText" dxfId="10" priority="11" operator="containsText" text="Dependency">
      <formula>NOT(ISERROR(SEARCH("Dependency",S4)))</formula>
    </cfRule>
  </conditionalFormatting>
  <conditionalFormatting sqref="S6">
    <cfRule type="cellIs" dxfId="9" priority="5" operator="equal">
      <formula>"In Progress"</formula>
    </cfRule>
    <cfRule type="cellIs" dxfId="8" priority="6" operator="equal">
      <formula>"Archive"</formula>
    </cfRule>
    <cfRule type="cellIs" dxfId="7" priority="7" operator="equal">
      <formula>"Open"</formula>
    </cfRule>
    <cfRule type="cellIs" dxfId="6" priority="8" operator="equal">
      <formula>"Done"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BE87D21A-093F-4F61-A8AF-91A22E9CDD24}">
            <xm:f>NOT(ISERROR(SEARCH("Dependency",S6)))</xm:f>
            <xm:f>"Dependency"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S6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DBD2-0318-428E-AE36-C5166A6FDE59}">
  <sheetPr codeName="Sheet6"/>
  <dimension ref="A1:H200"/>
  <sheetViews>
    <sheetView workbookViewId="0">
      <selection activeCell="C165" sqref="C165"/>
    </sheetView>
  </sheetViews>
  <sheetFormatPr defaultRowHeight="15" x14ac:dyDescent="0.25"/>
  <cols>
    <col min="1" max="1" width="10.28515625" customWidth="1"/>
    <col min="2" max="2" width="20.42578125" style="46" customWidth="1"/>
    <col min="3" max="3" width="113.140625" customWidth="1"/>
    <col min="4" max="4" width="11.7109375" style="46" bestFit="1" customWidth="1"/>
    <col min="5" max="5" width="17" customWidth="1"/>
    <col min="6" max="7" width="20.85546875" customWidth="1"/>
    <col min="8" max="8" width="74" customWidth="1"/>
  </cols>
  <sheetData>
    <row r="1" spans="1:8" x14ac:dyDescent="0.25">
      <c r="A1" s="8" t="s">
        <v>7973</v>
      </c>
      <c r="B1" s="21" t="s">
        <v>7974</v>
      </c>
      <c r="C1" s="8" t="s">
        <v>4</v>
      </c>
      <c r="D1" s="46" t="s">
        <v>7975</v>
      </c>
      <c r="E1" s="8" t="s">
        <v>1692</v>
      </c>
      <c r="F1" s="8" t="s">
        <v>7976</v>
      </c>
      <c r="G1" s="8" t="s">
        <v>7977</v>
      </c>
      <c r="H1" s="8" t="s">
        <v>7978</v>
      </c>
    </row>
    <row r="2" spans="1:8" x14ac:dyDescent="0.25">
      <c r="A2" s="48" t="str">
        <f>HYPERLINK("https://www.ebay.com/itm/" &amp; B2, "eBay Listing")</f>
        <v>eBay Listing</v>
      </c>
      <c r="B2" s="47">
        <v>132902137746</v>
      </c>
      <c r="C2" s="45" t="s">
        <v>7979</v>
      </c>
      <c r="D2" s="21">
        <v>3</v>
      </c>
      <c r="E2" s="49" t="s">
        <v>2952</v>
      </c>
    </row>
    <row r="3" spans="1:8" x14ac:dyDescent="0.25">
      <c r="A3" s="48" t="str">
        <f>HYPERLINK("https://www.ebay.com/itm/" &amp; B3, "eBay Listing")</f>
        <v>eBay Listing</v>
      </c>
      <c r="B3" s="47">
        <v>133002385666</v>
      </c>
      <c r="C3" s="45" t="s">
        <v>7980</v>
      </c>
      <c r="D3" s="21">
        <v>2</v>
      </c>
      <c r="E3" s="49" t="s">
        <v>2952</v>
      </c>
    </row>
    <row r="4" spans="1:8" x14ac:dyDescent="0.25">
      <c r="A4" s="48" t="str">
        <f t="shared" ref="A4:A67" si="0">HYPERLINK("https://www.ebay.com/itm/" &amp; B4, "eBay Listing")</f>
        <v>eBay Listing</v>
      </c>
      <c r="B4" s="47">
        <v>133002385677</v>
      </c>
      <c r="C4" s="45" t="s">
        <v>7981</v>
      </c>
      <c r="D4" s="21">
        <v>1</v>
      </c>
      <c r="E4" s="49" t="s">
        <v>2952</v>
      </c>
    </row>
    <row r="5" spans="1:8" x14ac:dyDescent="0.25">
      <c r="A5" s="48" t="str">
        <f t="shared" si="0"/>
        <v>eBay Listing</v>
      </c>
      <c r="B5" s="47">
        <v>133028684194</v>
      </c>
      <c r="C5" s="45" t="s">
        <v>7982</v>
      </c>
      <c r="D5" s="21">
        <v>1</v>
      </c>
      <c r="E5" s="49" t="s">
        <v>2952</v>
      </c>
    </row>
    <row r="6" spans="1:8" x14ac:dyDescent="0.25">
      <c r="A6" s="48" t="str">
        <f t="shared" si="0"/>
        <v>eBay Listing</v>
      </c>
      <c r="B6" s="47">
        <v>133028684197</v>
      </c>
      <c r="C6" s="45" t="s">
        <v>7983</v>
      </c>
      <c r="D6" s="21">
        <v>1</v>
      </c>
      <c r="E6" s="49" t="s">
        <v>2952</v>
      </c>
    </row>
    <row r="7" spans="1:8" x14ac:dyDescent="0.25">
      <c r="A7" s="48" t="str">
        <f t="shared" si="0"/>
        <v>eBay Listing</v>
      </c>
      <c r="B7" s="47">
        <v>133028684204</v>
      </c>
      <c r="C7" s="45" t="s">
        <v>7984</v>
      </c>
      <c r="D7" s="21">
        <v>1</v>
      </c>
      <c r="E7" s="49" t="s">
        <v>2952</v>
      </c>
    </row>
    <row r="8" spans="1:8" x14ac:dyDescent="0.25">
      <c r="A8" s="48" t="str">
        <f t="shared" si="0"/>
        <v>eBay Listing</v>
      </c>
      <c r="B8" s="47">
        <v>133104792032</v>
      </c>
      <c r="C8" s="45" t="s">
        <v>7985</v>
      </c>
      <c r="D8" s="21">
        <v>1</v>
      </c>
      <c r="E8" s="49" t="s">
        <v>2952</v>
      </c>
    </row>
    <row r="9" spans="1:8" x14ac:dyDescent="0.25">
      <c r="A9" s="48" t="str">
        <f t="shared" si="0"/>
        <v>eBay Listing</v>
      </c>
      <c r="B9" s="47">
        <v>133393211198</v>
      </c>
      <c r="C9" s="45" t="s">
        <v>7986</v>
      </c>
      <c r="D9" s="21">
        <v>100</v>
      </c>
      <c r="E9" s="49" t="s">
        <v>2952</v>
      </c>
    </row>
    <row r="10" spans="1:8" x14ac:dyDescent="0.25">
      <c r="A10" s="48" t="str">
        <f t="shared" si="0"/>
        <v>eBay Listing</v>
      </c>
      <c r="B10" s="47">
        <v>133572735535</v>
      </c>
      <c r="C10" s="45" t="s">
        <v>7987</v>
      </c>
      <c r="D10" s="21">
        <v>2</v>
      </c>
      <c r="E10" s="49" t="s">
        <v>2952</v>
      </c>
    </row>
    <row r="11" spans="1:8" x14ac:dyDescent="0.25">
      <c r="A11" s="48" t="str">
        <f t="shared" si="0"/>
        <v>eBay Listing</v>
      </c>
      <c r="B11" s="47">
        <v>133615871643</v>
      </c>
      <c r="C11" s="45" t="s">
        <v>7988</v>
      </c>
      <c r="D11" s="21">
        <v>1</v>
      </c>
      <c r="E11" s="49" t="s">
        <v>2952</v>
      </c>
    </row>
    <row r="12" spans="1:8" x14ac:dyDescent="0.25">
      <c r="A12" s="48" t="str">
        <f t="shared" si="0"/>
        <v>eBay Listing</v>
      </c>
      <c r="B12" s="47">
        <v>133619611102</v>
      </c>
      <c r="C12" s="45" t="s">
        <v>7989</v>
      </c>
      <c r="D12" s="21">
        <v>1</v>
      </c>
      <c r="E12" s="49" t="s">
        <v>2952</v>
      </c>
    </row>
    <row r="13" spans="1:8" x14ac:dyDescent="0.25">
      <c r="A13" s="48" t="str">
        <f t="shared" si="0"/>
        <v>eBay Listing</v>
      </c>
      <c r="B13" s="47">
        <v>133619921177</v>
      </c>
      <c r="C13" s="45" t="s">
        <v>7990</v>
      </c>
      <c r="D13" s="21">
        <v>1</v>
      </c>
      <c r="E13" s="49" t="s">
        <v>2952</v>
      </c>
    </row>
    <row r="14" spans="1:8" x14ac:dyDescent="0.25">
      <c r="A14" s="48" t="str">
        <f t="shared" si="0"/>
        <v>eBay Listing</v>
      </c>
      <c r="B14" s="47">
        <v>133623058818</v>
      </c>
      <c r="C14" s="45" t="s">
        <v>7991</v>
      </c>
      <c r="D14" s="21">
        <v>1</v>
      </c>
      <c r="E14" s="49" t="s">
        <v>2952</v>
      </c>
    </row>
    <row r="15" spans="1:8" x14ac:dyDescent="0.25">
      <c r="A15" s="48" t="str">
        <f t="shared" si="0"/>
        <v>eBay Listing</v>
      </c>
      <c r="B15" s="47">
        <v>133648589527</v>
      </c>
      <c r="C15" s="45" t="s">
        <v>7992</v>
      </c>
      <c r="D15" s="21">
        <v>2</v>
      </c>
      <c r="E15" s="49" t="s">
        <v>2952</v>
      </c>
    </row>
    <row r="16" spans="1:8" x14ac:dyDescent="0.25">
      <c r="A16" s="48" t="str">
        <f t="shared" si="0"/>
        <v>eBay Listing</v>
      </c>
      <c r="B16" s="47">
        <v>133724565618</v>
      </c>
      <c r="C16" s="45" t="s">
        <v>7993</v>
      </c>
      <c r="D16" s="21">
        <v>2</v>
      </c>
      <c r="E16" s="49" t="s">
        <v>2952</v>
      </c>
    </row>
    <row r="17" spans="1:5" x14ac:dyDescent="0.25">
      <c r="A17" s="48" t="str">
        <f t="shared" si="0"/>
        <v>eBay Listing</v>
      </c>
      <c r="B17" s="47">
        <v>133737885678</v>
      </c>
      <c r="C17" s="45" t="s">
        <v>7994</v>
      </c>
      <c r="D17" s="21">
        <v>1</v>
      </c>
      <c r="E17" s="49" t="s">
        <v>2952</v>
      </c>
    </row>
    <row r="18" spans="1:5" x14ac:dyDescent="0.25">
      <c r="A18" s="48" t="str">
        <f t="shared" si="0"/>
        <v>eBay Listing</v>
      </c>
      <c r="B18" s="47">
        <v>133944663774</v>
      </c>
      <c r="C18" s="45" t="s">
        <v>7995</v>
      </c>
      <c r="D18" s="21">
        <v>1</v>
      </c>
      <c r="E18" s="49" t="s">
        <v>2952</v>
      </c>
    </row>
    <row r="19" spans="1:5" x14ac:dyDescent="0.25">
      <c r="A19" s="48" t="str">
        <f t="shared" si="0"/>
        <v>eBay Listing</v>
      </c>
      <c r="B19" s="47">
        <v>134108449826</v>
      </c>
      <c r="C19" s="45" t="s">
        <v>7996</v>
      </c>
      <c r="D19" s="21">
        <v>6</v>
      </c>
      <c r="E19" s="49" t="s">
        <v>2952</v>
      </c>
    </row>
    <row r="20" spans="1:5" x14ac:dyDescent="0.25">
      <c r="A20" s="48" t="str">
        <f t="shared" si="0"/>
        <v>eBay Listing</v>
      </c>
      <c r="B20" s="47">
        <v>134161138099</v>
      </c>
      <c r="C20" s="45" t="s">
        <v>7997</v>
      </c>
      <c r="D20" s="21">
        <v>1</v>
      </c>
      <c r="E20" s="49" t="s">
        <v>2952</v>
      </c>
    </row>
    <row r="21" spans="1:5" x14ac:dyDescent="0.25">
      <c r="A21" s="48" t="str">
        <f t="shared" si="0"/>
        <v>eBay Listing</v>
      </c>
      <c r="B21" s="47">
        <v>134174105514</v>
      </c>
      <c r="C21" s="45" t="s">
        <v>7998</v>
      </c>
      <c r="D21" s="21">
        <v>1</v>
      </c>
      <c r="E21" s="49" t="s">
        <v>2952</v>
      </c>
    </row>
    <row r="22" spans="1:5" x14ac:dyDescent="0.25">
      <c r="A22" s="48" t="str">
        <f t="shared" si="0"/>
        <v>eBay Listing</v>
      </c>
      <c r="B22" s="47">
        <v>134296926745</v>
      </c>
      <c r="C22" s="45" t="s">
        <v>7999</v>
      </c>
      <c r="D22" s="21">
        <v>93</v>
      </c>
      <c r="E22" s="49" t="s">
        <v>2952</v>
      </c>
    </row>
    <row r="23" spans="1:5" x14ac:dyDescent="0.25">
      <c r="A23" s="48" t="str">
        <f t="shared" si="0"/>
        <v>eBay Listing</v>
      </c>
      <c r="B23" s="47">
        <v>134406347367</v>
      </c>
      <c r="C23" s="45" t="s">
        <v>8000</v>
      </c>
      <c r="D23" s="21">
        <v>1</v>
      </c>
      <c r="E23" s="49" t="s">
        <v>2952</v>
      </c>
    </row>
    <row r="24" spans="1:5" x14ac:dyDescent="0.25">
      <c r="A24" s="48" t="str">
        <f t="shared" si="0"/>
        <v>eBay Listing</v>
      </c>
      <c r="B24" s="47">
        <v>134407831835</v>
      </c>
      <c r="C24" s="45" t="s">
        <v>8001</v>
      </c>
      <c r="D24" s="21">
        <v>1</v>
      </c>
      <c r="E24" s="49" t="s">
        <v>2952</v>
      </c>
    </row>
    <row r="25" spans="1:5" x14ac:dyDescent="0.25">
      <c r="A25" s="48" t="str">
        <f t="shared" si="0"/>
        <v>eBay Listing</v>
      </c>
      <c r="B25" s="47">
        <v>134407850493</v>
      </c>
      <c r="C25" s="45" t="s">
        <v>8002</v>
      </c>
      <c r="D25" s="21">
        <v>1</v>
      </c>
      <c r="E25" s="49" t="s">
        <v>2952</v>
      </c>
    </row>
    <row r="26" spans="1:5" x14ac:dyDescent="0.25">
      <c r="A26" s="48" t="str">
        <f t="shared" si="0"/>
        <v>eBay Listing</v>
      </c>
      <c r="B26" s="47">
        <v>134407887480</v>
      </c>
      <c r="C26" s="45" t="s">
        <v>8003</v>
      </c>
      <c r="D26" s="21">
        <v>1</v>
      </c>
      <c r="E26" s="49" t="s">
        <v>2952</v>
      </c>
    </row>
    <row r="27" spans="1:5" x14ac:dyDescent="0.25">
      <c r="A27" s="48" t="str">
        <f t="shared" si="0"/>
        <v>eBay Listing</v>
      </c>
      <c r="B27" s="47">
        <v>134407893249</v>
      </c>
      <c r="C27" s="45" t="s">
        <v>8004</v>
      </c>
      <c r="D27" s="21">
        <v>1</v>
      </c>
      <c r="E27" s="49" t="s">
        <v>2952</v>
      </c>
    </row>
    <row r="28" spans="1:5" x14ac:dyDescent="0.25">
      <c r="A28" s="48" t="str">
        <f t="shared" si="0"/>
        <v>eBay Listing</v>
      </c>
      <c r="B28" s="47">
        <v>134407936966</v>
      </c>
      <c r="C28" s="45" t="s">
        <v>8005</v>
      </c>
      <c r="D28" s="21">
        <v>1</v>
      </c>
      <c r="E28" s="49" t="s">
        <v>2952</v>
      </c>
    </row>
    <row r="29" spans="1:5" x14ac:dyDescent="0.25">
      <c r="A29" s="48" t="str">
        <f t="shared" si="0"/>
        <v>eBay Listing</v>
      </c>
      <c r="B29" s="47">
        <v>134407943549</v>
      </c>
      <c r="C29" s="45" t="s">
        <v>8006</v>
      </c>
      <c r="D29" s="21">
        <v>1</v>
      </c>
      <c r="E29" s="49" t="s">
        <v>2952</v>
      </c>
    </row>
    <row r="30" spans="1:5" x14ac:dyDescent="0.25">
      <c r="A30" s="48" t="str">
        <f t="shared" si="0"/>
        <v>eBay Listing</v>
      </c>
      <c r="B30" s="47">
        <v>134407945655</v>
      </c>
      <c r="C30" s="45" t="s">
        <v>8006</v>
      </c>
      <c r="D30" s="21">
        <v>1</v>
      </c>
      <c r="E30" s="49" t="s">
        <v>2952</v>
      </c>
    </row>
    <row r="31" spans="1:5" x14ac:dyDescent="0.25">
      <c r="A31" s="48" t="str">
        <f t="shared" si="0"/>
        <v>eBay Listing</v>
      </c>
      <c r="B31" s="47">
        <v>134408109326</v>
      </c>
      <c r="C31" s="45" t="s">
        <v>8007</v>
      </c>
      <c r="D31" s="21">
        <v>1</v>
      </c>
      <c r="E31" s="49" t="s">
        <v>2952</v>
      </c>
    </row>
    <row r="32" spans="1:5" x14ac:dyDescent="0.25">
      <c r="A32" s="48" t="str">
        <f t="shared" si="0"/>
        <v>eBay Listing</v>
      </c>
      <c r="B32" s="47">
        <v>134408151939</v>
      </c>
      <c r="C32" s="45" t="s">
        <v>8008</v>
      </c>
      <c r="D32" s="21">
        <v>1</v>
      </c>
      <c r="E32" s="49" t="s">
        <v>2952</v>
      </c>
    </row>
    <row r="33" spans="1:5" x14ac:dyDescent="0.25">
      <c r="A33" s="48" t="str">
        <f t="shared" si="0"/>
        <v>eBay Listing</v>
      </c>
      <c r="B33" s="47">
        <v>134422185018</v>
      </c>
      <c r="C33" s="45" t="s">
        <v>8009</v>
      </c>
      <c r="D33" s="21">
        <v>1</v>
      </c>
      <c r="E33" s="49" t="s">
        <v>2952</v>
      </c>
    </row>
    <row r="34" spans="1:5" x14ac:dyDescent="0.25">
      <c r="A34" s="48" t="str">
        <f t="shared" si="0"/>
        <v>eBay Listing</v>
      </c>
      <c r="B34" s="47">
        <v>134423598092</v>
      </c>
      <c r="C34" s="45" t="s">
        <v>8010</v>
      </c>
      <c r="D34" s="21">
        <v>1</v>
      </c>
      <c r="E34" s="49" t="s">
        <v>2952</v>
      </c>
    </row>
    <row r="35" spans="1:5" x14ac:dyDescent="0.25">
      <c r="A35" s="48" t="str">
        <f t="shared" si="0"/>
        <v>eBay Listing</v>
      </c>
      <c r="B35" s="47">
        <v>134426193971</v>
      </c>
      <c r="C35" s="45" t="s">
        <v>8011</v>
      </c>
      <c r="D35" s="21">
        <v>5</v>
      </c>
      <c r="E35" s="49" t="s">
        <v>2952</v>
      </c>
    </row>
    <row r="36" spans="1:5" x14ac:dyDescent="0.25">
      <c r="A36" s="48" t="str">
        <f t="shared" si="0"/>
        <v>eBay Listing</v>
      </c>
      <c r="B36" s="47">
        <v>134438154126</v>
      </c>
      <c r="C36" s="45" t="s">
        <v>8012</v>
      </c>
      <c r="D36" s="21">
        <v>1</v>
      </c>
      <c r="E36" s="49" t="s">
        <v>2952</v>
      </c>
    </row>
    <row r="37" spans="1:5" x14ac:dyDescent="0.25">
      <c r="A37" s="48" t="str">
        <f t="shared" si="0"/>
        <v>eBay Listing</v>
      </c>
      <c r="B37" s="47">
        <v>134460443865</v>
      </c>
      <c r="C37" s="45" t="s">
        <v>8013</v>
      </c>
      <c r="D37" s="21">
        <v>1</v>
      </c>
      <c r="E37" s="49" t="s">
        <v>2952</v>
      </c>
    </row>
    <row r="38" spans="1:5" x14ac:dyDescent="0.25">
      <c r="A38" s="48" t="str">
        <f t="shared" si="0"/>
        <v>eBay Listing</v>
      </c>
      <c r="B38" s="47">
        <v>134461231554</v>
      </c>
      <c r="C38" s="45" t="s">
        <v>8014</v>
      </c>
      <c r="D38" s="21">
        <v>1000</v>
      </c>
      <c r="E38" s="49" t="s">
        <v>2952</v>
      </c>
    </row>
    <row r="39" spans="1:5" x14ac:dyDescent="0.25">
      <c r="A39" s="48" t="str">
        <f t="shared" si="0"/>
        <v>eBay Listing</v>
      </c>
      <c r="B39" s="47">
        <v>134506494436</v>
      </c>
      <c r="C39" s="45" t="s">
        <v>8015</v>
      </c>
      <c r="D39" s="21">
        <v>98</v>
      </c>
      <c r="E39" s="49" t="s">
        <v>2952</v>
      </c>
    </row>
    <row r="40" spans="1:5" x14ac:dyDescent="0.25">
      <c r="A40" s="48" t="str">
        <f t="shared" si="0"/>
        <v>eBay Listing</v>
      </c>
      <c r="B40" s="47">
        <v>134508298757</v>
      </c>
      <c r="C40" s="45" t="s">
        <v>8016</v>
      </c>
      <c r="D40" s="21">
        <v>1</v>
      </c>
      <c r="E40" s="49" t="s">
        <v>2952</v>
      </c>
    </row>
    <row r="41" spans="1:5" x14ac:dyDescent="0.25">
      <c r="A41" s="48" t="str">
        <f t="shared" si="0"/>
        <v>eBay Listing</v>
      </c>
      <c r="B41" s="47">
        <v>134514031019</v>
      </c>
      <c r="C41" s="45" t="s">
        <v>8017</v>
      </c>
      <c r="D41" s="21">
        <v>2</v>
      </c>
      <c r="E41" s="49" t="s">
        <v>2952</v>
      </c>
    </row>
    <row r="42" spans="1:5" x14ac:dyDescent="0.25">
      <c r="A42" s="48" t="str">
        <f t="shared" si="0"/>
        <v>eBay Listing</v>
      </c>
      <c r="B42" s="47">
        <v>134526210585</v>
      </c>
      <c r="C42" s="45" t="s">
        <v>8018</v>
      </c>
      <c r="D42" s="21">
        <v>1</v>
      </c>
      <c r="E42" s="49" t="s">
        <v>2952</v>
      </c>
    </row>
    <row r="43" spans="1:5" x14ac:dyDescent="0.25">
      <c r="A43" s="48" t="str">
        <f t="shared" si="0"/>
        <v>eBay Listing</v>
      </c>
      <c r="B43" s="47">
        <v>134526220266</v>
      </c>
      <c r="C43" s="45" t="s">
        <v>8019</v>
      </c>
      <c r="D43" s="21">
        <v>1</v>
      </c>
      <c r="E43" s="49" t="s">
        <v>2952</v>
      </c>
    </row>
    <row r="44" spans="1:5" x14ac:dyDescent="0.25">
      <c r="A44" s="48" t="str">
        <f t="shared" si="0"/>
        <v>eBay Listing</v>
      </c>
      <c r="B44" s="47">
        <v>134526326482</v>
      </c>
      <c r="C44" s="45" t="s">
        <v>8020</v>
      </c>
      <c r="D44" s="21">
        <v>1</v>
      </c>
      <c r="E44" s="49" t="s">
        <v>2952</v>
      </c>
    </row>
    <row r="45" spans="1:5" x14ac:dyDescent="0.25">
      <c r="A45" s="48" t="str">
        <f t="shared" si="0"/>
        <v>eBay Listing</v>
      </c>
      <c r="B45" s="47">
        <v>134526336478</v>
      </c>
      <c r="C45" s="45" t="s">
        <v>8021</v>
      </c>
      <c r="D45" s="21">
        <v>1</v>
      </c>
      <c r="E45" s="49" t="s">
        <v>2952</v>
      </c>
    </row>
    <row r="46" spans="1:5" x14ac:dyDescent="0.25">
      <c r="A46" s="48" t="str">
        <f t="shared" si="0"/>
        <v>eBay Listing</v>
      </c>
      <c r="B46" s="47">
        <v>134526434205</v>
      </c>
      <c r="C46" s="45" t="s">
        <v>8020</v>
      </c>
      <c r="D46" s="21">
        <v>1</v>
      </c>
      <c r="E46" s="49" t="s">
        <v>2952</v>
      </c>
    </row>
    <row r="47" spans="1:5" x14ac:dyDescent="0.25">
      <c r="A47" s="48" t="str">
        <f t="shared" si="0"/>
        <v>eBay Listing</v>
      </c>
      <c r="B47" s="47">
        <v>134526489117</v>
      </c>
      <c r="C47" s="45" t="s">
        <v>8022</v>
      </c>
      <c r="D47" s="21">
        <v>3</v>
      </c>
      <c r="E47" s="49" t="s">
        <v>2952</v>
      </c>
    </row>
    <row r="48" spans="1:5" x14ac:dyDescent="0.25">
      <c r="A48" s="48" t="str">
        <f t="shared" si="0"/>
        <v>eBay Listing</v>
      </c>
      <c r="B48" s="47">
        <v>134540437572</v>
      </c>
      <c r="C48" s="45" t="s">
        <v>8023</v>
      </c>
      <c r="D48" s="21">
        <v>1</v>
      </c>
      <c r="E48" s="49" t="s">
        <v>2952</v>
      </c>
    </row>
    <row r="49" spans="1:5" x14ac:dyDescent="0.25">
      <c r="A49" s="48" t="str">
        <f t="shared" si="0"/>
        <v>eBay Listing</v>
      </c>
      <c r="B49" s="47">
        <v>134560481429</v>
      </c>
      <c r="C49" s="45" t="s">
        <v>8024</v>
      </c>
      <c r="D49" s="21">
        <v>1</v>
      </c>
      <c r="E49" s="49" t="s">
        <v>2952</v>
      </c>
    </row>
    <row r="50" spans="1:5" x14ac:dyDescent="0.25">
      <c r="A50" s="48" t="str">
        <f t="shared" si="0"/>
        <v>eBay Listing</v>
      </c>
      <c r="B50" s="47">
        <v>134560571044</v>
      </c>
      <c r="C50" s="45" t="s">
        <v>8025</v>
      </c>
      <c r="D50" s="21">
        <v>1</v>
      </c>
      <c r="E50" s="49" t="s">
        <v>2952</v>
      </c>
    </row>
    <row r="51" spans="1:5" x14ac:dyDescent="0.25">
      <c r="A51" s="48" t="str">
        <f t="shared" si="0"/>
        <v>eBay Listing</v>
      </c>
      <c r="B51" s="47">
        <v>134560584756</v>
      </c>
      <c r="C51" s="45" t="s">
        <v>8026</v>
      </c>
      <c r="D51" s="21">
        <v>11</v>
      </c>
      <c r="E51" s="49" t="s">
        <v>2952</v>
      </c>
    </row>
    <row r="52" spans="1:5" x14ac:dyDescent="0.25">
      <c r="A52" s="48" t="str">
        <f t="shared" si="0"/>
        <v>eBay Listing</v>
      </c>
      <c r="B52" s="47">
        <v>134560592250</v>
      </c>
      <c r="C52" s="45" t="s">
        <v>8027</v>
      </c>
      <c r="D52" s="21">
        <v>20</v>
      </c>
      <c r="E52" s="49" t="s">
        <v>2952</v>
      </c>
    </row>
    <row r="53" spans="1:5" x14ac:dyDescent="0.25">
      <c r="A53" s="48" t="str">
        <f t="shared" si="0"/>
        <v>eBay Listing</v>
      </c>
      <c r="B53" s="47">
        <v>134574792777</v>
      </c>
      <c r="C53" s="45" t="s">
        <v>8028</v>
      </c>
      <c r="D53" s="21">
        <v>1</v>
      </c>
      <c r="E53" s="49" t="s">
        <v>2952</v>
      </c>
    </row>
    <row r="54" spans="1:5" x14ac:dyDescent="0.25">
      <c r="A54" s="48" t="str">
        <f t="shared" si="0"/>
        <v>eBay Listing</v>
      </c>
      <c r="B54" s="47">
        <v>134584473604</v>
      </c>
      <c r="C54" s="45" t="s">
        <v>8029</v>
      </c>
      <c r="D54" s="21">
        <v>1</v>
      </c>
      <c r="E54" s="49" t="s">
        <v>2952</v>
      </c>
    </row>
    <row r="55" spans="1:5" x14ac:dyDescent="0.25">
      <c r="A55" s="48" t="str">
        <f t="shared" si="0"/>
        <v>eBay Listing</v>
      </c>
      <c r="B55" s="47">
        <v>134618345149</v>
      </c>
      <c r="C55" s="45" t="s">
        <v>8030</v>
      </c>
      <c r="D55" s="21">
        <v>1</v>
      </c>
      <c r="E55" s="49" t="s">
        <v>2952</v>
      </c>
    </row>
    <row r="56" spans="1:5" x14ac:dyDescent="0.25">
      <c r="A56" s="48" t="str">
        <f t="shared" si="0"/>
        <v>eBay Listing</v>
      </c>
      <c r="B56" s="47">
        <v>134645616201</v>
      </c>
      <c r="C56" s="45" t="s">
        <v>8031</v>
      </c>
      <c r="D56" s="21">
        <v>12</v>
      </c>
      <c r="E56" s="49" t="s">
        <v>2952</v>
      </c>
    </row>
    <row r="57" spans="1:5" x14ac:dyDescent="0.25">
      <c r="A57" s="48" t="str">
        <f t="shared" si="0"/>
        <v>eBay Listing</v>
      </c>
      <c r="B57" s="47">
        <v>134645666726</v>
      </c>
      <c r="C57" s="45" t="s">
        <v>8032</v>
      </c>
      <c r="D57" s="21">
        <v>31</v>
      </c>
      <c r="E57" s="49" t="s">
        <v>2952</v>
      </c>
    </row>
    <row r="58" spans="1:5" x14ac:dyDescent="0.25">
      <c r="A58" s="48" t="str">
        <f t="shared" si="0"/>
        <v>eBay Listing</v>
      </c>
      <c r="B58" s="47">
        <v>134661465070</v>
      </c>
      <c r="C58" s="45" t="s">
        <v>8033</v>
      </c>
      <c r="D58" s="21">
        <v>1</v>
      </c>
      <c r="E58" s="49" t="s">
        <v>2952</v>
      </c>
    </row>
    <row r="59" spans="1:5" x14ac:dyDescent="0.25">
      <c r="A59" s="48" t="str">
        <f t="shared" si="0"/>
        <v>eBay Listing</v>
      </c>
      <c r="B59" s="47">
        <v>134667917300</v>
      </c>
      <c r="C59" s="45" t="s">
        <v>8034</v>
      </c>
      <c r="D59" s="21">
        <v>2</v>
      </c>
      <c r="E59" s="49" t="s">
        <v>2952</v>
      </c>
    </row>
    <row r="60" spans="1:5" x14ac:dyDescent="0.25">
      <c r="A60" s="48" t="str">
        <f t="shared" si="0"/>
        <v>eBay Listing</v>
      </c>
      <c r="B60" s="47">
        <v>134670345630</v>
      </c>
      <c r="C60" s="45" t="s">
        <v>8035</v>
      </c>
      <c r="D60" s="21">
        <v>1</v>
      </c>
      <c r="E60" s="49" t="s">
        <v>2952</v>
      </c>
    </row>
    <row r="61" spans="1:5" x14ac:dyDescent="0.25">
      <c r="A61" s="48" t="str">
        <f t="shared" si="0"/>
        <v>eBay Listing</v>
      </c>
      <c r="B61" s="47">
        <v>134673539107</v>
      </c>
      <c r="C61" s="45" t="s">
        <v>8036</v>
      </c>
      <c r="D61" s="21">
        <v>1</v>
      </c>
      <c r="E61" s="49" t="s">
        <v>2952</v>
      </c>
    </row>
    <row r="62" spans="1:5" x14ac:dyDescent="0.25">
      <c r="A62" s="48" t="str">
        <f t="shared" si="0"/>
        <v>eBay Listing</v>
      </c>
      <c r="B62" s="47">
        <v>134682925931</v>
      </c>
      <c r="C62" s="45" t="s">
        <v>8037</v>
      </c>
      <c r="D62" s="21">
        <v>6</v>
      </c>
      <c r="E62" s="49" t="s">
        <v>2952</v>
      </c>
    </row>
    <row r="63" spans="1:5" x14ac:dyDescent="0.25">
      <c r="A63" s="48" t="str">
        <f t="shared" si="0"/>
        <v>eBay Listing</v>
      </c>
      <c r="B63" s="47">
        <v>134686419232</v>
      </c>
      <c r="C63" s="45" t="s">
        <v>8038</v>
      </c>
      <c r="D63" s="21">
        <v>21</v>
      </c>
      <c r="E63" s="49" t="s">
        <v>2952</v>
      </c>
    </row>
    <row r="64" spans="1:5" x14ac:dyDescent="0.25">
      <c r="A64" s="48" t="str">
        <f t="shared" si="0"/>
        <v>eBay Listing</v>
      </c>
      <c r="B64" s="47">
        <v>134686498955</v>
      </c>
      <c r="C64" s="45" t="s">
        <v>8039</v>
      </c>
      <c r="D64" s="21">
        <v>1</v>
      </c>
      <c r="E64" s="49" t="s">
        <v>2952</v>
      </c>
    </row>
    <row r="65" spans="1:5" x14ac:dyDescent="0.25">
      <c r="A65" s="48" t="str">
        <f t="shared" si="0"/>
        <v>eBay Listing</v>
      </c>
      <c r="B65" s="47">
        <v>134725352070</v>
      </c>
      <c r="C65" s="45" t="s">
        <v>8040</v>
      </c>
      <c r="D65" s="21">
        <v>1</v>
      </c>
      <c r="E65" s="49" t="s">
        <v>2952</v>
      </c>
    </row>
    <row r="66" spans="1:5" x14ac:dyDescent="0.25">
      <c r="A66" s="48" t="str">
        <f t="shared" si="0"/>
        <v>eBay Listing</v>
      </c>
      <c r="B66" s="47">
        <v>134725354415</v>
      </c>
      <c r="C66" s="45" t="s">
        <v>8041</v>
      </c>
      <c r="D66" s="21">
        <v>1</v>
      </c>
      <c r="E66" s="49" t="s">
        <v>2952</v>
      </c>
    </row>
    <row r="67" spans="1:5" x14ac:dyDescent="0.25">
      <c r="A67" s="48" t="str">
        <f t="shared" si="0"/>
        <v>eBay Listing</v>
      </c>
      <c r="B67" s="47">
        <v>134725356035</v>
      </c>
      <c r="C67" s="45" t="s">
        <v>8042</v>
      </c>
      <c r="D67" s="21">
        <v>1</v>
      </c>
      <c r="E67" s="49" t="s">
        <v>2952</v>
      </c>
    </row>
    <row r="68" spans="1:5" x14ac:dyDescent="0.25">
      <c r="A68" s="48" t="str">
        <f t="shared" ref="A68:A131" si="1">HYPERLINK("https://www.ebay.com/itm/" &amp; B68, "eBay Listing")</f>
        <v>eBay Listing</v>
      </c>
      <c r="B68" s="47">
        <v>134733699792</v>
      </c>
      <c r="C68" s="45" t="s">
        <v>8043</v>
      </c>
      <c r="D68" s="21">
        <v>3</v>
      </c>
      <c r="E68" s="49" t="s">
        <v>2952</v>
      </c>
    </row>
    <row r="69" spans="1:5" x14ac:dyDescent="0.25">
      <c r="A69" s="48" t="str">
        <f t="shared" si="1"/>
        <v>eBay Listing</v>
      </c>
      <c r="B69" s="47">
        <v>134734810141</v>
      </c>
      <c r="C69" s="45" t="s">
        <v>8044</v>
      </c>
      <c r="D69" s="21">
        <v>13</v>
      </c>
      <c r="E69" s="49" t="s">
        <v>2952</v>
      </c>
    </row>
    <row r="70" spans="1:5" x14ac:dyDescent="0.25">
      <c r="A70" s="48" t="str">
        <f t="shared" si="1"/>
        <v>eBay Listing</v>
      </c>
      <c r="B70" s="47">
        <v>134734833251</v>
      </c>
      <c r="C70" s="45" t="s">
        <v>8045</v>
      </c>
      <c r="D70" s="21">
        <v>9</v>
      </c>
      <c r="E70" s="49" t="s">
        <v>2952</v>
      </c>
    </row>
    <row r="71" spans="1:5" x14ac:dyDescent="0.25">
      <c r="A71" s="48" t="str">
        <f t="shared" si="1"/>
        <v>eBay Listing</v>
      </c>
      <c r="B71" s="47">
        <v>134734838693</v>
      </c>
      <c r="C71" s="45" t="s">
        <v>8046</v>
      </c>
      <c r="D71" s="21">
        <v>15</v>
      </c>
      <c r="E71" s="49" t="s">
        <v>2952</v>
      </c>
    </row>
    <row r="72" spans="1:5" x14ac:dyDescent="0.25">
      <c r="A72" s="48" t="str">
        <f t="shared" si="1"/>
        <v>eBay Listing</v>
      </c>
      <c r="B72" s="47">
        <v>134734849378</v>
      </c>
      <c r="C72" s="45" t="s">
        <v>8047</v>
      </c>
      <c r="D72" s="21">
        <v>16</v>
      </c>
      <c r="E72" s="49" t="s">
        <v>2952</v>
      </c>
    </row>
    <row r="73" spans="1:5" x14ac:dyDescent="0.25">
      <c r="A73" s="48" t="str">
        <f t="shared" si="1"/>
        <v>eBay Listing</v>
      </c>
      <c r="B73" s="47">
        <v>134735044020</v>
      </c>
      <c r="C73" s="45" t="s">
        <v>8048</v>
      </c>
      <c r="D73" s="21">
        <v>24</v>
      </c>
      <c r="E73" s="49" t="s">
        <v>2952</v>
      </c>
    </row>
    <row r="74" spans="1:5" x14ac:dyDescent="0.25">
      <c r="A74" s="48" t="str">
        <f t="shared" si="1"/>
        <v>eBay Listing</v>
      </c>
      <c r="B74" s="47">
        <v>134735048765</v>
      </c>
      <c r="C74" s="45" t="s">
        <v>8049</v>
      </c>
      <c r="D74" s="21">
        <v>18</v>
      </c>
      <c r="E74" s="49" t="s">
        <v>2952</v>
      </c>
    </row>
    <row r="75" spans="1:5" x14ac:dyDescent="0.25">
      <c r="A75" s="48" t="str">
        <f t="shared" si="1"/>
        <v>eBay Listing</v>
      </c>
      <c r="B75" s="47">
        <v>134735223421</v>
      </c>
      <c r="C75" s="45" t="s">
        <v>8050</v>
      </c>
      <c r="D75" s="21">
        <v>48</v>
      </c>
      <c r="E75" s="49" t="s">
        <v>2952</v>
      </c>
    </row>
    <row r="76" spans="1:5" x14ac:dyDescent="0.25">
      <c r="A76" s="48" t="str">
        <f t="shared" si="1"/>
        <v>eBay Listing</v>
      </c>
      <c r="B76" s="47">
        <v>134739777392</v>
      </c>
      <c r="C76" s="45" t="s">
        <v>8051</v>
      </c>
      <c r="D76" s="21">
        <v>3</v>
      </c>
      <c r="E76" s="49" t="s">
        <v>2952</v>
      </c>
    </row>
    <row r="77" spans="1:5" x14ac:dyDescent="0.25">
      <c r="A77" s="48" t="str">
        <f t="shared" si="1"/>
        <v>eBay Listing</v>
      </c>
      <c r="B77" s="47">
        <v>134839920422</v>
      </c>
      <c r="C77" s="45" t="s">
        <v>8052</v>
      </c>
      <c r="D77" s="21">
        <v>1</v>
      </c>
      <c r="E77" s="49" t="s">
        <v>2952</v>
      </c>
    </row>
    <row r="78" spans="1:5" x14ac:dyDescent="0.25">
      <c r="A78" s="48" t="str">
        <f t="shared" si="1"/>
        <v>eBay Listing</v>
      </c>
      <c r="B78" s="47">
        <v>134840011501</v>
      </c>
      <c r="C78" s="45" t="s">
        <v>8053</v>
      </c>
      <c r="D78" s="21">
        <v>1</v>
      </c>
      <c r="E78" s="49" t="s">
        <v>2952</v>
      </c>
    </row>
    <row r="79" spans="1:5" x14ac:dyDescent="0.25">
      <c r="A79" s="48" t="str">
        <f t="shared" si="1"/>
        <v>eBay Listing</v>
      </c>
      <c r="B79" s="47">
        <v>134841056867</v>
      </c>
      <c r="C79" s="45" t="s">
        <v>8054</v>
      </c>
      <c r="D79" s="21">
        <v>3</v>
      </c>
      <c r="E79" s="49" t="s">
        <v>2952</v>
      </c>
    </row>
    <row r="80" spans="1:5" x14ac:dyDescent="0.25">
      <c r="A80" s="48" t="str">
        <f t="shared" si="1"/>
        <v>eBay Listing</v>
      </c>
      <c r="B80" s="47">
        <v>134841312364</v>
      </c>
      <c r="C80" s="45" t="s">
        <v>8055</v>
      </c>
      <c r="D80" s="21">
        <v>1</v>
      </c>
      <c r="E80" s="49" t="s">
        <v>2952</v>
      </c>
    </row>
    <row r="81" spans="1:5" x14ac:dyDescent="0.25">
      <c r="A81" s="48" t="str">
        <f t="shared" si="1"/>
        <v>eBay Listing</v>
      </c>
      <c r="B81" s="47">
        <v>134842813328</v>
      </c>
      <c r="C81" s="45" t="s">
        <v>8056</v>
      </c>
      <c r="D81" s="21">
        <v>4</v>
      </c>
      <c r="E81" s="49" t="s">
        <v>2952</v>
      </c>
    </row>
    <row r="82" spans="1:5" x14ac:dyDescent="0.25">
      <c r="A82" s="48" t="str">
        <f t="shared" si="1"/>
        <v>eBay Listing</v>
      </c>
      <c r="B82" s="47">
        <v>134842839709</v>
      </c>
      <c r="C82" s="45" t="s">
        <v>8057</v>
      </c>
      <c r="D82" s="21">
        <v>1</v>
      </c>
      <c r="E82" s="49" t="s">
        <v>2952</v>
      </c>
    </row>
    <row r="83" spans="1:5" x14ac:dyDescent="0.25">
      <c r="A83" s="48" t="str">
        <f t="shared" si="1"/>
        <v>eBay Listing</v>
      </c>
      <c r="B83" s="47">
        <v>134883401244</v>
      </c>
      <c r="C83" s="45" t="s">
        <v>8058</v>
      </c>
      <c r="D83" s="21">
        <v>1</v>
      </c>
      <c r="E83" s="49" t="s">
        <v>2952</v>
      </c>
    </row>
    <row r="84" spans="1:5" x14ac:dyDescent="0.25">
      <c r="A84" s="48" t="str">
        <f t="shared" si="1"/>
        <v>eBay Listing</v>
      </c>
      <c r="B84" s="47">
        <v>134889226645</v>
      </c>
      <c r="C84" s="45" t="s">
        <v>8059</v>
      </c>
      <c r="D84" s="21">
        <v>1</v>
      </c>
      <c r="E84" s="49" t="s">
        <v>2952</v>
      </c>
    </row>
    <row r="85" spans="1:5" x14ac:dyDescent="0.25">
      <c r="A85" s="48" t="str">
        <f t="shared" si="1"/>
        <v>eBay Listing</v>
      </c>
      <c r="B85" s="47">
        <v>134895334418</v>
      </c>
      <c r="C85" s="45" t="s">
        <v>8060</v>
      </c>
      <c r="D85" s="21">
        <v>1</v>
      </c>
      <c r="E85" s="49" t="s">
        <v>2952</v>
      </c>
    </row>
    <row r="86" spans="1:5" x14ac:dyDescent="0.25">
      <c r="A86" s="48" t="str">
        <f t="shared" si="1"/>
        <v>eBay Listing</v>
      </c>
      <c r="B86" s="47">
        <v>134903629096</v>
      </c>
      <c r="C86" s="45" t="s">
        <v>8061</v>
      </c>
      <c r="D86" s="21">
        <v>1</v>
      </c>
      <c r="E86" s="49" t="s">
        <v>2952</v>
      </c>
    </row>
    <row r="87" spans="1:5" x14ac:dyDescent="0.25">
      <c r="A87" s="48" t="str">
        <f t="shared" si="1"/>
        <v>eBay Listing</v>
      </c>
      <c r="B87" s="47">
        <v>134911946655</v>
      </c>
      <c r="C87" s="45" t="s">
        <v>8062</v>
      </c>
      <c r="D87" s="21">
        <v>2</v>
      </c>
      <c r="E87" s="49" t="s">
        <v>2952</v>
      </c>
    </row>
    <row r="88" spans="1:5" x14ac:dyDescent="0.25">
      <c r="A88" s="48" t="str">
        <f t="shared" si="1"/>
        <v>eBay Listing</v>
      </c>
      <c r="B88" s="47">
        <v>134917784878</v>
      </c>
      <c r="C88" s="45" t="s">
        <v>8063</v>
      </c>
      <c r="D88" s="21">
        <v>1</v>
      </c>
      <c r="E88" s="49" t="s">
        <v>2952</v>
      </c>
    </row>
    <row r="89" spans="1:5" x14ac:dyDescent="0.25">
      <c r="A89" s="48" t="str">
        <f t="shared" si="1"/>
        <v>eBay Listing</v>
      </c>
      <c r="B89" s="47">
        <v>134927328851</v>
      </c>
      <c r="C89" s="45" t="s">
        <v>8064</v>
      </c>
      <c r="D89" s="21">
        <v>1</v>
      </c>
      <c r="E89" s="49" t="s">
        <v>2952</v>
      </c>
    </row>
    <row r="90" spans="1:5" x14ac:dyDescent="0.25">
      <c r="A90" s="48" t="str">
        <f t="shared" si="1"/>
        <v>eBay Listing</v>
      </c>
      <c r="B90" s="47">
        <v>134931272972</v>
      </c>
      <c r="C90" s="45" t="s">
        <v>8065</v>
      </c>
      <c r="D90" s="21">
        <v>1</v>
      </c>
      <c r="E90" s="49" t="s">
        <v>2952</v>
      </c>
    </row>
    <row r="91" spans="1:5" x14ac:dyDescent="0.25">
      <c r="A91" s="48" t="str">
        <f t="shared" si="1"/>
        <v>eBay Listing</v>
      </c>
      <c r="B91" s="47">
        <v>134956407532</v>
      </c>
      <c r="C91" s="45" t="s">
        <v>8066</v>
      </c>
      <c r="D91" s="21">
        <v>2</v>
      </c>
      <c r="E91" s="49" t="s">
        <v>2952</v>
      </c>
    </row>
    <row r="92" spans="1:5" x14ac:dyDescent="0.25">
      <c r="A92" s="48" t="str">
        <f t="shared" si="1"/>
        <v>eBay Listing</v>
      </c>
      <c r="B92" s="47">
        <v>135011320371</v>
      </c>
      <c r="C92" s="45" t="s">
        <v>8067</v>
      </c>
      <c r="D92" s="21">
        <v>1</v>
      </c>
      <c r="E92" s="49" t="s">
        <v>2952</v>
      </c>
    </row>
    <row r="93" spans="1:5" x14ac:dyDescent="0.25">
      <c r="A93" s="48" t="str">
        <f t="shared" si="1"/>
        <v>eBay Listing</v>
      </c>
      <c r="B93" s="47">
        <v>135011603791</v>
      </c>
      <c r="C93" s="45" t="s">
        <v>8068</v>
      </c>
      <c r="D93" s="21">
        <v>1</v>
      </c>
      <c r="E93" s="49" t="s">
        <v>2952</v>
      </c>
    </row>
    <row r="94" spans="1:5" x14ac:dyDescent="0.25">
      <c r="A94" s="48" t="str">
        <f t="shared" si="1"/>
        <v>eBay Listing</v>
      </c>
      <c r="B94" s="47">
        <v>135014558519</v>
      </c>
      <c r="C94" s="45" t="s">
        <v>8069</v>
      </c>
      <c r="D94" s="21">
        <v>1</v>
      </c>
      <c r="E94" s="49" t="s">
        <v>2952</v>
      </c>
    </row>
    <row r="95" spans="1:5" x14ac:dyDescent="0.25">
      <c r="A95" s="48" t="str">
        <f t="shared" si="1"/>
        <v>eBay Listing</v>
      </c>
      <c r="B95" s="47">
        <v>135070973743</v>
      </c>
      <c r="C95" s="45" t="s">
        <v>8070</v>
      </c>
      <c r="D95" s="21">
        <v>1</v>
      </c>
      <c r="E95" s="49" t="s">
        <v>2952</v>
      </c>
    </row>
    <row r="96" spans="1:5" x14ac:dyDescent="0.25">
      <c r="A96" s="48" t="str">
        <f t="shared" si="1"/>
        <v>eBay Listing</v>
      </c>
      <c r="B96" s="47">
        <v>135072346947</v>
      </c>
      <c r="C96" s="45" t="s">
        <v>8071</v>
      </c>
      <c r="D96" s="21">
        <v>1</v>
      </c>
      <c r="E96" s="49" t="s">
        <v>2952</v>
      </c>
    </row>
    <row r="97" spans="1:5" x14ac:dyDescent="0.25">
      <c r="A97" s="48" t="str">
        <f t="shared" si="1"/>
        <v>eBay Listing</v>
      </c>
      <c r="B97" s="47">
        <v>135072555537</v>
      </c>
      <c r="C97" s="45" t="s">
        <v>8072</v>
      </c>
      <c r="D97" s="21">
        <v>4</v>
      </c>
      <c r="E97" s="49" t="s">
        <v>2952</v>
      </c>
    </row>
    <row r="98" spans="1:5" x14ac:dyDescent="0.25">
      <c r="A98" s="48" t="str">
        <f t="shared" si="1"/>
        <v>eBay Listing</v>
      </c>
      <c r="B98" s="47">
        <v>135089758382</v>
      </c>
      <c r="C98" s="45" t="s">
        <v>8073</v>
      </c>
      <c r="D98" s="21">
        <v>2</v>
      </c>
      <c r="E98" s="49" t="s">
        <v>2952</v>
      </c>
    </row>
    <row r="99" spans="1:5" x14ac:dyDescent="0.25">
      <c r="A99" s="48" t="str">
        <f t="shared" si="1"/>
        <v>eBay Listing</v>
      </c>
      <c r="B99" s="47">
        <v>135090036605</v>
      </c>
      <c r="C99" s="45" t="s">
        <v>8074</v>
      </c>
      <c r="D99" s="21">
        <v>3</v>
      </c>
      <c r="E99" s="49" t="s">
        <v>2952</v>
      </c>
    </row>
    <row r="100" spans="1:5" x14ac:dyDescent="0.25">
      <c r="A100" s="48" t="str">
        <f t="shared" si="1"/>
        <v>eBay Listing</v>
      </c>
      <c r="B100" s="47">
        <v>135103914028</v>
      </c>
      <c r="C100" s="45" t="s">
        <v>8075</v>
      </c>
      <c r="D100" s="21">
        <v>2</v>
      </c>
      <c r="E100" s="49" t="s">
        <v>2952</v>
      </c>
    </row>
    <row r="101" spans="1:5" x14ac:dyDescent="0.25">
      <c r="A101" s="48" t="str">
        <f t="shared" si="1"/>
        <v>eBay Listing</v>
      </c>
      <c r="B101" s="47">
        <v>135150527059</v>
      </c>
      <c r="C101" s="45" t="s">
        <v>8076</v>
      </c>
      <c r="D101" s="21">
        <v>1</v>
      </c>
      <c r="E101" s="49" t="s">
        <v>2952</v>
      </c>
    </row>
    <row r="102" spans="1:5" x14ac:dyDescent="0.25">
      <c r="A102" s="48" t="str">
        <f t="shared" si="1"/>
        <v>eBay Listing</v>
      </c>
      <c r="B102" s="47">
        <v>135150862428</v>
      </c>
      <c r="C102" s="45" t="s">
        <v>8077</v>
      </c>
      <c r="D102" s="21">
        <v>1</v>
      </c>
      <c r="E102" s="49" t="s">
        <v>2952</v>
      </c>
    </row>
    <row r="103" spans="1:5" x14ac:dyDescent="0.25">
      <c r="A103" s="48" t="str">
        <f t="shared" si="1"/>
        <v>eBay Listing</v>
      </c>
      <c r="B103" s="47">
        <v>135152145657</v>
      </c>
      <c r="C103" s="45" t="s">
        <v>8078</v>
      </c>
      <c r="D103" s="21">
        <v>1</v>
      </c>
      <c r="E103" s="49" t="s">
        <v>2952</v>
      </c>
    </row>
    <row r="104" spans="1:5" x14ac:dyDescent="0.25">
      <c r="A104" s="48" t="str">
        <f t="shared" si="1"/>
        <v>eBay Listing</v>
      </c>
      <c r="B104" s="47">
        <v>135152312364</v>
      </c>
      <c r="C104" s="45" t="s">
        <v>8079</v>
      </c>
      <c r="D104" s="21">
        <v>1</v>
      </c>
      <c r="E104" s="49" t="s">
        <v>2952</v>
      </c>
    </row>
    <row r="105" spans="1:5" x14ac:dyDescent="0.25">
      <c r="A105" s="48" t="str">
        <f t="shared" si="1"/>
        <v>eBay Listing</v>
      </c>
      <c r="B105" s="47">
        <v>135153377293</v>
      </c>
      <c r="C105" s="45" t="s">
        <v>8080</v>
      </c>
      <c r="D105" s="21">
        <v>10</v>
      </c>
      <c r="E105" s="49" t="s">
        <v>2952</v>
      </c>
    </row>
    <row r="106" spans="1:5" x14ac:dyDescent="0.25">
      <c r="A106" s="48" t="str">
        <f t="shared" si="1"/>
        <v>eBay Listing</v>
      </c>
      <c r="B106" s="47">
        <v>135153413275</v>
      </c>
      <c r="C106" s="45" t="s">
        <v>8081</v>
      </c>
      <c r="D106" s="21">
        <v>2</v>
      </c>
      <c r="E106" s="49" t="s">
        <v>2952</v>
      </c>
    </row>
    <row r="107" spans="1:5" x14ac:dyDescent="0.25">
      <c r="A107" s="48" t="str">
        <f t="shared" si="1"/>
        <v>eBay Listing</v>
      </c>
      <c r="B107" s="47">
        <v>135153467136</v>
      </c>
      <c r="C107" s="45" t="s">
        <v>8082</v>
      </c>
      <c r="D107" s="21">
        <v>1</v>
      </c>
      <c r="E107" s="49" t="s">
        <v>2952</v>
      </c>
    </row>
    <row r="108" spans="1:5" x14ac:dyDescent="0.25">
      <c r="A108" s="48" t="str">
        <f t="shared" si="1"/>
        <v>eBay Listing</v>
      </c>
      <c r="B108" s="47">
        <v>135158523696</v>
      </c>
      <c r="C108" s="45" t="s">
        <v>8083</v>
      </c>
      <c r="D108" s="21">
        <v>2</v>
      </c>
      <c r="E108" s="49" t="s">
        <v>2952</v>
      </c>
    </row>
    <row r="109" spans="1:5" x14ac:dyDescent="0.25">
      <c r="A109" s="48" t="str">
        <f t="shared" si="1"/>
        <v>eBay Listing</v>
      </c>
      <c r="B109" s="47">
        <v>135158529743</v>
      </c>
      <c r="C109" s="45" t="s">
        <v>8084</v>
      </c>
      <c r="D109" s="21">
        <v>4</v>
      </c>
      <c r="E109" s="49" t="s">
        <v>2952</v>
      </c>
    </row>
    <row r="110" spans="1:5" x14ac:dyDescent="0.25">
      <c r="A110" s="48" t="str">
        <f t="shared" si="1"/>
        <v>eBay Listing</v>
      </c>
      <c r="B110" s="47">
        <v>135158537583</v>
      </c>
      <c r="C110" s="45" t="s">
        <v>8085</v>
      </c>
      <c r="D110" s="21">
        <v>1</v>
      </c>
      <c r="E110" s="49" t="s">
        <v>2952</v>
      </c>
    </row>
    <row r="111" spans="1:5" x14ac:dyDescent="0.25">
      <c r="A111" s="48" t="str">
        <f t="shared" si="1"/>
        <v>eBay Listing</v>
      </c>
      <c r="B111" s="47">
        <v>135159886001</v>
      </c>
      <c r="C111" s="45" t="s">
        <v>8086</v>
      </c>
      <c r="D111" s="21">
        <v>3</v>
      </c>
      <c r="E111" s="49" t="s">
        <v>2952</v>
      </c>
    </row>
    <row r="112" spans="1:5" x14ac:dyDescent="0.25">
      <c r="A112" s="48" t="str">
        <f t="shared" si="1"/>
        <v>eBay Listing</v>
      </c>
      <c r="B112" s="47">
        <v>135159890445</v>
      </c>
      <c r="C112" s="45" t="s">
        <v>8087</v>
      </c>
      <c r="D112" s="21">
        <v>5</v>
      </c>
      <c r="E112" s="49" t="s">
        <v>2952</v>
      </c>
    </row>
    <row r="113" spans="1:5" x14ac:dyDescent="0.25">
      <c r="A113" s="48" t="str">
        <f t="shared" si="1"/>
        <v>eBay Listing</v>
      </c>
      <c r="B113" s="47">
        <v>135159896757</v>
      </c>
      <c r="C113" s="45" t="s">
        <v>8088</v>
      </c>
      <c r="D113" s="21">
        <v>2</v>
      </c>
      <c r="E113" s="49" t="s">
        <v>2952</v>
      </c>
    </row>
    <row r="114" spans="1:5" x14ac:dyDescent="0.25">
      <c r="A114" s="48" t="str">
        <f t="shared" si="1"/>
        <v>eBay Listing</v>
      </c>
      <c r="B114" s="47">
        <v>135186153677</v>
      </c>
      <c r="C114" s="45" t="s">
        <v>8089</v>
      </c>
      <c r="D114" s="21">
        <v>1</v>
      </c>
      <c r="E114" s="49" t="s">
        <v>2952</v>
      </c>
    </row>
    <row r="115" spans="1:5" x14ac:dyDescent="0.25">
      <c r="A115" s="48" t="str">
        <f t="shared" si="1"/>
        <v>eBay Listing</v>
      </c>
      <c r="B115" s="47">
        <v>135186344228</v>
      </c>
      <c r="C115" s="45" t="s">
        <v>8090</v>
      </c>
      <c r="D115" s="21">
        <v>1</v>
      </c>
      <c r="E115" s="49" t="s">
        <v>2952</v>
      </c>
    </row>
    <row r="116" spans="1:5" x14ac:dyDescent="0.25">
      <c r="A116" s="48" t="str">
        <f t="shared" si="1"/>
        <v>eBay Listing</v>
      </c>
      <c r="B116" s="47">
        <v>135186365300</v>
      </c>
      <c r="C116" s="45" t="s">
        <v>8091</v>
      </c>
      <c r="D116" s="21">
        <v>1</v>
      </c>
      <c r="E116" s="49" t="s">
        <v>2952</v>
      </c>
    </row>
    <row r="117" spans="1:5" x14ac:dyDescent="0.25">
      <c r="A117" s="48" t="str">
        <f t="shared" si="1"/>
        <v>eBay Listing</v>
      </c>
      <c r="B117" s="47">
        <v>135232119415</v>
      </c>
      <c r="C117" s="45" t="s">
        <v>8092</v>
      </c>
      <c r="D117" s="21">
        <v>1</v>
      </c>
      <c r="E117" s="49" t="s">
        <v>2952</v>
      </c>
    </row>
    <row r="118" spans="1:5" x14ac:dyDescent="0.25">
      <c r="A118" s="48" t="str">
        <f t="shared" si="1"/>
        <v>eBay Listing</v>
      </c>
      <c r="B118" s="47">
        <v>135232126376</v>
      </c>
      <c r="C118" s="45" t="s">
        <v>8093</v>
      </c>
      <c r="D118" s="21">
        <v>1</v>
      </c>
      <c r="E118" s="49" t="s">
        <v>2952</v>
      </c>
    </row>
    <row r="119" spans="1:5" x14ac:dyDescent="0.25">
      <c r="A119" s="48" t="str">
        <f t="shared" si="1"/>
        <v>eBay Listing</v>
      </c>
      <c r="B119" s="47">
        <v>135233911920</v>
      </c>
      <c r="C119" s="45" t="s">
        <v>8094</v>
      </c>
      <c r="D119" s="21">
        <v>1</v>
      </c>
      <c r="E119" s="49" t="s">
        <v>2952</v>
      </c>
    </row>
    <row r="120" spans="1:5" x14ac:dyDescent="0.25">
      <c r="A120" s="48" t="str">
        <f t="shared" si="1"/>
        <v>eBay Listing</v>
      </c>
      <c r="B120" s="47">
        <v>135257487750</v>
      </c>
      <c r="C120" s="45" t="s">
        <v>8095</v>
      </c>
      <c r="D120" s="21">
        <v>1</v>
      </c>
      <c r="E120" s="49" t="s">
        <v>2952</v>
      </c>
    </row>
    <row r="121" spans="1:5" x14ac:dyDescent="0.25">
      <c r="A121" s="48" t="str">
        <f t="shared" si="1"/>
        <v>eBay Listing</v>
      </c>
      <c r="B121" s="47">
        <v>135286379245</v>
      </c>
      <c r="C121" s="45" t="s">
        <v>8096</v>
      </c>
      <c r="D121" s="21">
        <v>21</v>
      </c>
      <c r="E121" s="49" t="s">
        <v>2952</v>
      </c>
    </row>
    <row r="122" spans="1:5" x14ac:dyDescent="0.25">
      <c r="A122" s="48" t="str">
        <f t="shared" si="1"/>
        <v>eBay Listing</v>
      </c>
      <c r="B122" s="47">
        <v>135302938857</v>
      </c>
      <c r="C122" s="45" t="s">
        <v>8097</v>
      </c>
      <c r="D122" s="21">
        <v>1</v>
      </c>
      <c r="E122" s="49" t="s">
        <v>2952</v>
      </c>
    </row>
    <row r="123" spans="1:5" x14ac:dyDescent="0.25">
      <c r="A123" s="48" t="str">
        <f t="shared" si="1"/>
        <v>eBay Listing</v>
      </c>
      <c r="B123" s="47">
        <v>135303052228</v>
      </c>
      <c r="C123" s="45" t="s">
        <v>8097</v>
      </c>
      <c r="D123" s="21">
        <v>1</v>
      </c>
      <c r="E123" s="49" t="s">
        <v>2952</v>
      </c>
    </row>
    <row r="124" spans="1:5" x14ac:dyDescent="0.25">
      <c r="A124" s="48" t="str">
        <f t="shared" si="1"/>
        <v>eBay Listing</v>
      </c>
      <c r="B124" s="47">
        <v>135303237631</v>
      </c>
      <c r="C124" s="45" t="s">
        <v>8098</v>
      </c>
      <c r="D124" s="21">
        <v>1</v>
      </c>
      <c r="E124" s="49" t="s">
        <v>2952</v>
      </c>
    </row>
    <row r="125" spans="1:5" x14ac:dyDescent="0.25">
      <c r="A125" s="48" t="str">
        <f t="shared" si="1"/>
        <v>eBay Listing</v>
      </c>
      <c r="B125" s="47">
        <v>135305468726</v>
      </c>
      <c r="C125" s="45" t="s">
        <v>8099</v>
      </c>
      <c r="D125" s="21">
        <v>19</v>
      </c>
      <c r="E125" s="49" t="s">
        <v>2952</v>
      </c>
    </row>
    <row r="126" spans="1:5" x14ac:dyDescent="0.25">
      <c r="A126" s="48" t="str">
        <f t="shared" si="1"/>
        <v>eBay Listing</v>
      </c>
      <c r="B126" s="47">
        <v>135308756619</v>
      </c>
      <c r="C126" s="45" t="s">
        <v>8100</v>
      </c>
      <c r="D126" s="21">
        <v>1</v>
      </c>
      <c r="E126" s="49" t="s">
        <v>2952</v>
      </c>
    </row>
    <row r="127" spans="1:5" x14ac:dyDescent="0.25">
      <c r="A127" s="48" t="str">
        <f t="shared" si="1"/>
        <v>eBay Listing</v>
      </c>
      <c r="B127" s="47">
        <v>135313606599</v>
      </c>
      <c r="C127" s="45" t="s">
        <v>8101</v>
      </c>
      <c r="D127" s="21">
        <v>1</v>
      </c>
      <c r="E127" s="49" t="s">
        <v>2952</v>
      </c>
    </row>
    <row r="128" spans="1:5" x14ac:dyDescent="0.25">
      <c r="A128" s="48" t="str">
        <f t="shared" si="1"/>
        <v>eBay Listing</v>
      </c>
      <c r="B128" s="47">
        <v>135320472922</v>
      </c>
      <c r="C128" s="45" t="s">
        <v>8102</v>
      </c>
      <c r="D128" s="21">
        <v>1</v>
      </c>
      <c r="E128" s="49" t="s">
        <v>2952</v>
      </c>
    </row>
    <row r="129" spans="1:5" x14ac:dyDescent="0.25">
      <c r="A129" s="48" t="str">
        <f t="shared" si="1"/>
        <v>eBay Listing</v>
      </c>
      <c r="B129" s="47">
        <v>135320669521</v>
      </c>
      <c r="C129" s="45" t="s">
        <v>8103</v>
      </c>
      <c r="D129" s="21">
        <v>1</v>
      </c>
      <c r="E129" s="49" t="s">
        <v>2952</v>
      </c>
    </row>
    <row r="130" spans="1:5" x14ac:dyDescent="0.25">
      <c r="A130" s="48" t="str">
        <f t="shared" si="1"/>
        <v>eBay Listing</v>
      </c>
      <c r="B130" s="47">
        <v>135320978887</v>
      </c>
      <c r="C130" s="45" t="s">
        <v>8104</v>
      </c>
      <c r="D130" s="21">
        <v>27</v>
      </c>
      <c r="E130" s="49" t="s">
        <v>2952</v>
      </c>
    </row>
    <row r="131" spans="1:5" x14ac:dyDescent="0.25">
      <c r="A131" s="48" t="str">
        <f t="shared" si="1"/>
        <v>eBay Listing</v>
      </c>
      <c r="B131" s="47">
        <v>135329416444</v>
      </c>
      <c r="C131" s="45" t="s">
        <v>8105</v>
      </c>
      <c r="D131" s="21">
        <v>1</v>
      </c>
      <c r="E131" s="49" t="s">
        <v>2952</v>
      </c>
    </row>
    <row r="132" spans="1:5" x14ac:dyDescent="0.25">
      <c r="A132" s="48" t="str">
        <f t="shared" ref="A132:A176" si="2">HYPERLINK("https://www.ebay.com/itm/" &amp; B132, "eBay Listing")</f>
        <v>eBay Listing</v>
      </c>
      <c r="B132" s="47">
        <v>135356649801</v>
      </c>
      <c r="C132" s="45" t="s">
        <v>8106</v>
      </c>
      <c r="D132" s="21">
        <v>1</v>
      </c>
      <c r="E132" s="49" t="s">
        <v>2952</v>
      </c>
    </row>
    <row r="133" spans="1:5" x14ac:dyDescent="0.25">
      <c r="A133" s="48" t="str">
        <f t="shared" si="2"/>
        <v>eBay Listing</v>
      </c>
      <c r="B133" s="47">
        <v>135356768916</v>
      </c>
      <c r="C133" s="45" t="s">
        <v>8107</v>
      </c>
      <c r="D133" s="21">
        <v>1</v>
      </c>
      <c r="E133" s="49" t="s">
        <v>2952</v>
      </c>
    </row>
    <row r="134" spans="1:5" x14ac:dyDescent="0.25">
      <c r="A134" s="48" t="str">
        <f t="shared" si="2"/>
        <v>eBay Listing</v>
      </c>
      <c r="B134" s="47">
        <v>135403293026</v>
      </c>
      <c r="C134" s="45" t="s">
        <v>8108</v>
      </c>
      <c r="D134" s="21">
        <v>1</v>
      </c>
      <c r="E134" s="49" t="s">
        <v>2952</v>
      </c>
    </row>
    <row r="135" spans="1:5" x14ac:dyDescent="0.25">
      <c r="A135" s="48" t="str">
        <f t="shared" si="2"/>
        <v>eBay Listing</v>
      </c>
      <c r="B135" s="47">
        <v>135409997836</v>
      </c>
      <c r="C135" s="45" t="s">
        <v>8109</v>
      </c>
      <c r="D135" s="21">
        <v>5</v>
      </c>
      <c r="E135" s="49" t="s">
        <v>2952</v>
      </c>
    </row>
    <row r="136" spans="1:5" x14ac:dyDescent="0.25">
      <c r="A136" s="48" t="str">
        <f t="shared" si="2"/>
        <v>eBay Listing</v>
      </c>
      <c r="B136" s="47">
        <v>135423461616</v>
      </c>
      <c r="C136" s="45" t="s">
        <v>8110</v>
      </c>
      <c r="D136" s="21">
        <v>1</v>
      </c>
      <c r="E136" s="49" t="s">
        <v>2952</v>
      </c>
    </row>
    <row r="137" spans="1:5" x14ac:dyDescent="0.25">
      <c r="A137" s="48" t="str">
        <f t="shared" si="2"/>
        <v>eBay Listing</v>
      </c>
      <c r="B137" s="47">
        <v>135462662796</v>
      </c>
      <c r="C137" s="45" t="s">
        <v>8111</v>
      </c>
      <c r="D137" s="21">
        <v>1</v>
      </c>
      <c r="E137" s="49" t="s">
        <v>2952</v>
      </c>
    </row>
    <row r="138" spans="1:5" x14ac:dyDescent="0.25">
      <c r="A138" s="48" t="str">
        <f t="shared" si="2"/>
        <v>eBay Listing</v>
      </c>
      <c r="B138" s="47">
        <v>135462735047</v>
      </c>
      <c r="C138" s="45" t="s">
        <v>8112</v>
      </c>
      <c r="D138" s="21">
        <v>20</v>
      </c>
      <c r="E138" s="49" t="s">
        <v>2952</v>
      </c>
    </row>
    <row r="139" spans="1:5" x14ac:dyDescent="0.25">
      <c r="A139" s="48" t="str">
        <f t="shared" si="2"/>
        <v>eBay Listing</v>
      </c>
      <c r="B139" s="47">
        <v>135462785302</v>
      </c>
      <c r="C139" s="45" t="s">
        <v>8113</v>
      </c>
      <c r="D139" s="21">
        <v>1</v>
      </c>
      <c r="E139" s="49" t="s">
        <v>2952</v>
      </c>
    </row>
    <row r="140" spans="1:5" x14ac:dyDescent="0.25">
      <c r="A140" s="48" t="str">
        <f t="shared" si="2"/>
        <v>eBay Listing</v>
      </c>
      <c r="B140" s="47">
        <v>135462793932</v>
      </c>
      <c r="C140" s="45" t="s">
        <v>8114</v>
      </c>
      <c r="D140" s="21">
        <v>1</v>
      </c>
      <c r="E140" s="49" t="s">
        <v>2952</v>
      </c>
    </row>
    <row r="141" spans="1:5" x14ac:dyDescent="0.25">
      <c r="A141" s="48" t="str">
        <f t="shared" si="2"/>
        <v>eBay Listing</v>
      </c>
      <c r="B141" s="47">
        <v>135462852095</v>
      </c>
      <c r="C141" s="45" t="s">
        <v>8115</v>
      </c>
      <c r="D141" s="21">
        <v>1</v>
      </c>
      <c r="E141" s="49" t="s">
        <v>2952</v>
      </c>
    </row>
    <row r="142" spans="1:5" x14ac:dyDescent="0.25">
      <c r="A142" s="48" t="str">
        <f t="shared" si="2"/>
        <v>eBay Listing</v>
      </c>
      <c r="B142" s="47">
        <v>135533373277</v>
      </c>
      <c r="C142" s="45" t="s">
        <v>8116</v>
      </c>
      <c r="D142" s="21">
        <v>1</v>
      </c>
      <c r="E142" s="49" t="s">
        <v>2952</v>
      </c>
    </row>
    <row r="143" spans="1:5" x14ac:dyDescent="0.25">
      <c r="A143" s="48" t="str">
        <f t="shared" si="2"/>
        <v>eBay Listing</v>
      </c>
      <c r="B143" s="47">
        <v>135545160224</v>
      </c>
      <c r="C143" s="45" t="s">
        <v>8117</v>
      </c>
      <c r="D143" s="21">
        <v>1</v>
      </c>
      <c r="E143" s="49" t="s">
        <v>2952</v>
      </c>
    </row>
    <row r="144" spans="1:5" x14ac:dyDescent="0.25">
      <c r="A144" s="48" t="str">
        <f t="shared" si="2"/>
        <v>eBay Listing</v>
      </c>
      <c r="B144" s="47">
        <v>135545658520</v>
      </c>
      <c r="C144" s="45" t="s">
        <v>8118</v>
      </c>
      <c r="D144" s="21">
        <v>1</v>
      </c>
      <c r="E144" s="49" t="s">
        <v>2952</v>
      </c>
    </row>
    <row r="145" spans="1:5" x14ac:dyDescent="0.25">
      <c r="A145" s="48" t="str">
        <f t="shared" si="2"/>
        <v>eBay Listing</v>
      </c>
      <c r="B145" s="47">
        <v>135547303946</v>
      </c>
      <c r="C145" s="45" t="s">
        <v>8119</v>
      </c>
      <c r="D145" s="21">
        <v>1</v>
      </c>
      <c r="E145" s="49" t="s">
        <v>2952</v>
      </c>
    </row>
    <row r="146" spans="1:5" x14ac:dyDescent="0.25">
      <c r="A146" s="48" t="str">
        <f t="shared" si="2"/>
        <v>eBay Listing</v>
      </c>
      <c r="B146" s="47">
        <v>135566562909</v>
      </c>
      <c r="C146" s="45" t="s">
        <v>8120</v>
      </c>
      <c r="D146" s="21">
        <v>1</v>
      </c>
      <c r="E146" s="49" t="s">
        <v>2952</v>
      </c>
    </row>
    <row r="147" spans="1:5" x14ac:dyDescent="0.25">
      <c r="A147" s="48" t="str">
        <f t="shared" si="2"/>
        <v>eBay Listing</v>
      </c>
      <c r="B147" s="47">
        <v>135582984266</v>
      </c>
      <c r="C147" s="45" t="s">
        <v>8121</v>
      </c>
      <c r="D147" s="21">
        <v>1</v>
      </c>
      <c r="E147" s="49" t="s">
        <v>2952</v>
      </c>
    </row>
    <row r="148" spans="1:5" x14ac:dyDescent="0.25">
      <c r="A148" s="48" t="str">
        <f t="shared" si="2"/>
        <v>eBay Listing</v>
      </c>
      <c r="B148" s="47">
        <v>135588388442</v>
      </c>
      <c r="C148" s="45" t="s">
        <v>8122</v>
      </c>
      <c r="D148" s="21">
        <v>1</v>
      </c>
      <c r="E148" s="49" t="s">
        <v>2952</v>
      </c>
    </row>
    <row r="149" spans="1:5" x14ac:dyDescent="0.25">
      <c r="A149" s="48" t="str">
        <f t="shared" si="2"/>
        <v>eBay Listing</v>
      </c>
      <c r="B149" s="47">
        <v>135605422580</v>
      </c>
      <c r="C149" s="45" t="s">
        <v>8123</v>
      </c>
      <c r="D149" s="21">
        <v>1</v>
      </c>
      <c r="E149" s="49" t="s">
        <v>2952</v>
      </c>
    </row>
    <row r="150" spans="1:5" x14ac:dyDescent="0.25">
      <c r="A150" s="48" t="str">
        <f t="shared" si="2"/>
        <v>eBay Listing</v>
      </c>
      <c r="B150" s="47">
        <v>135605482592</v>
      </c>
      <c r="C150" s="45" t="s">
        <v>8124</v>
      </c>
      <c r="D150" s="21">
        <v>1</v>
      </c>
      <c r="E150" s="49" t="s">
        <v>2952</v>
      </c>
    </row>
    <row r="151" spans="1:5" x14ac:dyDescent="0.25">
      <c r="A151" s="48" t="str">
        <f t="shared" si="2"/>
        <v>eBay Listing</v>
      </c>
      <c r="B151" s="47">
        <v>135605834762</v>
      </c>
      <c r="C151" s="45" t="s">
        <v>8125</v>
      </c>
      <c r="D151" s="21">
        <v>1</v>
      </c>
      <c r="E151" s="49" t="s">
        <v>2952</v>
      </c>
    </row>
    <row r="152" spans="1:5" x14ac:dyDescent="0.25">
      <c r="A152" s="48" t="str">
        <f t="shared" si="2"/>
        <v>eBay Listing</v>
      </c>
      <c r="B152" s="47">
        <v>135605899468</v>
      </c>
      <c r="C152" s="45" t="s">
        <v>8126</v>
      </c>
      <c r="D152" s="21">
        <v>1</v>
      </c>
      <c r="E152" s="49" t="s">
        <v>2952</v>
      </c>
    </row>
    <row r="153" spans="1:5" x14ac:dyDescent="0.25">
      <c r="A153" s="48" t="str">
        <f t="shared" si="2"/>
        <v>eBay Listing</v>
      </c>
      <c r="B153" s="47">
        <v>135647256123</v>
      </c>
      <c r="C153" s="45" t="s">
        <v>8127</v>
      </c>
      <c r="D153" s="21">
        <v>1</v>
      </c>
      <c r="E153" s="49" t="s">
        <v>2952</v>
      </c>
    </row>
    <row r="154" spans="1:5" x14ac:dyDescent="0.25">
      <c r="A154" s="48" t="str">
        <f t="shared" si="2"/>
        <v>eBay Listing</v>
      </c>
      <c r="B154" s="47">
        <v>135647276467</v>
      </c>
      <c r="C154" s="45" t="s">
        <v>8061</v>
      </c>
      <c r="D154" s="21">
        <v>1</v>
      </c>
      <c r="E154" s="49" t="s">
        <v>2952</v>
      </c>
    </row>
    <row r="155" spans="1:5" x14ac:dyDescent="0.25">
      <c r="A155" s="48" t="str">
        <f t="shared" si="2"/>
        <v>eBay Listing</v>
      </c>
      <c r="B155" s="47">
        <v>135647317779</v>
      </c>
      <c r="C155" s="45" t="s">
        <v>8128</v>
      </c>
      <c r="D155" s="21">
        <v>1</v>
      </c>
      <c r="E155" s="49" t="s">
        <v>2952</v>
      </c>
    </row>
    <row r="156" spans="1:5" x14ac:dyDescent="0.25">
      <c r="A156" s="48" t="str">
        <f t="shared" si="2"/>
        <v>eBay Listing</v>
      </c>
      <c r="B156" s="47">
        <v>135649343664</v>
      </c>
      <c r="C156" s="45" t="s">
        <v>8129</v>
      </c>
      <c r="D156" s="21">
        <v>10</v>
      </c>
      <c r="E156" s="49" t="s">
        <v>2952</v>
      </c>
    </row>
    <row r="157" spans="1:5" x14ac:dyDescent="0.25">
      <c r="A157" s="48" t="str">
        <f t="shared" si="2"/>
        <v>eBay Listing</v>
      </c>
      <c r="B157" s="47">
        <v>135700096208</v>
      </c>
      <c r="C157" s="45" t="s">
        <v>8130</v>
      </c>
      <c r="D157" s="21">
        <v>1</v>
      </c>
      <c r="E157" s="49" t="s">
        <v>2952</v>
      </c>
    </row>
    <row r="158" spans="1:5" x14ac:dyDescent="0.25">
      <c r="A158" s="48" t="str">
        <f t="shared" si="2"/>
        <v>eBay Listing</v>
      </c>
      <c r="B158" s="47">
        <v>135707260101</v>
      </c>
      <c r="C158" s="45" t="s">
        <v>8131</v>
      </c>
      <c r="D158" s="21">
        <v>1</v>
      </c>
      <c r="E158" s="49" t="s">
        <v>2952</v>
      </c>
    </row>
    <row r="159" spans="1:5" x14ac:dyDescent="0.25">
      <c r="A159" s="48" t="str">
        <f t="shared" si="2"/>
        <v>eBay Listing</v>
      </c>
      <c r="B159" s="47">
        <v>135709548548</v>
      </c>
      <c r="C159" s="45" t="s">
        <v>8132</v>
      </c>
      <c r="D159" s="21">
        <v>1</v>
      </c>
      <c r="E159" s="49" t="s">
        <v>2952</v>
      </c>
    </row>
    <row r="160" spans="1:5" x14ac:dyDescent="0.25">
      <c r="A160" s="48" t="str">
        <f t="shared" si="2"/>
        <v>eBay Listing</v>
      </c>
      <c r="B160" s="47">
        <v>135710226822</v>
      </c>
      <c r="C160" s="45" t="s">
        <v>8133</v>
      </c>
      <c r="D160" s="21">
        <v>1</v>
      </c>
      <c r="E160" s="49" t="s">
        <v>2952</v>
      </c>
    </row>
    <row r="161" spans="1:5" x14ac:dyDescent="0.25">
      <c r="A161" s="48" t="str">
        <f t="shared" si="2"/>
        <v>eBay Listing</v>
      </c>
      <c r="B161" s="47">
        <v>135722411672</v>
      </c>
      <c r="C161" s="45" t="s">
        <v>8134</v>
      </c>
      <c r="D161" s="21">
        <v>1</v>
      </c>
      <c r="E161" s="49" t="s">
        <v>2952</v>
      </c>
    </row>
    <row r="162" spans="1:5" x14ac:dyDescent="0.25">
      <c r="A162" s="48" t="str">
        <f t="shared" si="2"/>
        <v>eBay Listing</v>
      </c>
      <c r="B162" s="47">
        <v>135724726466</v>
      </c>
      <c r="C162" s="45" t="s">
        <v>8135</v>
      </c>
      <c r="D162" s="21">
        <v>22</v>
      </c>
      <c r="E162" s="49" t="s">
        <v>2952</v>
      </c>
    </row>
    <row r="163" spans="1:5" x14ac:dyDescent="0.25">
      <c r="A163" s="48" t="str">
        <f t="shared" si="2"/>
        <v>eBay Listing</v>
      </c>
      <c r="B163" s="47">
        <v>135724812795</v>
      </c>
      <c r="C163" s="45" t="s">
        <v>8136</v>
      </c>
      <c r="D163" s="21">
        <v>24</v>
      </c>
      <c r="E163" s="49" t="s">
        <v>2952</v>
      </c>
    </row>
    <row r="164" spans="1:5" x14ac:dyDescent="0.25">
      <c r="A164" s="48" t="str">
        <f t="shared" si="2"/>
        <v>eBay Listing</v>
      </c>
      <c r="B164" s="47">
        <v>135728412015</v>
      </c>
      <c r="C164" s="45" t="s">
        <v>8137</v>
      </c>
      <c r="D164" s="21">
        <v>1</v>
      </c>
      <c r="E164" s="49" t="s">
        <v>2952</v>
      </c>
    </row>
    <row r="165" spans="1:5" x14ac:dyDescent="0.25">
      <c r="A165" s="48" t="str">
        <f t="shared" si="2"/>
        <v>eBay Listing</v>
      </c>
      <c r="B165" s="47">
        <v>135728678995</v>
      </c>
      <c r="C165" s="45" t="s">
        <v>8138</v>
      </c>
      <c r="D165" s="21">
        <v>1</v>
      </c>
      <c r="E165" s="49" t="s">
        <v>2952</v>
      </c>
    </row>
    <row r="166" spans="1:5" x14ac:dyDescent="0.25">
      <c r="A166" s="48" t="str">
        <f t="shared" si="2"/>
        <v>eBay Listing</v>
      </c>
      <c r="B166" s="47">
        <v>135767570961</v>
      </c>
      <c r="C166" s="45" t="s">
        <v>8139</v>
      </c>
      <c r="D166" s="21">
        <v>3</v>
      </c>
      <c r="E166" s="49" t="s">
        <v>2952</v>
      </c>
    </row>
    <row r="167" spans="1:5" x14ac:dyDescent="0.25">
      <c r="A167" s="48" t="str">
        <f t="shared" si="2"/>
        <v>eBay Listing</v>
      </c>
      <c r="B167" s="47">
        <v>135767584885</v>
      </c>
      <c r="C167" s="45" t="s">
        <v>8140</v>
      </c>
      <c r="D167" s="21">
        <v>1</v>
      </c>
      <c r="E167" s="49" t="s">
        <v>2952</v>
      </c>
    </row>
    <row r="168" spans="1:5" x14ac:dyDescent="0.25">
      <c r="A168" s="48" t="str">
        <f t="shared" si="2"/>
        <v>eBay Listing</v>
      </c>
      <c r="B168" s="47">
        <v>135773963784</v>
      </c>
      <c r="C168" s="45" t="s">
        <v>8141</v>
      </c>
      <c r="D168" s="21">
        <v>1</v>
      </c>
      <c r="E168" s="49" t="s">
        <v>2952</v>
      </c>
    </row>
    <row r="169" spans="1:5" x14ac:dyDescent="0.25">
      <c r="A169" s="48" t="str">
        <f t="shared" si="2"/>
        <v>eBay Listing</v>
      </c>
      <c r="B169" s="47">
        <v>135773988095</v>
      </c>
      <c r="C169" s="45" t="s">
        <v>8142</v>
      </c>
      <c r="D169" s="21">
        <v>1</v>
      </c>
      <c r="E169" s="49" t="s">
        <v>2952</v>
      </c>
    </row>
    <row r="170" spans="1:5" x14ac:dyDescent="0.25">
      <c r="A170" s="48" t="str">
        <f t="shared" si="2"/>
        <v>eBay Listing</v>
      </c>
      <c r="B170" s="47">
        <v>135774140402</v>
      </c>
      <c r="C170" s="45" t="s">
        <v>8143</v>
      </c>
      <c r="D170" s="21">
        <v>3</v>
      </c>
      <c r="E170" s="49" t="s">
        <v>2952</v>
      </c>
    </row>
    <row r="171" spans="1:5" x14ac:dyDescent="0.25">
      <c r="A171" s="48" t="str">
        <f t="shared" si="2"/>
        <v>eBay Listing</v>
      </c>
      <c r="B171" s="47">
        <v>135776557415</v>
      </c>
      <c r="C171" s="45" t="s">
        <v>8144</v>
      </c>
      <c r="D171" s="21">
        <v>1</v>
      </c>
      <c r="E171" s="49" t="s">
        <v>2952</v>
      </c>
    </row>
    <row r="172" spans="1:5" x14ac:dyDescent="0.25">
      <c r="A172" s="48" t="str">
        <f t="shared" si="2"/>
        <v>eBay Listing</v>
      </c>
      <c r="B172" s="47">
        <v>135776747514</v>
      </c>
      <c r="C172" s="45" t="s">
        <v>8145</v>
      </c>
      <c r="D172" s="21">
        <v>2</v>
      </c>
      <c r="E172" s="49" t="s">
        <v>2952</v>
      </c>
    </row>
    <row r="173" spans="1:5" x14ac:dyDescent="0.25">
      <c r="A173" s="48" t="str">
        <f t="shared" si="2"/>
        <v>eBay Listing</v>
      </c>
      <c r="B173" s="47">
        <v>135776802766</v>
      </c>
      <c r="C173" s="45" t="s">
        <v>8146</v>
      </c>
      <c r="D173" s="21">
        <v>1</v>
      </c>
      <c r="E173" s="49" t="s">
        <v>2952</v>
      </c>
    </row>
    <row r="174" spans="1:5" x14ac:dyDescent="0.25">
      <c r="A174" s="48" t="str">
        <f t="shared" si="2"/>
        <v>eBay Listing</v>
      </c>
      <c r="B174" s="47">
        <v>135777313105</v>
      </c>
      <c r="C174" s="45" t="s">
        <v>8147</v>
      </c>
      <c r="D174" s="21">
        <v>1</v>
      </c>
      <c r="E174" s="49" t="s">
        <v>2952</v>
      </c>
    </row>
    <row r="175" spans="1:5" x14ac:dyDescent="0.25">
      <c r="A175" s="38" t="str">
        <f>HYPERLINK("https://www.ebay.com/itm/" &amp; B175, "eBay Listing")</f>
        <v>eBay Listing</v>
      </c>
      <c r="B175" s="47">
        <v>135777359319</v>
      </c>
      <c r="C175" s="45" t="s">
        <v>8148</v>
      </c>
      <c r="D175" s="21">
        <v>1</v>
      </c>
      <c r="E175" s="49" t="s">
        <v>2952</v>
      </c>
    </row>
    <row r="176" spans="1:5" x14ac:dyDescent="0.25">
      <c r="A176" s="48" t="str">
        <f t="shared" si="2"/>
        <v>eBay Listing</v>
      </c>
      <c r="B176" s="47">
        <v>135835078951</v>
      </c>
      <c r="C176" s="45" t="s">
        <v>8149</v>
      </c>
      <c r="D176" s="21">
        <v>1</v>
      </c>
      <c r="E176" s="49" t="s">
        <v>2952</v>
      </c>
    </row>
    <row r="177" spans="1:5" x14ac:dyDescent="0.25">
      <c r="A177" s="38" t="str">
        <f t="shared" ref="A177:A199" si="3">HYPERLINK("https://www.ebay.com/itm/" &amp; B177, "eBay Listing")</f>
        <v>eBay Listing</v>
      </c>
      <c r="B177" s="47"/>
      <c r="C177" s="45"/>
      <c r="D177" s="21"/>
      <c r="E177" s="49"/>
    </row>
    <row r="178" spans="1:5" x14ac:dyDescent="0.25">
      <c r="A178" s="38" t="str">
        <f t="shared" si="3"/>
        <v>eBay Listing</v>
      </c>
      <c r="B178" s="47"/>
      <c r="C178" s="45"/>
      <c r="D178" s="21"/>
      <c r="E178" s="49"/>
    </row>
    <row r="179" spans="1:5" x14ac:dyDescent="0.25">
      <c r="A179" s="38" t="str">
        <f t="shared" si="3"/>
        <v>eBay Listing</v>
      </c>
      <c r="B179" s="47"/>
      <c r="C179" s="45"/>
      <c r="D179" s="21"/>
      <c r="E179" s="49"/>
    </row>
    <row r="180" spans="1:5" x14ac:dyDescent="0.25">
      <c r="A180" s="38" t="str">
        <f t="shared" si="3"/>
        <v>eBay Listing</v>
      </c>
      <c r="B180" s="47"/>
      <c r="C180" s="45"/>
      <c r="D180" s="21"/>
      <c r="E180" s="49"/>
    </row>
    <row r="181" spans="1:5" x14ac:dyDescent="0.25">
      <c r="A181" s="38" t="str">
        <f t="shared" si="3"/>
        <v>eBay Listing</v>
      </c>
      <c r="B181" s="47"/>
      <c r="C181" s="45"/>
      <c r="D181" s="21"/>
      <c r="E181" s="49"/>
    </row>
    <row r="182" spans="1:5" x14ac:dyDescent="0.25">
      <c r="A182" s="38" t="str">
        <f t="shared" si="3"/>
        <v>eBay Listing</v>
      </c>
      <c r="B182" s="47"/>
      <c r="C182" s="45"/>
      <c r="D182" s="21"/>
      <c r="E182" s="49"/>
    </row>
    <row r="183" spans="1:5" x14ac:dyDescent="0.25">
      <c r="A183" s="38" t="str">
        <f t="shared" si="3"/>
        <v>eBay Listing</v>
      </c>
      <c r="B183" s="47"/>
      <c r="C183" s="45"/>
      <c r="D183" s="21"/>
      <c r="E183" s="49"/>
    </row>
    <row r="184" spans="1:5" x14ac:dyDescent="0.25">
      <c r="A184" s="38" t="str">
        <f t="shared" si="3"/>
        <v>eBay Listing</v>
      </c>
      <c r="B184" s="47"/>
      <c r="C184" s="45"/>
      <c r="D184" s="21"/>
      <c r="E184" s="49"/>
    </row>
    <row r="185" spans="1:5" x14ac:dyDescent="0.25">
      <c r="A185" s="38" t="str">
        <f t="shared" si="3"/>
        <v>eBay Listing</v>
      </c>
      <c r="B185" s="47"/>
      <c r="C185" s="45"/>
      <c r="D185" s="21"/>
      <c r="E185" s="49"/>
    </row>
    <row r="186" spans="1:5" x14ac:dyDescent="0.25">
      <c r="A186" s="38" t="str">
        <f t="shared" si="3"/>
        <v>eBay Listing</v>
      </c>
      <c r="B186" s="47"/>
      <c r="C186" s="45"/>
      <c r="D186" s="21"/>
      <c r="E186" s="49"/>
    </row>
    <row r="187" spans="1:5" x14ac:dyDescent="0.25">
      <c r="A187" s="38" t="str">
        <f t="shared" si="3"/>
        <v>eBay Listing</v>
      </c>
      <c r="B187" s="47"/>
      <c r="C187" s="45"/>
      <c r="D187" s="21"/>
      <c r="E187" s="49"/>
    </row>
    <row r="188" spans="1:5" x14ac:dyDescent="0.25">
      <c r="A188" s="38" t="str">
        <f t="shared" si="3"/>
        <v>eBay Listing</v>
      </c>
      <c r="B188" s="47"/>
      <c r="C188" s="45"/>
      <c r="D188" s="21"/>
      <c r="E188" s="49"/>
    </row>
    <row r="189" spans="1:5" x14ac:dyDescent="0.25">
      <c r="A189" s="38" t="str">
        <f t="shared" si="3"/>
        <v>eBay Listing</v>
      </c>
      <c r="B189" s="47"/>
      <c r="C189" s="45"/>
      <c r="D189" s="21"/>
      <c r="E189" s="49"/>
    </row>
    <row r="190" spans="1:5" x14ac:dyDescent="0.25">
      <c r="A190" s="38" t="str">
        <f t="shared" si="3"/>
        <v>eBay Listing</v>
      </c>
      <c r="B190" s="47"/>
      <c r="C190" s="45"/>
      <c r="D190" s="21"/>
      <c r="E190" s="49"/>
    </row>
    <row r="191" spans="1:5" x14ac:dyDescent="0.25">
      <c r="A191" s="38" t="str">
        <f t="shared" si="3"/>
        <v>eBay Listing</v>
      </c>
      <c r="B191" s="47"/>
      <c r="C191" s="45"/>
      <c r="D191" s="21"/>
      <c r="E191" s="49"/>
    </row>
    <row r="192" spans="1:5" x14ac:dyDescent="0.25">
      <c r="A192" s="38" t="str">
        <f t="shared" si="3"/>
        <v>eBay Listing</v>
      </c>
      <c r="B192" s="47"/>
      <c r="C192" s="45"/>
      <c r="D192" s="21"/>
      <c r="E192" s="49"/>
    </row>
    <row r="193" spans="1:5" x14ac:dyDescent="0.25">
      <c r="A193" s="38" t="str">
        <f t="shared" si="3"/>
        <v>eBay Listing</v>
      </c>
      <c r="B193" s="47"/>
      <c r="C193" s="45"/>
      <c r="D193" s="21"/>
      <c r="E193" s="49"/>
    </row>
    <row r="194" spans="1:5" x14ac:dyDescent="0.25">
      <c r="A194" s="38" t="str">
        <f t="shared" si="3"/>
        <v>eBay Listing</v>
      </c>
      <c r="B194" s="47"/>
      <c r="C194" s="45"/>
      <c r="D194" s="21"/>
      <c r="E194" s="49"/>
    </row>
    <row r="195" spans="1:5" x14ac:dyDescent="0.25">
      <c r="A195" s="38" t="str">
        <f t="shared" si="3"/>
        <v>eBay Listing</v>
      </c>
      <c r="B195" s="47"/>
      <c r="C195" s="45"/>
      <c r="D195" s="21"/>
      <c r="E195" s="49"/>
    </row>
    <row r="196" spans="1:5" x14ac:dyDescent="0.25">
      <c r="A196" s="38" t="str">
        <f t="shared" si="3"/>
        <v>eBay Listing</v>
      </c>
      <c r="B196" s="47"/>
      <c r="C196" s="45"/>
      <c r="D196" s="21"/>
      <c r="E196" s="49"/>
    </row>
    <row r="197" spans="1:5" x14ac:dyDescent="0.25">
      <c r="A197" s="38" t="str">
        <f t="shared" si="3"/>
        <v>eBay Listing</v>
      </c>
      <c r="B197" s="47"/>
      <c r="C197" s="45"/>
      <c r="D197" s="21"/>
      <c r="E197" s="49"/>
    </row>
    <row r="198" spans="1:5" x14ac:dyDescent="0.25">
      <c r="A198" s="38" t="str">
        <f t="shared" si="3"/>
        <v>eBay Listing</v>
      </c>
      <c r="B198" s="47"/>
      <c r="C198" s="45"/>
      <c r="D198" s="21"/>
      <c r="E198" s="49"/>
    </row>
    <row r="199" spans="1:5" x14ac:dyDescent="0.25">
      <c r="A199" s="51" t="str">
        <f t="shared" si="3"/>
        <v>eBay Listing</v>
      </c>
      <c r="B199" s="47"/>
      <c r="C199" s="45"/>
      <c r="D199" s="21"/>
      <c r="E199" s="50"/>
    </row>
    <row r="200" spans="1:5" x14ac:dyDescent="0.25">
      <c r="D200" s="21"/>
    </row>
  </sheetData>
  <conditionalFormatting sqref="A1:XFD1 A2:D187 F2:XFD187 A188:XFD1048576">
    <cfRule type="expression" dxfId="4" priority="16">
      <formula>MOD(ROW(),2)=0</formula>
    </cfRule>
  </conditionalFormatting>
  <conditionalFormatting sqref="E2:E187">
    <cfRule type="cellIs" dxfId="3" priority="5" operator="equal">
      <formula>"Needs Testing"</formula>
    </cfRule>
    <cfRule type="cellIs" dxfId="2" priority="6" operator="equal">
      <formula>"Sold"</formula>
    </cfRule>
    <cfRule type="cellIs" dxfId="1" priority="7" operator="equal">
      <formula>"Open"</formula>
    </cfRule>
  </conditionalFormatting>
  <dataValidations count="1">
    <dataValidation type="list" allowBlank="1" showInputMessage="1" showErrorMessage="1" sqref="E2:E187" xr:uid="{B1C570BF-B35A-48F1-AEC5-39E32DF1A59F}">
      <formula1>"Sold,Open,Needs Testing,Needs Repair"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4AEF6A8A-E72F-4476-ADD8-CC14A31C7085}">
            <xm:f>NOT(ISERROR(SEARCH("Needs Repair",E2)))</xm:f>
            <xm:f>"Needs Repair"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E2:E187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Quotes</vt:lpstr>
      <vt:lpstr>Tasks</vt:lpstr>
      <vt:lpstr>Projects</vt:lpstr>
      <vt:lpstr>Parts and Services</vt:lpstr>
      <vt:lpstr>Checks and Stats</vt:lpstr>
      <vt:lpstr>Ebay Listing</vt:lpstr>
      <vt:lpstr>_Hlk169617268</vt:lpstr>
      <vt:lpstr>_Hlk84432143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Baker</dc:creator>
  <cp:keywords/>
  <dc:description/>
  <cp:lastModifiedBy>Ian Woloshyn</cp:lastModifiedBy>
  <cp:revision/>
  <dcterms:created xsi:type="dcterms:W3CDTF">2022-09-02T18:42:18Z</dcterms:created>
  <dcterms:modified xsi:type="dcterms:W3CDTF">2025-11-24T19:29:16Z</dcterms:modified>
  <cp:category/>
  <cp:contentStatus/>
</cp:coreProperties>
</file>